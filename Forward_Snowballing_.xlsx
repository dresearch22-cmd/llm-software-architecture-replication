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ashab/Library/CloudStorage/OneDrive-Linnéuniversitetet/Desktop/"/>
    </mc:Choice>
  </mc:AlternateContent>
  <xr:revisionPtr revIDLastSave="0" documentId="11_1D137160260663E367CEFD20DA84446DDABDD900" xr6:coauthVersionLast="47" xr6:coauthVersionMax="47" xr10:uidLastSave="{00000000-0000-0000-0000-000000000000}"/>
  <bookViews>
    <workbookView xWindow="0" yWindow="600" windowWidth="68800" windowHeight="26120" activeTab="8" xr2:uid="{00000000-000D-0000-FFFF-FFFF00000000}"/>
  </bookViews>
  <sheets>
    <sheet name="Method" sheetId="1" r:id="rId1"/>
    <sheet name="Seeds" sheetId="2" r:id="rId2"/>
    <sheet name="Citing_Studies" sheetId="3" r:id="rId3"/>
    <sheet name="Included_Studies" sheetId="4" r:id="rId4"/>
    <sheet name="Thematic_Map" sheetId="5" r:id="rId5"/>
    <sheet name="Themes_Overview" sheetId="6" r:id="rId6"/>
    <sheet name="StudyWise_SAS_Extension" sheetId="7" r:id="rId7"/>
    <sheet name="SAS extension" sheetId="8" r:id="rId8"/>
    <sheet name="Quality_Assessment"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9" l="1"/>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O70" i="6"/>
  <c r="N70" i="6"/>
  <c r="M70" i="6"/>
  <c r="L70" i="6"/>
  <c r="K70" i="6"/>
  <c r="J70" i="6"/>
  <c r="P70" i="6" s="1"/>
  <c r="O69" i="6"/>
  <c r="N69" i="6"/>
  <c r="M69" i="6"/>
  <c r="L69" i="6"/>
  <c r="K69" i="6"/>
  <c r="J69" i="6"/>
  <c r="P69" i="6" s="1"/>
  <c r="O68" i="6"/>
  <c r="N68" i="6"/>
  <c r="M68" i="6"/>
  <c r="L68" i="6"/>
  <c r="K68" i="6"/>
  <c r="J68" i="6"/>
  <c r="P68" i="6" s="1"/>
  <c r="O67" i="6"/>
  <c r="N67" i="6"/>
  <c r="M67" i="6"/>
  <c r="L67" i="6"/>
  <c r="K67" i="6"/>
  <c r="J67" i="6"/>
  <c r="P67" i="6" s="1"/>
  <c r="O66" i="6"/>
  <c r="N66" i="6"/>
  <c r="M66" i="6"/>
  <c r="L66" i="6"/>
  <c r="K66" i="6"/>
  <c r="J66" i="6"/>
  <c r="P66" i="6" s="1"/>
  <c r="O65" i="6"/>
  <c r="N65" i="6"/>
  <c r="M65" i="6"/>
  <c r="L65" i="6"/>
  <c r="K65" i="6"/>
  <c r="J65" i="6"/>
  <c r="P65" i="6" s="1"/>
  <c r="O64" i="6"/>
  <c r="N64" i="6"/>
  <c r="M64" i="6"/>
  <c r="L64" i="6"/>
  <c r="K64" i="6"/>
  <c r="J64" i="6"/>
  <c r="P64" i="6" s="1"/>
  <c r="O63" i="6"/>
  <c r="N63" i="6"/>
  <c r="M63" i="6"/>
  <c r="L63" i="6"/>
  <c r="K63" i="6"/>
  <c r="J63" i="6"/>
  <c r="P63" i="6" s="1"/>
  <c r="O62" i="6"/>
  <c r="N62" i="6"/>
  <c r="M62" i="6"/>
  <c r="L62" i="6"/>
  <c r="K62" i="6"/>
  <c r="J62" i="6"/>
  <c r="P62" i="6" s="1"/>
  <c r="O61" i="6"/>
  <c r="N61" i="6"/>
  <c r="M61" i="6"/>
  <c r="L61" i="6"/>
  <c r="K61" i="6"/>
  <c r="J61" i="6"/>
  <c r="P61" i="6" s="1"/>
  <c r="O60" i="6"/>
  <c r="P60" i="6" s="1"/>
  <c r="N60" i="6"/>
  <c r="M60" i="6"/>
  <c r="L60" i="6"/>
  <c r="K60" i="6"/>
  <c r="J60" i="6"/>
  <c r="O59" i="6"/>
  <c r="N59" i="6"/>
  <c r="M59" i="6"/>
  <c r="L59" i="6"/>
  <c r="K59" i="6"/>
  <c r="J59" i="6"/>
  <c r="P59" i="6" s="1"/>
  <c r="O58" i="6"/>
  <c r="N58" i="6"/>
  <c r="M58" i="6"/>
  <c r="L58" i="6"/>
  <c r="K58" i="6"/>
  <c r="J58" i="6"/>
  <c r="P58" i="6" s="1"/>
  <c r="O57" i="6"/>
  <c r="N57" i="6"/>
  <c r="M57" i="6"/>
  <c r="L57" i="6"/>
  <c r="K57" i="6"/>
  <c r="J57" i="6"/>
  <c r="P57" i="6" s="1"/>
  <c r="O56" i="6"/>
  <c r="N56" i="6"/>
  <c r="M56" i="6"/>
  <c r="L56" i="6"/>
  <c r="K56" i="6"/>
  <c r="J56" i="6"/>
  <c r="P56" i="6" s="1"/>
  <c r="O55" i="6"/>
  <c r="N55" i="6"/>
  <c r="M55" i="6"/>
  <c r="L55" i="6"/>
  <c r="K55" i="6"/>
  <c r="J55" i="6"/>
  <c r="P55" i="6" s="1"/>
  <c r="O54" i="6"/>
  <c r="N54" i="6"/>
  <c r="M54" i="6"/>
  <c r="L54" i="6"/>
  <c r="K54" i="6"/>
  <c r="J54" i="6"/>
  <c r="P54" i="6" s="1"/>
  <c r="O53" i="6"/>
  <c r="N53" i="6"/>
  <c r="M53" i="6"/>
  <c r="L53" i="6"/>
  <c r="K53" i="6"/>
  <c r="J53" i="6"/>
  <c r="P53" i="6" s="1"/>
  <c r="O52" i="6"/>
  <c r="N52" i="6"/>
  <c r="M52" i="6"/>
  <c r="L52" i="6"/>
  <c r="K52" i="6"/>
  <c r="J52" i="6"/>
  <c r="P52" i="6" s="1"/>
  <c r="O51" i="6"/>
  <c r="N51" i="6"/>
  <c r="M51" i="6"/>
  <c r="L51" i="6"/>
  <c r="K51" i="6"/>
  <c r="J51" i="6"/>
  <c r="P51" i="6" s="1"/>
  <c r="O50" i="6"/>
  <c r="N50" i="6"/>
  <c r="P50" i="6" s="1"/>
  <c r="M50" i="6"/>
  <c r="L50" i="6"/>
  <c r="K50" i="6"/>
  <c r="J50" i="6"/>
  <c r="O49" i="6"/>
  <c r="N49" i="6"/>
  <c r="M49" i="6"/>
  <c r="L49" i="6"/>
  <c r="K49" i="6"/>
  <c r="J49" i="6"/>
  <c r="P49" i="6" s="1"/>
  <c r="O48" i="6"/>
  <c r="N48" i="6"/>
  <c r="M48" i="6"/>
  <c r="L48" i="6"/>
  <c r="K48" i="6"/>
  <c r="J48" i="6"/>
  <c r="P48" i="6" s="1"/>
  <c r="O47" i="6"/>
  <c r="N47" i="6"/>
  <c r="M47" i="6"/>
  <c r="L47" i="6"/>
  <c r="K47" i="6"/>
  <c r="J47" i="6"/>
  <c r="P47" i="6" s="1"/>
  <c r="O46" i="6"/>
  <c r="N46" i="6"/>
  <c r="M46" i="6"/>
  <c r="L46" i="6"/>
  <c r="K46" i="6"/>
  <c r="J46" i="6"/>
  <c r="P46" i="6" s="1"/>
  <c r="O45" i="6"/>
  <c r="N45" i="6"/>
  <c r="M45" i="6"/>
  <c r="L45" i="6"/>
  <c r="K45" i="6"/>
  <c r="J45" i="6"/>
  <c r="P45" i="6" s="1"/>
  <c r="O44" i="6"/>
  <c r="N44" i="6"/>
  <c r="M44" i="6"/>
  <c r="L44" i="6"/>
  <c r="K44" i="6"/>
  <c r="J44" i="6"/>
  <c r="P44" i="6" s="1"/>
  <c r="O43" i="6"/>
  <c r="N43" i="6"/>
  <c r="M43" i="6"/>
  <c r="L43" i="6"/>
  <c r="K43" i="6"/>
  <c r="J43" i="6"/>
  <c r="P43" i="6" s="1"/>
  <c r="O42" i="6"/>
  <c r="N42" i="6"/>
  <c r="M42" i="6"/>
  <c r="L42" i="6"/>
  <c r="K42" i="6"/>
  <c r="J42" i="6"/>
  <c r="P42" i="6" s="1"/>
  <c r="O41" i="6"/>
  <c r="N41" i="6"/>
  <c r="M41" i="6"/>
  <c r="L41" i="6"/>
  <c r="K41" i="6"/>
  <c r="J41" i="6"/>
  <c r="P41" i="6" s="1"/>
  <c r="O40" i="6"/>
  <c r="N40" i="6"/>
  <c r="P40" i="6" s="1"/>
  <c r="M40" i="6"/>
  <c r="L40" i="6"/>
  <c r="K40" i="6"/>
  <c r="J40" i="6"/>
  <c r="O39" i="6"/>
  <c r="N39" i="6"/>
  <c r="M39" i="6"/>
  <c r="L39" i="6"/>
  <c r="K39" i="6"/>
  <c r="J39" i="6"/>
  <c r="P39" i="6" s="1"/>
  <c r="O38" i="6"/>
  <c r="N38" i="6"/>
  <c r="M38" i="6"/>
  <c r="L38" i="6"/>
  <c r="K38" i="6"/>
  <c r="J38" i="6"/>
  <c r="P38" i="6" s="1"/>
  <c r="O37" i="6"/>
  <c r="N37" i="6"/>
  <c r="M37" i="6"/>
  <c r="L37" i="6"/>
  <c r="K37" i="6"/>
  <c r="J37" i="6"/>
  <c r="P37" i="6" s="1"/>
  <c r="O36" i="6"/>
  <c r="N36" i="6"/>
  <c r="M36" i="6"/>
  <c r="L36" i="6"/>
  <c r="K36" i="6"/>
  <c r="J36" i="6"/>
  <c r="P36" i="6" s="1"/>
  <c r="O35" i="6"/>
  <c r="N35" i="6"/>
  <c r="M35" i="6"/>
  <c r="L35" i="6"/>
  <c r="K35" i="6"/>
  <c r="J35" i="6"/>
  <c r="P35" i="6" s="1"/>
  <c r="O34" i="6"/>
  <c r="N34" i="6"/>
  <c r="M34" i="6"/>
  <c r="L34" i="6"/>
  <c r="K34" i="6"/>
  <c r="J34" i="6"/>
  <c r="P34" i="6" s="1"/>
  <c r="O33" i="6"/>
  <c r="N33" i="6"/>
  <c r="M33" i="6"/>
  <c r="L33" i="6"/>
  <c r="K33" i="6"/>
  <c r="J33" i="6"/>
  <c r="P33" i="6" s="1"/>
  <c r="O32" i="6"/>
  <c r="N32" i="6"/>
  <c r="M32" i="6"/>
  <c r="L32" i="6"/>
  <c r="K32" i="6"/>
  <c r="J32" i="6"/>
  <c r="P32" i="6" s="1"/>
  <c r="O31" i="6"/>
  <c r="N31" i="6"/>
  <c r="M31" i="6"/>
  <c r="L31" i="6"/>
  <c r="K31" i="6"/>
  <c r="J31" i="6"/>
  <c r="P31" i="6" s="1"/>
  <c r="O30" i="6"/>
  <c r="N30" i="6"/>
  <c r="M30" i="6"/>
  <c r="P30" i="6" s="1"/>
  <c r="L30" i="6"/>
  <c r="K30" i="6"/>
  <c r="J30" i="6"/>
  <c r="O29" i="6"/>
  <c r="N29" i="6"/>
  <c r="M29" i="6"/>
  <c r="L29" i="6"/>
  <c r="K29" i="6"/>
  <c r="J29" i="6"/>
  <c r="P29" i="6" s="1"/>
  <c r="O28" i="6"/>
  <c r="N28" i="6"/>
  <c r="M28" i="6"/>
  <c r="L28" i="6"/>
  <c r="K28" i="6"/>
  <c r="J28" i="6"/>
  <c r="P28" i="6" s="1"/>
  <c r="O27" i="6"/>
  <c r="N27" i="6"/>
  <c r="M27" i="6"/>
  <c r="L27" i="6"/>
  <c r="K27" i="6"/>
  <c r="J27" i="6"/>
  <c r="P27" i="6" s="1"/>
  <c r="O26" i="6"/>
  <c r="N26" i="6"/>
  <c r="M26" i="6"/>
  <c r="L26" i="6"/>
  <c r="K26" i="6"/>
  <c r="J26" i="6"/>
  <c r="P26" i="6" s="1"/>
  <c r="O25" i="6"/>
  <c r="N25" i="6"/>
  <c r="M25" i="6"/>
  <c r="L25" i="6"/>
  <c r="K25" i="6"/>
  <c r="J25" i="6"/>
  <c r="P25" i="6" s="1"/>
  <c r="O24" i="6"/>
  <c r="N24" i="6"/>
  <c r="M24" i="6"/>
  <c r="L24" i="6"/>
  <c r="K24" i="6"/>
  <c r="J24" i="6"/>
  <c r="P24" i="6" s="1"/>
  <c r="O23" i="6"/>
  <c r="N23" i="6"/>
  <c r="M23" i="6"/>
  <c r="L23" i="6"/>
  <c r="K23" i="6"/>
  <c r="J23" i="6"/>
  <c r="P23" i="6" s="1"/>
  <c r="O22" i="6"/>
  <c r="N22" i="6"/>
  <c r="M22" i="6"/>
  <c r="L22" i="6"/>
  <c r="K22" i="6"/>
  <c r="J22" i="6"/>
  <c r="P22" i="6" s="1"/>
  <c r="O21" i="6"/>
  <c r="N21" i="6"/>
  <c r="M21" i="6"/>
  <c r="L21" i="6"/>
  <c r="K21" i="6"/>
  <c r="J21" i="6"/>
  <c r="P21" i="6" s="1"/>
  <c r="O20" i="6"/>
  <c r="N20" i="6"/>
  <c r="M20" i="6"/>
  <c r="L20" i="6"/>
  <c r="P20" i="6" s="1"/>
  <c r="K20" i="6"/>
  <c r="J20" i="6"/>
  <c r="O19" i="6"/>
  <c r="N19" i="6"/>
  <c r="M19" i="6"/>
  <c r="L19" i="6"/>
  <c r="K19" i="6"/>
  <c r="J19" i="6"/>
  <c r="P19" i="6" s="1"/>
  <c r="O18" i="6"/>
  <c r="N18" i="6"/>
  <c r="M18" i="6"/>
  <c r="L18" i="6"/>
  <c r="K18" i="6"/>
  <c r="J18" i="6"/>
  <c r="P18" i="6" s="1"/>
  <c r="O17" i="6"/>
  <c r="N17" i="6"/>
  <c r="M17" i="6"/>
  <c r="L17" i="6"/>
  <c r="K17" i="6"/>
  <c r="J17" i="6"/>
  <c r="P17" i="6" s="1"/>
  <c r="O16" i="6"/>
  <c r="N16" i="6"/>
  <c r="M16" i="6"/>
  <c r="L16" i="6"/>
  <c r="K16" i="6"/>
  <c r="J16" i="6"/>
  <c r="P16" i="6" s="1"/>
  <c r="O15" i="6"/>
  <c r="N15" i="6"/>
  <c r="M15" i="6"/>
  <c r="L15" i="6"/>
  <c r="K15" i="6"/>
  <c r="J15" i="6"/>
  <c r="P15" i="6" s="1"/>
  <c r="O14" i="6"/>
  <c r="N14" i="6"/>
  <c r="M14" i="6"/>
  <c r="L14" i="6"/>
  <c r="K14" i="6"/>
  <c r="J14" i="6"/>
  <c r="P14" i="6" s="1"/>
  <c r="O13" i="6"/>
  <c r="N13" i="6"/>
  <c r="M13" i="6"/>
  <c r="L13" i="6"/>
  <c r="K13" i="6"/>
  <c r="J13" i="6"/>
  <c r="P13" i="6" s="1"/>
  <c r="O12" i="6"/>
  <c r="N12" i="6"/>
  <c r="M12" i="6"/>
  <c r="L12" i="6"/>
  <c r="K12" i="6"/>
  <c r="J12" i="6"/>
  <c r="P12" i="6" s="1"/>
  <c r="O11" i="6"/>
  <c r="N11" i="6"/>
  <c r="M11" i="6"/>
  <c r="L11" i="6"/>
  <c r="K11" i="6"/>
  <c r="J11" i="6"/>
  <c r="P11" i="6" s="1"/>
  <c r="O10" i="6"/>
  <c r="N10" i="6"/>
  <c r="M10" i="6"/>
  <c r="L10" i="6"/>
  <c r="P10" i="6" s="1"/>
  <c r="K10" i="6"/>
  <c r="J10" i="6"/>
  <c r="O9" i="6"/>
  <c r="N9" i="6"/>
  <c r="M9" i="6"/>
  <c r="L9" i="6"/>
  <c r="K9" i="6"/>
  <c r="J9" i="6"/>
  <c r="P9" i="6" s="1"/>
  <c r="O8" i="6"/>
  <c r="N8" i="6"/>
  <c r="M8" i="6"/>
  <c r="L8" i="6"/>
  <c r="K8" i="6"/>
  <c r="J8" i="6"/>
  <c r="P8" i="6" s="1"/>
  <c r="G8" i="6"/>
  <c r="O7" i="6"/>
  <c r="N7" i="6"/>
  <c r="M7" i="6"/>
  <c r="L7" i="6"/>
  <c r="K7" i="6"/>
  <c r="J7" i="6"/>
  <c r="P7" i="6" s="1"/>
  <c r="G7" i="6"/>
  <c r="F7" i="6"/>
  <c r="E7" i="6"/>
  <c r="D7" i="6"/>
  <c r="C7" i="6"/>
  <c r="O6" i="6"/>
  <c r="N6" i="6"/>
  <c r="M6" i="6"/>
  <c r="L6" i="6"/>
  <c r="K6" i="6"/>
  <c r="J6" i="6"/>
  <c r="P6" i="6" s="1"/>
  <c r="G6" i="6"/>
  <c r="F6" i="6"/>
  <c r="E6" i="6"/>
  <c r="D6" i="6"/>
  <c r="C6" i="6"/>
  <c r="O5" i="6"/>
  <c r="N5" i="6"/>
  <c r="M5" i="6"/>
  <c r="L5" i="6"/>
  <c r="K5" i="6"/>
  <c r="J5" i="6"/>
  <c r="P5" i="6" s="1"/>
  <c r="G5" i="6"/>
  <c r="F5" i="6"/>
  <c r="E5" i="6"/>
  <c r="D5" i="6"/>
  <c r="C5" i="6"/>
  <c r="O4" i="6"/>
  <c r="N4" i="6"/>
  <c r="M4" i="6"/>
  <c r="L4" i="6"/>
  <c r="K4" i="6"/>
  <c r="J4" i="6"/>
  <c r="P4" i="6" s="1"/>
  <c r="G4" i="6"/>
  <c r="F4" i="6"/>
  <c r="E4" i="6"/>
  <c r="D4" i="6"/>
  <c r="C4" i="6"/>
  <c r="O3" i="6"/>
  <c r="P3" i="6" s="1"/>
  <c r="N3" i="6"/>
  <c r="M3" i="6"/>
  <c r="L3" i="6"/>
  <c r="K3" i="6"/>
  <c r="J3" i="6"/>
  <c r="G3" i="6"/>
  <c r="F3" i="6"/>
  <c r="E3" i="6"/>
  <c r="D3" i="6"/>
  <c r="C3" i="6"/>
  <c r="O2" i="6"/>
  <c r="N2" i="6"/>
  <c r="M2" i="6"/>
  <c r="L2" i="6"/>
  <c r="K2" i="6"/>
  <c r="J2" i="6"/>
  <c r="P2" i="6" s="1"/>
  <c r="G2" i="6"/>
  <c r="F2" i="6"/>
  <c r="F8" i="6" s="1"/>
  <c r="E2" i="6"/>
  <c r="E8" i="6" s="1"/>
  <c r="D2" i="6"/>
  <c r="D8" i="6" s="1"/>
  <c r="C2" i="6"/>
  <c r="C8" i="6" s="1"/>
  <c r="F25" i="2"/>
  <c r="J24" i="2"/>
  <c r="I24" i="2"/>
  <c r="H24" i="2"/>
  <c r="G24" i="2"/>
  <c r="K24" i="2" s="1"/>
  <c r="J23" i="2"/>
  <c r="I23" i="2"/>
  <c r="H23" i="2"/>
  <c r="G23" i="2"/>
  <c r="K23" i="2" s="1"/>
  <c r="J22" i="2"/>
  <c r="I22" i="2"/>
  <c r="H22" i="2"/>
  <c r="G22" i="2"/>
  <c r="K22" i="2" s="1"/>
  <c r="J21" i="2"/>
  <c r="I21" i="2"/>
  <c r="H21" i="2"/>
  <c r="G21" i="2"/>
  <c r="K21" i="2" s="1"/>
  <c r="J20" i="2"/>
  <c r="I20" i="2"/>
  <c r="H20" i="2"/>
  <c r="G20" i="2"/>
  <c r="K20" i="2" s="1"/>
  <c r="J19" i="2"/>
  <c r="I19" i="2"/>
  <c r="H19" i="2"/>
  <c r="G19" i="2"/>
  <c r="K19" i="2" s="1"/>
  <c r="J18" i="2"/>
  <c r="I18" i="2"/>
  <c r="H18" i="2"/>
  <c r="G18" i="2"/>
  <c r="K18" i="2" s="1"/>
  <c r="J17" i="2"/>
  <c r="I17" i="2"/>
  <c r="H17" i="2"/>
  <c r="G17" i="2"/>
  <c r="K17" i="2" s="1"/>
  <c r="K16" i="2"/>
  <c r="J16" i="2"/>
  <c r="J25" i="2" s="1"/>
  <c r="I16" i="2"/>
  <c r="H16" i="2"/>
  <c r="G16" i="2"/>
  <c r="J15" i="2"/>
  <c r="I15" i="2"/>
  <c r="H15" i="2"/>
  <c r="G15" i="2"/>
  <c r="K15" i="2" s="1"/>
  <c r="J14" i="2"/>
  <c r="I14" i="2"/>
  <c r="H14" i="2"/>
  <c r="G14" i="2"/>
  <c r="K14" i="2" s="1"/>
  <c r="J13" i="2"/>
  <c r="I13" i="2"/>
  <c r="H13" i="2"/>
  <c r="G13" i="2"/>
  <c r="K13" i="2" s="1"/>
  <c r="J12" i="2"/>
  <c r="I12" i="2"/>
  <c r="H12" i="2"/>
  <c r="G12" i="2"/>
  <c r="K12" i="2" s="1"/>
  <c r="J11" i="2"/>
  <c r="I11" i="2"/>
  <c r="H11" i="2"/>
  <c r="G11" i="2"/>
  <c r="K11" i="2" s="1"/>
  <c r="J10" i="2"/>
  <c r="I10" i="2"/>
  <c r="H10" i="2"/>
  <c r="G10" i="2"/>
  <c r="K10" i="2" s="1"/>
  <c r="J9" i="2"/>
  <c r="I9" i="2"/>
  <c r="H9" i="2"/>
  <c r="G9" i="2"/>
  <c r="K9" i="2" s="1"/>
  <c r="J8" i="2"/>
  <c r="I8" i="2"/>
  <c r="H8" i="2"/>
  <c r="G8" i="2"/>
  <c r="K8" i="2" s="1"/>
  <c r="J7" i="2"/>
  <c r="I7" i="2"/>
  <c r="H7" i="2"/>
  <c r="G7" i="2"/>
  <c r="K7" i="2" s="1"/>
  <c r="J6" i="2"/>
  <c r="I6" i="2"/>
  <c r="H6" i="2"/>
  <c r="G6" i="2"/>
  <c r="K6" i="2" s="1"/>
  <c r="J5" i="2"/>
  <c r="I5" i="2"/>
  <c r="H5" i="2"/>
  <c r="G5" i="2"/>
  <c r="K5" i="2" s="1"/>
  <c r="J4" i="2"/>
  <c r="I4" i="2"/>
  <c r="H4" i="2"/>
  <c r="G4" i="2"/>
  <c r="K4" i="2" s="1"/>
  <c r="J3" i="2"/>
  <c r="I3" i="2"/>
  <c r="H3" i="2"/>
  <c r="G3" i="2"/>
  <c r="K3" i="2" s="1"/>
  <c r="J2" i="2"/>
  <c r="I2" i="2"/>
  <c r="I25" i="2" s="1"/>
  <c r="H2" i="2"/>
  <c r="H25" i="2" s="1"/>
  <c r="G2" i="2"/>
  <c r="G25" i="2" l="1"/>
  <c r="K2" i="2"/>
</calcChain>
</file>

<file path=xl/sharedStrings.xml><?xml version="1.0" encoding="utf-8"?>
<sst xmlns="http://schemas.openxmlformats.org/spreadsheetml/2006/main" count="19763" uniqueCount="8838">
  <si>
    <t>LLMs for software architecture: forward snowballing from the 23 primary studies, with thematic synthesis</t>
  </si>
  <si>
    <t>Purpose</t>
  </si>
  <si>
    <t>Records the forward snowballing of the 23 primary studies of the main synthesis (S1-S23) and the thematic analysis of every study it adds. It is kept apart from the main workbook (Final-TA) so that the two evidence bases can be reported separately and merged later. The procedure is the same as in the main synthesis.</t>
  </si>
  <si>
    <t>Research questions</t>
  </si>
  <si>
    <t>RQ1 What has been reported to date for the use of LLMs and Gen AI for architectural design support?
RQ2 What techniques are reported to optimize and evaluate LLMs and Gen AI for architectural design support?
RQ3 What are the emerging trends in the use of LLMs and Gen AI for architectural design?
RQ4 How can the approaches, techniques and trends identified in RQ1-RQ3 be extended to support the architecture design of self-adaptive software systems?</t>
  </si>
  <si>
    <t>Themes and sub-themes</t>
  </si>
  <si>
    <t>Six themes, revised from the three of the main synthesis following supervisor feedback: RQ1 is answered by T1, RQ2 by T2 and T3, RQ3 by T4, T5 and T6. The sub-themes are those of the main synthesis, regrouped; "benefits and limitations in practice" is split into 1.6 and 5.1. The earlier combined theme "Challenges / Limitations" is split into T5 Limitations (5.1 and 5.2, problems observed in the studies) and T6 Challenges (6.1, formerly 5.3: open problems and future work the authors state); no meaning unit was recoded.
T1. LLMs Application / Usage for Architecture Design (RQ1)
    1.1 Architecture generation and synthesis from requirements
    1.2 Design decision support: pattern, tactic and technology recommendation
    1.3 Architecture documentation, decision records and rationale capture
    1.4 Architecture analysis, recovery, conformance and smell detection
    1.5 The role assigned to the model: assistant, co-designer or autonomous agent
    1.6 Reported benefits in practice
T2. Techniques for Optimization (RQ2)
    2.1 Prompting strategies: chain-of-thought, few-shot, role and self-refinement
    2.2 Knowledge grounding: RAG, knowledge graphs and architecture repositories
    2.3 Fine-tuning, model adaptation and multi-agent orchestration
T3. Techniques for Evaluation (RQ2)
    3.1 Evaluation designs: benchmarks, case studies, expert judgement, experiments
    3.2 Metrics and quality criteria used to judge generated architectures
    3.3 Cost, latency and reproducibility of the reported setups
T4. Emerging Trends (RQ3)
    4.1 From single-prompt assistance towards agentic and multi-agent architecting
    4.2 Integration with model-driven engineering and formal artefact generation
    4.3 Human-AI collaboration and the changing role of the architect
    4.4 Movement from design-time assistance towards runtime and continuous architecting
    4.5 Trust, governance and responsible adoption in industrial settings
T5. Limitations (RQ3)
    5.1 Reported limitations in practice
    5.2 Reported reliability problems: hallucination, inconsistency, non-determinism
T6. Challenges (RQ3)
    6.1 Open challenges and stated future work</t>
  </si>
  <si>
    <t>Snowballing procedure</t>
  </si>
  <si>
    <t>Wohlin (2014), forward direction. The start set is S1-S23. For each seed, the citing records listed by Google Scholar are retrieved and each is logged on the Citing studies sheet with its decision. A record already in the main corpus, or already logged, is recorded as a duplicate on the Citing studies sheet, with the record it duplicates and where that original is (this sheet, or Final-TA for main-corpus studies). For each record we confirm that it cites the seed, then screen on title and abstract and, unless it is clearly excluded, on the full text; the full text decides. A record whose full text cannot be obtained (for example, a Google Scholar citation-only entry) is excluded as not retrievable, with what its record shows. Whether to run further iterations is still to be decided.</t>
  </si>
  <si>
    <t>Scope criterion</t>
  </si>
  <si>
    <t>A source is in scope when a model performs, or in a proposal paper is specified to perform, a task whose object is a software architecture.
(1) Object of the task: the object of the model's task decides scope; a model acting as a component of an architecture is not doing architectural work.
(2) Metadata: title, keywords and venue can support a decision but never decide it.
(3) Proposed task: a paper that runs no model is in scope if it specifies a model performing an architectural task.
(4) Knowledge artefact: a model producing an ontology, knowledge graph or domain taxonomy is not doing architectural work.</t>
  </si>
  <si>
    <t>Approach</t>
  </si>
  <si>
    <t>Thematic synthesis following Cruzes &amp; Dybå (2011), with the six phases of Braun &amp; Clarke (2006) organising the analytic work. Deductive at theme level (the six themes are fixed by the research questions) and inductive below it; a new sub-theme is added only when coded material fits none of the existing ones.</t>
  </si>
  <si>
    <t>Meaning units and row types</t>
  </si>
  <si>
    <t>A meaning unit is a short paraphrase from a study carrying one idea, with its section or page. Evidenced: the study reports or does what the sub-theme describes. Coded silence: the study is silent on something the review asks about and the silence matters; the code starts with "Absence:". Related activity: the study does something next to the sub-theme. Only Evidenced rows count as evidence. One unit carries one idea; several instances of the same idea are one unit. Coverage (decided 4 October 2026): unlike the main synthesis, which has a row for every study and sub-theme, a snowballed study has a row only where it addresses the sub-theme or where its silence matters (most often no grounding, no settings, runs or cost, or design-time use only). An empty study/sub-theme pair therefore means that the study does not address the sub-theme and that the silence was not judged analytically relevant; it does not mean the question was not asked.</t>
  </si>
  <si>
    <t>Trend signal</t>
  </si>
  <si>
    <t>Every row under T4, and under 6.1, records how the trend is evidenced: Explicit (the authors state it) or No signal. Rows under T1-T3 and T5 carry no signal. A distributional reading of a trend (inferred from the spread of publication years) is a judgement for the synthesis across studies and is not recorded on individual rows (decided 4 October 2026).</t>
  </si>
  <si>
    <t>Study families</t>
  </si>
  <si>
    <t>Studies that are not independent (same authors, subjects, data or transcripts) form a family. A snowballed study that belongs to a line of work in the main corpus takes that family's ID (F1-F20); a new line of work gets a new ID (SF1, SF2 ...). Counts of supporting studies are reported with the number of independent families.</t>
  </si>
  <si>
    <t>RQ4: extension to self-adaptive systems</t>
  </si>
  <si>
    <t>Answered on StudyWise_SAS_Extension (per study) and SAS extension (per sub-theme). Following supervisor feedback, each is read against MAPE-K, Rainbow and Models@run.time and, where one fits better, another framework (below). Per study: evidence, locus of the architectural work, what breaks for a self-adaptive system (a named property), the framework reading with a link grade, the best fit and why, and a testable extension with preconditions, risks and grounding. Link grades: Direct (the study does it), Partial (it does part of it), Inferred (our mapping), Not applicable. Only Direct and Partial count as evidence from the corpus. A framework not named in a row has nothing to say about it.
Frameworks:
- MAPE-K feedback loop: Kephart, J.O. &amp; Chess, D.M. (2003). The Vision of Autonomic Computing. Computer, 36(1), 41-50. DOI 10.1109/MC.2003.1160055
- Rainbow (architecture-based self-adaptation): Garlan, D., Cheng, S.-W., Huang, A.-C., Schmerl, B. &amp; Steenkiste, P. (2004). Rainbow: Architecture-Based Self-Adaptation with Reusable Infrastructure. Computer, 37(10), 46-54. DOI 10.1109/MC.2004.175
- Models@run.time: Blair, G., Bencomo, N. &amp; France, R.B. (2009). Models@run.time. Computer, 42(10), 22-27. DOI 10.1109/MC.2009.326
- Three-layer architecture for self-managed systems: Kramer, J. &amp; Magee, J. (2007). Self-Managed Systems: an Architectural Challenge. Future of Software Engineering (FOSE ’07), 259-268. DOI 10.1109/FOSE.2007.19
- FORMS reference model: Weyns, D., Malek, S. &amp; Andersson, J. (2012). FORMS: Unifying Reference Model for Formal Specification of Distributed Self-Adaptive Systems. ACM Transactions on Autonomous and Adaptive Systems, 7(1), 1-61. DOI 10.1145/2168260.2168268
- EUREMA (executable runtime megamodels): Vogel, T. &amp; Giese, H. (2014). Model-Driven Engineering of Self-Adaptive Software with EUREMA. ACM Transactions on Autonomous and Adaptive Systems, 8(4), 1-33. DOI 10.1145/2555612
- ActivFORMS (active formal models): Iftikhar, M.U. &amp; Weyns, D. (2014). ActivFORMS: Active Formal Models for Self-Adaptation. Proceedings of SEAMS 2014, 125-134. DOI 10.1145/2593929.2593944
- Dynamic software product lines: Hallsteinsen, S., Hinchey, M., Park, S. &amp; Schmid, K. (2008). Dynamic Software Product Lines. Computer, 41(4), 93-95. DOI 10.1109/MC.2008.123
- Control-theoretic adaptation: Filieri, A., Maggio, M., et al. (2015). Software Engineering Meets Control Theory. Proceedings of SEAMS 2015, 71-82. DOI 10.1109/SEAMS.2015.12
- Requirements-driven adaptation (awareness requirements): Souza, V.E.S., Lapouchnian, A., Robinson, W.N. &amp; Mylopoulos, J. (2011). Awareness Requirements for Adaptive Systems. Proceedings of SEAMS 2011, 60-69. DOI 10.1145/1988008.1988018</t>
  </si>
  <si>
    <t>Quality assessment</t>
  </si>
  <si>
    <t>Same six-item instrument as the main synthesis: Q1 problem definition, Q2 problem context, Q3 research design, Q4 contributions, Q5 insights, Q6 limitations. Each scored 0 (absent), 1 (general or partial) or 2 (explicit), total 0-12. It measures reporting completeness, not methodological soundness. Each score is justified with its location and why the adjacent score was not given. The decision rule is not yet fixed. Scores are the first rater's; the second rater's are pending.</t>
  </si>
  <si>
    <t>Validation</t>
  </si>
  <si>
    <t>The supplementary synthesis was initially generated with Claude Opus 5.5 using the shared codebook and researcher-supplied protocol. Authors performed human validation with ChatGPT (GPT-6, High reasoning) as an additional consistency-checking aid. Independent second-rater quality scoring remains pending where not separately documented; source traceability and screening decisions are retained for audit.</t>
  </si>
  <si>
    <t>References</t>
  </si>
  <si>
    <t>1. Cruzes, D.S. &amp; Dybå, T. (2011). Recommended Steps for Thematic Synthesis in Software Engineering. ESEM 2011, 275-284. DOI 10.1109/ESEM.2011.36
2. Braun, V. &amp; Clarke, V. (2006). Using thematic analysis in psychology. Qualitative Research in Psychology, 3(2), 77-101. DOI 10.1191/1478088706qp063oa
3. Wohlin, C. (2014). Guidelines for snowballing in systematic literature studies and a replication in software engineering. EASE 2014, 1-10. DOI 10.1145/2601248.2601268
Framework references are listed under RQ4.</t>
  </si>
  <si>
    <t>Seed</t>
  </si>
  <si>
    <t>Authors</t>
  </si>
  <si>
    <t>Title</t>
  </si>
  <si>
    <t>Year</t>
  </si>
  <si>
    <t>Citation source</t>
  </si>
  <si>
    <t>Records listed</t>
  </si>
  <si>
    <t>Logged</t>
  </si>
  <si>
    <t>Included</t>
  </si>
  <si>
    <t>Excluded</t>
  </si>
  <si>
    <t>Duplicates</t>
  </si>
  <si>
    <t>Status</t>
  </si>
  <si>
    <t>S1</t>
  </si>
  <si>
    <t>Maranhão &amp; Guerra</t>
  </si>
  <si>
    <t>A Prompt Pattern Sequence Approach to Apply Generative AI in Assisting Software Architecture Decision-making</t>
  </si>
  <si>
    <t>Google Scholar</t>
  </si>
  <si>
    <t>S2</t>
  </si>
  <si>
    <t>Maranhão Junior, Melegati &amp; Guerra</t>
  </si>
  <si>
    <t>Applying a Prompt Pattern Sequence for Decision-Making in Microservices Architectures</t>
  </si>
  <si>
    <t>S3</t>
  </si>
  <si>
    <t>Diaz-Pace, Tommasel, Capilla &amp; Ramírez</t>
  </si>
  <si>
    <t>Architecture Exploration and Reflection meet LLM-based Agents</t>
  </si>
  <si>
    <t>S4</t>
  </si>
  <si>
    <t>Dhar, Vaidhyanathan &amp; Varma</t>
  </si>
  <si>
    <t>Can LLMs Generate Architectural Design Decisions? An Exploratory Empirical Study</t>
  </si>
  <si>
    <t>S5</t>
  </si>
  <si>
    <t>Soliman &amp; Keim</t>
  </si>
  <si>
    <t>Do Large Language Models Contain Software Architectural Knowledge? An Exploratory Case Study with GPT</t>
  </si>
  <si>
    <t>S6</t>
  </si>
  <si>
    <t>Ramachandran</t>
  </si>
  <si>
    <t>Empowering Software Architects with Artificial Intelligence: Analyzing GitHub Copilot's Role in Modern Architecture Design</t>
  </si>
  <si>
    <t>S7</t>
  </si>
  <si>
    <t>Eisenreich, Speth &amp; Wagner</t>
  </si>
  <si>
    <t>From Requirements to Architecture: An AI-Based Journey to Semi-Automatically Generate Software Architectures</t>
  </si>
  <si>
    <t>S8</t>
  </si>
  <si>
    <t>Díaz-Pace, Tommasel &amp; Capilla</t>
  </si>
  <si>
    <t>Helping Novice Architects to Make Quality Design Decisions Using an LLM-Based Assistant</t>
  </si>
  <si>
    <t>S9</t>
  </si>
  <si>
    <t>Leveraging Generative AI for Architecture Knowledge Management</t>
  </si>
  <si>
    <t>S10</t>
  </si>
  <si>
    <t>Jahić &amp; Sami</t>
  </si>
  <si>
    <t>State of Practice: LLMs in Software Engineering and Software Architecture</t>
  </si>
  <si>
    <t>S11</t>
  </si>
  <si>
    <t>Ahmad, Waseem, Liang, Fahmideh, Aktar &amp; Mikkonen</t>
  </si>
  <si>
    <t>Towards Human-Bot Collaborative Software Architecting with ChatGPT</t>
  </si>
  <si>
    <t>S12</t>
  </si>
  <si>
    <t>Keim, Kaplan, Koziolek &amp; Mirakhorli</t>
  </si>
  <si>
    <t>Does BERT Understand Code?, An Exploratory Study on the Detection of Architectural Tactics in Code</t>
  </si>
  <si>
    <t>S13</t>
  </si>
  <si>
    <t>Ghiani, Manni &amp; Zacchino</t>
  </si>
  <si>
    <t>Improving Adaptability in Optimization-Based Decision Support Systems Through Large Language Models</t>
  </si>
  <si>
    <t>S14</t>
  </si>
  <si>
    <t>Pan, Mao, Ma &amp; Ling</t>
  </si>
  <si>
    <t>ArchAgent: Scalable Legacy Software Architecture Recovery with LLMs</t>
  </si>
  <si>
    <t>S15</t>
  </si>
  <si>
    <t>Öğdü, Arslanoğlu &amp; Karaköse</t>
  </si>
  <si>
    <t>An Adaptive Multi-Agent LLM-Based Clinical Decision Support System Integrating Biomedical RAG and Web Intelligence</t>
  </si>
  <si>
    <t>S16</t>
  </si>
  <si>
    <t>Xia, Jazdi &amp; Weyrich</t>
  </si>
  <si>
    <t>An Architecture for Integrating Large Language Models with Digital Twins and Automation Systems</t>
  </si>
  <si>
    <t>S17</t>
  </si>
  <si>
    <t>Niranjan, Narain &amp; Aishwarya</t>
  </si>
  <si>
    <t>AI-based SDLC Assistant with Multi-Agent Architecture</t>
  </si>
  <si>
    <t>S18</t>
  </si>
  <si>
    <t>Chemo, Mordecai &amp; Reich</t>
  </si>
  <si>
    <t>Foundational Analysis of Safety Engineering Requirements (SAFER)</t>
  </si>
  <si>
    <t>S19</t>
  </si>
  <si>
    <t>Multi-Agent AI-Assisted Design and Validation of Complex Microservices Architectures: An Empirical Study</t>
  </si>
  <si>
    <t>S20</t>
  </si>
  <si>
    <t>Fuchß, Liu, Corallo, Hey, Keim, von Geisau &amp; Koziolek</t>
  </si>
  <si>
    <t>Who's Who? LLM-assisted Software Traceability with Architecture Entity Recognition</t>
  </si>
  <si>
    <t>S21</t>
  </si>
  <si>
    <t>Zhuang, Jiang, Zhang, Yang, Zhou &amp; Zhang</t>
  </si>
  <si>
    <t>Learning to Be a Doctor: Searching for Effective Medical Agent Architectures</t>
  </si>
  <si>
    <t>S22</t>
  </si>
  <si>
    <t>Feniak</t>
  </si>
  <si>
    <t>AI-Powered Methods for Automating Software Architecture Development</t>
  </si>
  <si>
    <t>S23</t>
  </si>
  <si>
    <t>Jafari Sarvejahani</t>
  </si>
  <si>
    <t>Towards Architectural Pen Test Case Generation and Attack Surface Analysis to Support Secure Design</t>
  </si>
  <si>
    <t>Total</t>
  </si>
  <si>
    <t>Record</t>
  </si>
  <si>
    <t>Venue</t>
  </si>
  <si>
    <t>Decision</t>
  </si>
  <si>
    <t>Ground</t>
  </si>
  <si>
    <t>Reason</t>
  </si>
  <si>
    <t>Other seeds cited</t>
  </si>
  <si>
    <t>S1-F01</t>
  </si>
  <si>
    <t>Narváez, Battaglia, Fernández &amp; Rossi</t>
  </si>
  <si>
    <t>Designing Microservices Using AI: A Systematic Literature Review</t>
  </si>
  <si>
    <t>Software (MDPI) 4(1), art. 6</t>
  </si>
  <si>
    <t>S4, S8</t>
  </si>
  <si>
    <t>S1-F02</t>
  </si>
  <si>
    <t>Abu-Salih, Alotaibi, Alanazi, Abu Khurma, Al-Shboul, Khouri &amp; Aljaafari</t>
  </si>
  <si>
    <t>Using large language models for semantic interoperability: A systematic literature review</t>
  </si>
  <si>
    <t>ICT Express 11, pp. 819-837</t>
  </si>
  <si>
    <t>Out of scope (rule 4)</t>
  </si>
  <si>
    <t>None</t>
  </si>
  <si>
    <t>S1-F03</t>
  </si>
  <si>
    <t>Esposito, Li, Moreschini, Ahmad, Cerny, Vaidhyanathan, Lenarduzzi &amp; Taibi</t>
  </si>
  <si>
    <t>Generative AI for software architecture. Applications, challenges, and future directions</t>
  </si>
  <si>
    <t>Journal of Systems and Software 231, art. 112607</t>
  </si>
  <si>
    <t>S3, S4, S5, S7, S8, S9, S10, S11</t>
  </si>
  <si>
    <t>S1-F04</t>
  </si>
  <si>
    <t>Banitaan, Daoud, Alquran &amp; Akour</t>
  </si>
  <si>
    <t>Foundation Models in Software Engineering: A Taxonomy, Systematic Review, and In-Depth Analysis of Testing Support</t>
  </si>
  <si>
    <t>Information (MDPI) 17, art. 73</t>
  </si>
  <si>
    <t>Out of scope (review threshold)</t>
  </si>
  <si>
    <t>S1-F05</t>
  </si>
  <si>
    <t>Guimaraes &amp; Nascimento</t>
  </si>
  <si>
    <t>AI in the Software Development Lifecycle: Insights and Open Research Questions</t>
  </si>
  <si>
    <t>FSE Companion 2025, pp. 1353-1357</t>
  </si>
  <si>
    <t>Out of scope (rule 3)</t>
  </si>
  <si>
    <t>S1-F06</t>
  </si>
  <si>
    <t>Zhang, Liu, Sun, Xu, Sun, Li, Jin &amp; Liu</t>
  </si>
  <si>
    <t>Semantic-Enhanced Automatic Refinement of Architecture Recovery Results Using LLMs</t>
  </si>
  <si>
    <t>ICSE 2026, pp. 1687-1699</t>
  </si>
  <si>
    <t>S4, S5, S7, S8</t>
  </si>
  <si>
    <t>S1-F07</t>
  </si>
  <si>
    <t>Pancher, Melegati &amp; Guerra</t>
  </si>
  <si>
    <t>Exploratory Test-Driven Development Study with ChatGPT in Different Scenarios</t>
  </si>
  <si>
    <t>XP 2025, LNBIP 545, pp. 145-159</t>
  </si>
  <si>
    <t>Out of scope (rule 1)</t>
  </si>
  <si>
    <t>S1-F08</t>
  </si>
  <si>
    <t>Alves Pereira, Sousa, Dantas Filho, Albuquerque, Perkusich, Gorgônio &amp; Perkusich</t>
  </si>
  <si>
    <t>Towards a Characterization of Microservice Architectures Generated by Large Language Models</t>
  </si>
  <si>
    <t>JAWs 2026 (ICSE 2026 workshop); arXiv version read</t>
  </si>
  <si>
    <t>S7, S9</t>
  </si>
  <si>
    <t>S1-F09</t>
  </si>
  <si>
    <t>Mohamad &amp; Dharam Singh</t>
  </si>
  <si>
    <t>Prompt Engineering Frameworks and Their Educational Value in Higher Education</t>
  </si>
  <si>
    <t>Innovative Teaching and Learning Journal 9(2), pp. 495-505</t>
  </si>
  <si>
    <t>S1-F10</t>
  </si>
  <si>
    <t>Karan, Dhar, Soliman &amp; Vaidhyanathan</t>
  </si>
  <si>
    <t>Can LLMs Extract Architectural Design Decisions from Source Code Commits? – A Preliminary Exploratory Study</t>
  </si>
  <si>
    <t>IDEA-ARCH 2026 (ECSA 2026 workshop); arXiv version read</t>
  </si>
  <si>
    <t>S4, S8, S10</t>
  </si>
  <si>
    <t>S1-F11</t>
  </si>
  <si>
    <t>Software (MDPI) 4(1), art. 6 (second listing)</t>
  </si>
  <si>
    <t>Duplicate</t>
  </si>
  <si>
    <t>As S1-F01</t>
  </si>
  <si>
    <t>S1-F12</t>
  </si>
  <si>
    <t>Manias, Moulos, Gatzioura, Zdolšek Draksler, Guček &amp; Kyriazis</t>
  </si>
  <si>
    <t>Architecting Human Oversight in AI-Enabled Software Systems: From Principles to Implementation</t>
  </si>
  <si>
    <t>ICSA 2026 Companion, pp. 127-128 (tutorial abstract)</t>
  </si>
  <si>
    <t>S1-F13</t>
  </si>
  <si>
    <t>Copei, Hohlfeld, Kosiol &amp; Ristoski</t>
  </si>
  <si>
    <t>LLMs Choose the Right Stack: From Patterns to Tools</t>
  </si>
  <si>
    <t>ISE 2025 (ASE 2025 workshop), pp. 276-283</t>
  </si>
  <si>
    <t>S4, S5, S10</t>
  </si>
  <si>
    <t>S1-F14</t>
  </si>
  <si>
    <t>Mitas &amp; Sachweh</t>
  </si>
  <si>
    <t>Lifelong Learning in Software Engineering: Towards an AI-driven Tutor for Cloud-Based Software Architectures</t>
  </si>
  <si>
    <t>IEEE E-TEMS 2025, pp. 92-97</t>
  </si>
  <si>
    <t>S7, S8</t>
  </si>
  <si>
    <t>S1-F15</t>
  </si>
  <si>
    <t>Zhang, Yiran</t>
  </si>
  <si>
    <t>Architecture-driven software comprehension across source code and binaries</t>
  </si>
  <si>
    <t>Thesis, Nanyang Technological University (DR-NTU)</t>
  </si>
  <si>
    <t>Not peer reviewed</t>
  </si>
  <si>
    <t>Not checked</t>
  </si>
  <si>
    <t>S1-F16</t>
  </si>
  <si>
    <t>XP 2025, LNBIP 545 (second listing, Google Books)</t>
  </si>
  <si>
    <t>As S1-F07</t>
  </si>
  <si>
    <t>S1-F17</t>
  </si>
  <si>
    <t>Rodriguez Sanchez, Vázquez-Santacruz &amp; Cervantes Maceda</t>
  </si>
  <si>
    <t>A proposal for LLM ensemble learning to achieve consensus in architectural design decisions</t>
  </si>
  <si>
    <t>SSRN preprint 5775315</t>
  </si>
  <si>
    <t>S3, S4, S7, S8, S9, S10, S11 (from the full text received as S3-F10)</t>
  </si>
  <si>
    <t>S1-F18</t>
  </si>
  <si>
    <t>Coelho, Amancio, Paiva Garcia, Vidal Junior, Almeida, Oliveira Leao, Paixao &amp; Freire</t>
  </si>
  <si>
    <t>More Productive, but at What Cost? Understanding How GenAI Shapes Developers' Work Across the SPACE Dimensions</t>
  </si>
  <si>
    <t>SBES 2026 (CBSoft 2026)</t>
  </si>
  <si>
    <t>S1-F19</t>
  </si>
  <si>
    <t>Vardhaman</t>
  </si>
  <si>
    <t>The Evolution of Cognitive Software Engineering: A Longitudinal Analysis of Large Language Models and Machine Learning in Architectural Synthesis, Fault Prediction, and Code Comprehension</t>
  </si>
  <si>
    <t>The American Journal of Engineering and Technology 6(12), pp. 222-229</t>
  </si>
  <si>
    <t>Peer review not established</t>
  </si>
  <si>
    <t>S7, S10</t>
  </si>
  <si>
    <t>S1-F20</t>
  </si>
  <si>
    <t>Ribas de Lima &amp; Matos</t>
  </si>
  <si>
    <t>Prompt Engineering Applied to the Generation of Software Modeling Documents: A Systematic Mapping Study</t>
  </si>
  <si>
    <t>ISE'26 (CBSoft 2026 workshop)</t>
  </si>
  <si>
    <t>S1-F21</t>
  </si>
  <si>
    <t>Jahić</t>
  </si>
  <si>
    <t>The contextual gap in GenAI for software engineering: Haven't we solved this problem with software architecture?</t>
  </si>
  <si>
    <t>Blog post, Cambridge Advance Online</t>
  </si>
  <si>
    <t>S1-F22</t>
  </si>
  <si>
    <t>ESOCC 2025 (Springer)</t>
  </si>
  <si>
    <t>Duplicate (main corpus)</t>
  </si>
  <si>
    <t>S2-F01</t>
  </si>
  <si>
    <t>Anghel &amp; Cioara</t>
  </si>
  <si>
    <t>A systematic review of generative AI usage for IT project management</t>
  </si>
  <si>
    <t>arXiv 2604.21958 (Apr 2026); published in Systems (MDPI) 14(6), art. 722, 22 Jun 2026 (see S2-F02)</t>
  </si>
  <si>
    <t>S2-F02</t>
  </si>
  <si>
    <t>Generative AI for IT Project Management: A Systematic Review and Future Research Agenda</t>
  </si>
  <si>
    <t>Systems (MDPI) 14(6), art. 722</t>
  </si>
  <si>
    <t>As S2-F01</t>
  </si>
  <si>
    <t>S3-F01</t>
  </si>
  <si>
    <t>As S1-F03</t>
  </si>
  <si>
    <t>S3-F02</t>
  </si>
  <si>
    <t>Meddeb, Batti &amp; Fathallah</t>
  </si>
  <si>
    <t>BPMN DMN decision table generation based on agentic AI for critical applications</t>
  </si>
  <si>
    <t>Business Process Management Journal (Emerald), online 22 Jan 2026, pp. 1-34</t>
  </si>
  <si>
    <t>S3-F03</t>
  </si>
  <si>
    <t>Cervantes, Kazman &amp; Cai</t>
  </si>
  <si>
    <t>Better Together: An LLM-assisted approach to designing software architectures using Attribute-Driven Design</t>
  </si>
  <si>
    <t>IEEE Transactions on Software Engineering (early access, 2026); author's version read</t>
  </si>
  <si>
    <t>S1 (not in S1's Scholar list), S4, S5, S7, S8, S9, S10</t>
  </si>
  <si>
    <t>S3-F04</t>
  </si>
  <si>
    <t>Compagnucci, Lu &amp; Trubiani</t>
  </si>
  <si>
    <t>Agentic Runtime Reconfiguration of Architectural Patterns in Federated Learning</t>
  </si>
  <si>
    <t>Journal of Systems and Software 240, art. 112966 (special issue "AI for SA")</t>
  </si>
  <si>
    <t>S4, S5, S8, S9</t>
  </si>
  <si>
    <t>S3-F05</t>
  </si>
  <si>
    <t>AgenticAKM: Enroute to Agentic Architecture Knowledge Management</t>
  </si>
  <si>
    <t>AGENT 2026 (ICSE 2026 workshop), ACM; arXiv version read</t>
  </si>
  <si>
    <t>S3-F06</t>
  </si>
  <si>
    <t>El Outmani, Hatahet, Osterholz, Rausch &amp; Venkataramana Shenoy</t>
  </si>
  <si>
    <t>Knowledge-Guided Architecture Documentation Recovery with Evidence Grounding and Traceability: A Registered Report (Stage 1)</t>
  </si>
  <si>
    <t>ICSA 2026 Companion (IEEE), pp. 534-541</t>
  </si>
  <si>
    <t>S4, S5, S14 (via its arXiv version)</t>
  </si>
  <si>
    <t>S3-F07</t>
  </si>
  <si>
    <t>Zimmermann &amp; Seiger</t>
  </si>
  <si>
    <t>AI Assistance for Architectural Decision Making: Domain-Driven Context and Prompt Engineering</t>
  </si>
  <si>
    <t>IDEA-ARCH 2026 (ECSA 2026 workshop), short paper; author version read</t>
  </si>
  <si>
    <t>S4, S11</t>
  </si>
  <si>
    <t>S3-F08</t>
  </si>
  <si>
    <t>Korvic</t>
  </si>
  <si>
    <t>Machine Learning and Large Language Model Approaches for Software Code Understanding, Prediction, and Architectural Decision Support</t>
  </si>
  <si>
    <t>Frontiers in Emerging Multidisciplinary Sciences 1(1), pp. 25-34 (irjernet.com); dated 31 Dec 2024, header reads 2026</t>
  </si>
  <si>
    <t>S4, S8, S9</t>
  </si>
  <si>
    <t>S3-F09</t>
  </si>
  <si>
    <t>Maia, Bandeira, Oliveira, Mendes &amp; Mendonca</t>
  </si>
  <si>
    <t>LLM-Native Applications as a Paradigm for AI-Driven Software Architecture: Taxonomy, Application Families, and Architecting Practices</t>
  </si>
  <si>
    <t>SSRN preprint 6799068 (manuscript in the JSS template)</t>
  </si>
  <si>
    <t>S3-F10</t>
  </si>
  <si>
    <t>As S1-F17</t>
  </si>
  <si>
    <t>S3-F11</t>
  </si>
  <si>
    <t>Journal of Systems and Software 240, art. 112966 (second listing)</t>
  </si>
  <si>
    <t>As S3-F04</t>
  </si>
  <si>
    <t>S3-F12</t>
  </si>
  <si>
    <t>Miccio Palermo</t>
  </si>
  <si>
    <t>Agentes basados en LLMs para la derivación de tareas de desarrollo backend a partir de requerimientos textuales</t>
  </si>
  <si>
    <t>CIbSE 2026 (XXIX Congresso Ibero-Americano em Engenharia de Software), Doctoral Symposium (Simpósio de Doutorado), SBC SOL; DOI 10.5753/cibse.2026.42459; published 11 May 2026 (from the SOL page seen through S8-F59); the file read states no venue (8 pages; ISISTAN, CONICET-UNICEN, Argentina)</t>
  </si>
  <si>
    <t>Not in English</t>
  </si>
  <si>
    <t>S4, S8, S11</t>
  </si>
  <si>
    <t>S3-F13</t>
  </si>
  <si>
    <t>Plokha, V.</t>
  </si>
  <si>
    <t>Arkitektonisk kontroll i LLM-baserade AI-agenter</t>
  </si>
  <si>
    <t>Not stated (Google Scholar citation-only entry)</t>
  </si>
  <si>
    <t>Not retrievable</t>
  </si>
  <si>
    <t>S4-F01</t>
  </si>
  <si>
    <t>Li, Zhao, Jiang et al. (19 authors)</t>
  </si>
  <si>
    <t>Large Language Models for manufacturing</t>
  </si>
  <si>
    <t>Journal of Manufacturing Systems 86, pp. 516-545 (review)</t>
  </si>
  <si>
    <t>S4-F02</t>
  </si>
  <si>
    <t>Ye, Zhang, Ma et al. (29 authors)</t>
  </si>
  <si>
    <t>LLMs4All: A Review of Large Language Models Across Academic Disciplines</t>
  </si>
  <si>
    <t>arXiv preprint 2509.19580 (v5, Nov 2025; also on Preprints.org)</t>
  </si>
  <si>
    <t>S4-F03</t>
  </si>
  <si>
    <t>S4-F04</t>
  </si>
  <si>
    <t>Kalyuzhnaya, Mityagin, Lutsenko et al. (11 authors)</t>
  </si>
  <si>
    <t>LLM Agents for Smart City Management: Enhancing Decision Support Through Multi-Agent AI Systems</t>
  </si>
  <si>
    <t>Smart Cities (MDPI) 8(1), art. 19</t>
  </si>
  <si>
    <t>S4-F05</t>
  </si>
  <si>
    <t>Baltes, Angermeir, Arora et al. (22 authors)</t>
  </si>
  <si>
    <t>Guidelines for Empirical Studies in Software Engineering involving Large Language Models</t>
  </si>
  <si>
    <t>Empirical Software Engineering (accepted manuscript); arXiv 2508.15503 v8 read</t>
  </si>
  <si>
    <t>S4-F06</t>
  </si>
  <si>
    <t>Płoszaj-Mazurek &amp; Ryńska</t>
  </si>
  <si>
    <t>Artificial Intelligence and Digital Tools for Assisting Low-Carbon Architectural Design: Merging the Use of Machine Learning, Large Language Models, and Building Information Modeling for Life Cycle Assessment Tool Development</t>
  </si>
  <si>
    <t>Energies (MDPI) 17(12), art. 2997</t>
  </si>
  <si>
    <t>S4-F07</t>
  </si>
  <si>
    <t>Pan, Huang, Bi, Gao, Ye &amp; Wang</t>
  </si>
  <si>
    <t>From tools to partners: How large language models are transforming urban planning</t>
  </si>
  <si>
    <t>AI Open 6, pp. 276-298 (survey)</t>
  </si>
  <si>
    <t>S4-F08</t>
  </si>
  <si>
    <t>Ma, Labib, Amor et al. (18 authors)</t>
  </si>
  <si>
    <t>Ten questions concerning Large Language Models (LLMs) for building applications</t>
  </si>
  <si>
    <t>Building and Environment 291, art. 114260</t>
  </si>
  <si>
    <t>S4-F09</t>
  </si>
  <si>
    <t>S4-F10</t>
  </si>
  <si>
    <t>Schmid, Hey, Armbruster, Corallo, Fuchß, Keim, Liu &amp; Koziolek</t>
  </si>
  <si>
    <t>Software Architecture Meets LLMs: A Systematic Literature Review</t>
  </si>
  <si>
    <t>arXiv 2505.16697 (v1, May 2025); no published version found</t>
  </si>
  <si>
    <t>S5, S8, S10, S12</t>
  </si>
  <si>
    <t>S4-F11</t>
  </si>
  <si>
    <t>Arun, Tedla &amp; Vaidhyanathan</t>
  </si>
  <si>
    <t>LLMs for Generation of Architectural Components: An Exploratory Empirical Study in the Serverless World</t>
  </si>
  <si>
    <t>ICSA 2025 (IEEE), DOI 10.1109/ICSA65012.2025.00013</t>
  </si>
  <si>
    <t>S4-F12</t>
  </si>
  <si>
    <t>ECSA 2024 (Springer LNCS), pp. 324-332</t>
  </si>
  <si>
    <t>S4-F13</t>
  </si>
  <si>
    <t>Zhou, Li, Liang, Zhang, Shahin, Li &amp; Yang</t>
  </si>
  <si>
    <t>Using LLMs in Generating Design Rationale for Software Architecture Decisions</t>
  </si>
  <si>
    <t>ACM TOSEM 35(8), art. 225 (July 2026); DOI 10.1145/3785010</t>
  </si>
  <si>
    <t>S5, S8</t>
  </si>
  <si>
    <t>S4-F14</t>
  </si>
  <si>
    <t>ICSA 2025 (IEEE); IEEE Xplore version read</t>
  </si>
  <si>
    <t>S4-F15</t>
  </si>
  <si>
    <t>Zhang, Li, Liang, Sun &amp; Liu</t>
  </si>
  <si>
    <t>Knowledge-Based Multi-Agent Framework for Automated Software Architecture Design</t>
  </si>
  <si>
    <t>FSE Companion ’25 (ACM), pp. 530-534; DOI 10.1145/3696630.3728493</t>
  </si>
  <si>
    <t>S4-F16</t>
  </si>
  <si>
    <t>Fuchß, Liu, Hey, Keim &amp; Koziolek</t>
  </si>
  <si>
    <t>Enabling Architecture Traceability by LLM-based Architecture Component Name Extraction</t>
  </si>
  <si>
    <t>ICSA 2025 (IEEE); DOI 10.1109/ICSA65012.2025.00011</t>
  </si>
  <si>
    <t>S7, S8, S11</t>
  </si>
  <si>
    <t>S4-F17</t>
  </si>
  <si>
    <t>Shen, Gao, Lu, Zhang, Zheng &amp; Santamouris</t>
  </si>
  <si>
    <t>How AI Shapes the Future Landscape of Sustainable Building Design With Climate Change Challenges?</t>
  </si>
  <si>
    <t>Advanced Science 13(13), e23238; DOI 10.1002/advs.202523238</t>
  </si>
  <si>
    <t>S4-F18</t>
  </si>
  <si>
    <t>Vaidhyanathan &amp; Muccini</t>
  </si>
  <si>
    <t>Software Architecture in the Age of Agentic AI</t>
  </si>
  <si>
    <t>ECSA 2025 tutorials, LNCS 15982, pp. 41-49 (Springer, 2026); DOI 10.1007/978-3-032-04403-7_5</t>
  </si>
  <si>
    <t>S4-F19</t>
  </si>
  <si>
    <t>Su, Bakhtin, Ahmad, Esposito, Lenarduzzi &amp; Taibi</t>
  </si>
  <si>
    <t>Evaluating Large Language Models for Detecting Architectural Decision Violations</t>
  </si>
  <si>
    <t>ICSA 2026 (IEEE); DOI 10.1109/ICSA66085.2026.00007</t>
  </si>
  <si>
    <t>S4-F20</t>
  </si>
  <si>
    <t>ACM Transactions on Autonomous and Adaptive Systems (TAAS), 2026; DOI 10.1145/3807453</t>
  </si>
  <si>
    <t>S4-F21</t>
  </si>
  <si>
    <t>Orellana, Cereceda-Balic, Solar &amp; Astudillo</t>
  </si>
  <si>
    <t>Enabling Design of Secure IoT Systems with Trade-Off-Aware Architectural Tactics</t>
  </si>
  <si>
    <t>Sensors (MDPI) 24(22), art. 7314; DOI 10.3390/s24227314</t>
  </si>
  <si>
    <t>S4-F22</t>
  </si>
  <si>
    <t>Falcão, Schweitzer, Siebert, Calvet &amp; Elberzhager</t>
  </si>
  <si>
    <t>Evaluating the effectiveness of LLM-based interoperability</t>
  </si>
  <si>
    <t>ICSE 2026 (IEEE/ACM), pp. 2963-2974; DOI 10.1145/3744916.3773251</t>
  </si>
  <si>
    <t>S4-F23</t>
  </si>
  <si>
    <t>ICSA-C 2024 (IEEE), pp. 163-166; DOI 10.1109/ICSA-C63560.2024.00034</t>
  </si>
  <si>
    <t>S4-F24</t>
  </si>
  <si>
    <t>Zhao, Jin, Zhang, Fan, Wang, Li, Liu &amp; Liu</t>
  </si>
  <si>
    <t>Software Architecture Recovery Augmented With Semantics</t>
  </si>
  <si>
    <t>IEEE TSE 52(1), pp. 338-359 (January 2026); DOI 10.1109/TSE.2025.3620670</t>
  </si>
  <si>
    <t>S4-F25</t>
  </si>
  <si>
    <t>Ibáñez, Barrón-Estrada &amp; Zatarain-Cabada</t>
  </si>
  <si>
    <t>Can Multimodal Large Language Models Grade Like an Expert? A Study on UML Class Diagram Assessment Accuracy</t>
  </si>
  <si>
    <t>Computer Applications in Engineering Education 33(5), e70080; DOI 10.1002/cae.70080</t>
  </si>
  <si>
    <t>S4-F26</t>
  </si>
  <si>
    <t>Tian, Sobczak, Patil, Hou, Pang, Ramanathan, Yang, Chen, Golan, Zhai, Sun, Song &amp; Wang</t>
  </si>
  <si>
    <t>CrossMatAgent: AI-Assisted Design of Manufacturable Metamaterial Patterns via Multi-Agent Generative Framework</t>
  </si>
  <si>
    <t>Advanced Intelligent Discovery 2(4), e202500063; DOI 10.1002/aidi.202500063</t>
  </si>
  <si>
    <t>S4-F27</t>
  </si>
  <si>
    <t>Dhar, Kakran, Karan, Vaidhyanathan &amp; Varma</t>
  </si>
  <si>
    <t>DRAFT-ing Architectural Design Decisions using LLMs</t>
  </si>
  <si>
    <t>arXiv 2504.08207 (v1, April 2025); submitted to JSS; no published version found</t>
  </si>
  <si>
    <t>S4-F28</t>
  </si>
  <si>
    <t>Li, Zhang, Zhou, Liang, Sun, Xuan, Jin &amp; Liu</t>
  </si>
  <si>
    <t>MAAD: Automate Software Architecture Design through Knowledge-Driven Multi-Agent Collaboration</t>
  </si>
  <si>
    <t>arXiv 2507.21382 (v1, July 2025), TOSEM template; no published version found</t>
  </si>
  <si>
    <t>S5, S7, S11</t>
  </si>
  <si>
    <t>S4-F29</t>
  </si>
  <si>
    <t>Soliman, Ashraf, Abdelsalam, Keim &amp; Venkatesh</t>
  </si>
  <si>
    <t>LLMs for Software Architecture Knowledge: A Comparative Analysis Among Seven LLMs</t>
  </si>
  <si>
    <t>ECSA 2025, LNCS 15929, pp. 99-115 (Springer, 2026); DOI 10.1007/978-3-032-02138-0_7</t>
  </si>
  <si>
    <t>S5, S8, S9</t>
  </si>
  <si>
    <t>S4-F30</t>
  </si>
  <si>
    <t>Bialek, Groenboom &amp; Andrikopoulos</t>
  </si>
  <si>
    <t>Software architecture for machine learning to aid sustainable digital transformation: A systematic mapping study</t>
  </si>
  <si>
    <t>Information and Software Technology 190, art. 107931 (systematic mapping study)</t>
  </si>
  <si>
    <t>S4-F31</t>
  </si>
  <si>
    <t>ICSA-C 2025 (IEEE); DOI 10.1109/ICSA-C65153.2025.00015; IEEE Xplore version read</t>
  </si>
  <si>
    <t>S4-F32</t>
  </si>
  <si>
    <t>de Oliveira &amp; Mendonça</t>
  </si>
  <si>
    <t>LLM-Based Quality Assessment of Software Architecture Diagrams: A Preliminary Study with Four Open-Source Projects</t>
  </si>
  <si>
    <t>ECSA 2025, LNCS 15929, pp. 116-123 (Springer, 2026); DOI 10.1007/978-3-032-02138-0_8</t>
  </si>
  <si>
    <t>S4-F33</t>
  </si>
  <si>
    <t>Rubei, Di Salle &amp; Bucaioni</t>
  </si>
  <si>
    <t>LLM-Based Recommender Systems for Violation Resolutions in Continuous Architectural Conformance</t>
  </si>
  <si>
    <t>ICSA-C 2025 (IEEE), pp. 404-409; DOI 10.1109/ICSA-C65153.2025.00063</t>
  </si>
  <si>
    <t>S4-F34</t>
  </si>
  <si>
    <t>Sathvika, Dhar &amp; Vaidhyanathan</t>
  </si>
  <si>
    <t>LLM-based Automated Architecture View Generation: Where Are We Now?</t>
  </si>
  <si>
    <t>ICSA 2026 (IEEE), pp. 245-256; DOI 10.1109/ICSA66085.2026.00031</t>
  </si>
  <si>
    <t>S9, S10</t>
  </si>
  <si>
    <t>S4-F35</t>
  </si>
  <si>
    <t>Taherkhani, Sepidband, Pham, Wang &amp; Hemmati</t>
  </si>
  <si>
    <t>Automated Prompt Engineering for Cost-Effective Code Generation Using Evolutionary Algorithms</t>
  </si>
  <si>
    <t>ACM Transactions on Software Engineering and Methodology (TOSEM), 2026; DOI 10.1145/3805704</t>
  </si>
  <si>
    <t>S4-F36</t>
  </si>
  <si>
    <t>Adnan, Gupta, Akshathala &amp; Vaidhyanathan</t>
  </si>
  <si>
    <t>ArchBench: Benchmarking Generative-AI for Software Architecture Tasks</t>
  </si>
  <si>
    <t>ICSA 2026 Software Architecture Showcase track (accepted, per arXiv comment); arXiv 2603.17833v1 read</t>
  </si>
  <si>
    <t>S4-F37</t>
  </si>
  <si>
    <t>Garg, Shaik, Bandyopadhyay &amp; Caragea</t>
  </si>
  <si>
    <t>Towards AI-Assisted Research Writing: Benchmarking LLMs for AI/ML Introduction Generation</t>
  </si>
  <si>
    <t>arXiv preprint 2508.14273 (v3, 31 Aug 2026)</t>
  </si>
  <si>
    <t>S4-F38</t>
  </si>
  <si>
    <t>Duits, El Moutaouakil &amp; Malavolta</t>
  </si>
  <si>
    <t>Can Large Language Models Assist the Comprehension of ROS2 Software Architectures?</t>
  </si>
  <si>
    <t>EASE 2026 (ACM); arXiv 2604.21699v1 read</t>
  </si>
  <si>
    <t>S4-F39</t>
  </si>
  <si>
    <t>Improving LLM-assisted code generation through the use of architectural documents and implementation plans</t>
  </si>
  <si>
    <t>Designing '26 (3rd International Workshop on Designing Software, ACM), pp. 23-30; DOI 10.1145/3786152.3788588</t>
  </si>
  <si>
    <t>S4-F40</t>
  </si>
  <si>
    <t>Gürtl, Scharf, Thrainer, Gütl &amp; Steinmaurer</t>
  </si>
  <si>
    <t>Design and Evaluation of an LLM-Based Mentor for Software Architecture in Higher Education Project Management Classes</t>
  </si>
  <si>
    <t>ICL 2024, LNNS 1280, pp. 375-386 (Springer, 2025); DOI 10.1007/978-3-031-83523-0_35</t>
  </si>
  <si>
    <t>S4-F41</t>
  </si>
  <si>
    <t>ICSE '26, pp. 1687-1699; DOI 10.1145/3744916.3773114 (details pasted from the ACM page)</t>
  </si>
  <si>
    <t>As S1-F06</t>
  </si>
  <si>
    <t>S4-F42</t>
  </si>
  <si>
    <t>Journal of Systems and Software 240, art. 112966 (details pasted from ScienceDirect)</t>
  </si>
  <si>
    <t>S4-F43</t>
  </si>
  <si>
    <t>Li, Zhang, Yan, Liu, Li, Liu &amp; Lian</t>
  </si>
  <si>
    <t>Benchmarking Requirement-to-Architecture Generation with Hybrid Evaluation</t>
  </si>
  <si>
    <t>arXiv preprint 2604.06683 (v3, 9 Sep 2026)</t>
  </si>
  <si>
    <t>S4-F44</t>
  </si>
  <si>
    <t>Falcão, Elberzhager &amp; Vaidhyanathan</t>
  </si>
  <si>
    <t>Toward architecting self-coding information systems</t>
  </si>
  <si>
    <t>ICSE-Companion '26 (ACM), pp. 510-512; DOI 10.1145/3774748.3795876</t>
  </si>
  <si>
    <t>S4-F45</t>
  </si>
  <si>
    <t>Fokaefs, Khan &amp; Ahmadzadeh</t>
  </si>
  <si>
    <t>Can AI Build Systems? An Exploratory Study on Generating Software Architecture with LLMs</t>
  </si>
  <si>
    <t>CASCON 2025 (IEEE), pp. 399-408; DOI 10.1109/CASCON66301.2025.00069</t>
  </si>
  <si>
    <t>S7, S11</t>
  </si>
  <si>
    <t>S4-F46</t>
  </si>
  <si>
    <t>Kim, Kwon, Bae &amp; Lee</t>
  </si>
  <si>
    <t>Integrating IS success and open innovation in enterprise LLM adoption: a dual-path model of net benefits and usage growth</t>
  </si>
  <si>
    <t>Behaviour &amp; Information Technology (Taylor &amp; Francis), online 3 Aug 2026; DOI 10.1080/0144929X.2026.2711036</t>
  </si>
  <si>
    <t>S4-F47</t>
  </si>
  <si>
    <t>Jackson, Cha, Prikladnicki &amp; van der Hoek</t>
  </si>
  <si>
    <t>The Role of LLMs in Collaborative Software Design</t>
  </si>
  <si>
    <t>FSE Companion '26 (ACM), pp. 1783-1792; DOI 10.1145/3803437.3806702</t>
  </si>
  <si>
    <t>S4-F48</t>
  </si>
  <si>
    <t>Pegado, Camarinha-Matos &amp; Rocha</t>
  </si>
  <si>
    <t>A Brief Survey on Human-AI Collaboration for Architecture Design of Industrial Systems</t>
  </si>
  <si>
    <t>PRO-VE 2025, IFIP AICT 770 (Springer, 2026); DOI 10.1007/978-3-032-05673-3_4; authors' preprint read</t>
  </si>
  <si>
    <t>S4-F49</t>
  </si>
  <si>
    <t>Feng, Yang, Chen, Luo, Wang, Zhou, Xu &amp; Leung</t>
  </si>
  <si>
    <t>E2LLM: Structure-Guided Efficient Inference for LLMs in Distributed Edge-IoT Environments</t>
  </si>
  <si>
    <t>IEEE Transactions on Mobile Computing 25(9), pp. 14239-14253 (September 2026); DOI 10.1109/TMC.2026.3676689</t>
  </si>
  <si>
    <t>S4-F50</t>
  </si>
  <si>
    <t>Cao, Zhang, Li, Zhong, Li, Fan, Zhang &amp; Zdun</t>
  </si>
  <si>
    <t>Leveraging Large Language Models for Event Storming in Domain-Driven Design: A Controlled Experiment</t>
  </si>
  <si>
    <t>ICSA 2026 (IEEE), pp. 323-334; DOI 10.1109/ICSA66085.2026.00039</t>
  </si>
  <si>
    <t>S8, S10</t>
  </si>
  <si>
    <t>S4-F51</t>
  </si>
  <si>
    <t>IEEE Transactions on Software Engineering (early access, 2026); DOI 10.1109/TSE.2026.3706446</t>
  </si>
  <si>
    <t>As S3-F03</t>
  </si>
  <si>
    <t>S4-F52</t>
  </si>
  <si>
    <t>Cervantes, Cai &amp; Kazman</t>
  </si>
  <si>
    <t>Large Language Models as Assistants in Software Architecture Design</t>
  </si>
  <si>
    <t>IEEE Software 43(4), pp. 87-95 (July/August 2026); DOI 10.1109/MS.2026.3663353</t>
  </si>
  <si>
    <t>S4-F53</t>
  </si>
  <si>
    <t>Töpfer, Khalyeyev, Bureš, Hnětynka &amp; Plášil</t>
  </si>
  <si>
    <t>How Well Do LLMs Understand DEECo Ensemble-Based Component Architectures</t>
  </si>
  <si>
    <t>ISoLA 2024, LNCS 15220, pp. 208-223 (Springer, 2025); DOI 10.1007/978-3-031-75107-3_13</t>
  </si>
  <si>
    <t>S4-F54</t>
  </si>
  <si>
    <t>Sambu, Capuano, O'Dea, Vaidhyanathan &amp; Muccini</t>
  </si>
  <si>
    <t>LLMs for Architectural Refactoring: An Exploratory Study on Monoliths to Microservices</t>
  </si>
  <si>
    <t>ICSA 2026, 23rd IEEE International Conference on Software Architecture, pp. 268-279; DOI 10.1109/ICSA66085.2026.00033</t>
  </si>
  <si>
    <t>S5, S10</t>
  </si>
  <si>
    <t>S4-F55</t>
  </si>
  <si>
    <t>Adil, Fronza, Mikkonen, Ihantola &amp; Iaccarino</t>
  </si>
  <si>
    <t>GenAI as an Instant, Readily Available Co-Developer: Redefining Software Design Process for AI Native Hybrid Work</t>
  </si>
  <si>
    <t>Automated Software Engineering 33, article 94 (Springer, 2026), 16 pp.; DOI 10.1007/s10515-026-00648-3</t>
  </si>
  <si>
    <t>S8, S11</t>
  </si>
  <si>
    <t>S4-F56</t>
  </si>
  <si>
    <t>Cao, Li, Fan, Li &amp; Zhong</t>
  </si>
  <si>
    <t>A Grey Literature Review of AI-Native Applications</t>
  </si>
  <si>
    <t>arXiv preprint 2509.13144 (v2, 21 Jul 2026), marked 'Preprint submitted to Elsevier'</t>
  </si>
  <si>
    <t>S4-F57</t>
  </si>
  <si>
    <t>Codabux &amp; Galster</t>
  </si>
  <si>
    <t>Reframing Software Architecture and Design Skills in the Era of Generative Artificial Intelligence</t>
  </si>
  <si>
    <t>ICSE-Companion '26 (ACM), pp. 478-480; DOI 10.1145/3774748.3795868</t>
  </si>
  <si>
    <t>S4-F58</t>
  </si>
  <si>
    <t>Li, Zhang, Zhou, Cai, Liang, Sun, Xuan, Jin &amp; Liu</t>
  </si>
  <si>
    <t>Bridging Requirements and Architecture: Multi-Agent Orchestration with External Knowledge and Hierarchical Memory</t>
  </si>
  <si>
    <t>arXiv 2606.01385 (v1, 31 May 2026), TOSEM template; no published version found</t>
  </si>
  <si>
    <t>S4-F59</t>
  </si>
  <si>
    <t>Pereira, Albuquerque, Perkusich, Rodríguez, Díaz-Pace, Gorgônio &amp; Perkusich</t>
  </si>
  <si>
    <t>Toward Generating Microservice Architectures from Textual Requirements with Large Language Models</t>
  </si>
  <si>
    <t>SBCARS 2025 (19th Brazilian Symposium on Software Components, Architectures, and Reuse), pp. 79-89; DOI 10.5753/sbcars.2025.14591</t>
  </si>
  <si>
    <t>S4-F60</t>
  </si>
  <si>
    <t>Vieira</t>
  </si>
  <si>
    <t>Leveraging LLMs for Trustworthy Software Engineering: Insights and Challenges</t>
  </si>
  <si>
    <t>IEEE Computer (cover feature), July 2025, pp. 79-90; DOI 10.1109/MC.2025.3546204</t>
  </si>
  <si>
    <t>S4-F61</t>
  </si>
  <si>
    <t>Warnett &amp; Zdun</t>
  </si>
  <si>
    <t>AI-Powered Architecting for Industry 4.0 Cyber-Physical Production Systems: A Novel Approach, Research Problems and Challenges</t>
  </si>
  <si>
    <t>Software Architecture. ECSA 2025 Tracks and Workshops, LNCS 15982, pp. 155-168 (Springer; first online 5 September 2025, volume dated 2026); DOI 10.1007/978-3-032-04403-7_15</t>
  </si>
  <si>
    <t>S4-F62</t>
  </si>
  <si>
    <t>Wang, Li, Liang, Cai, Li, Shahin, Khan &amp; Feng</t>
  </si>
  <si>
    <t>Using LLMs in Software Design: An Empirical Study of GitHub and A Practitioner Survey</t>
  </si>
  <si>
    <t>arXiv preprint 2605.01392 (v2, 19 Sep 2026), marked 'Preprint submitted to Elsevier'; no published version found</t>
  </si>
  <si>
    <t>S4-F63</t>
  </si>
  <si>
    <t>Vo, Tran, Vo, Tran-Truong &amp; Ha</t>
  </si>
  <si>
    <t>Exploring the Reasoning Depth of Small Language Models in Software Architecture: A Multidimensional Evaluation Framework Towards Software Engineering 2.0</t>
  </si>
  <si>
    <t>arXiv preprint 2603.07091 (v1, 7 Mar 2026); no published version found</t>
  </si>
  <si>
    <t>S4-F64</t>
  </si>
  <si>
    <t>Engineering Trustworthy Software: A Mission for LLMs</t>
  </si>
  <si>
    <t>arXiv preprint 2411.17981 (v1, 27 Nov 2024)</t>
  </si>
  <si>
    <t>As S4-F60</t>
  </si>
  <si>
    <t>S4-F65</t>
  </si>
  <si>
    <t>Albuquerque, Renan, Rodríguez, Díaz-Pace, Dantas, França, Perkusich, Gorgônio &amp; Perkusich</t>
  </si>
  <si>
    <t>From Textual Requirements to Microservice Architectures: A Comprehensive Evaluation of LLM-Based Design Synthesis</t>
  </si>
  <si>
    <t>arXiv preprint 2607.28307 (v1, 30 Jul 2026), ACM template with placeholder venue ('Conference'17'); also posted on SSRN; no published version found</t>
  </si>
  <si>
    <t>S4-F66</t>
  </si>
  <si>
    <t>Gupta, Dhar, Feitosa &amp; Vaidhyanathan</t>
  </si>
  <si>
    <t>Context Matters: Evaluating Context Strategies for Automated ADR Generation Using LLMs</t>
  </si>
  <si>
    <t>EASE 2026 (ACM), Research Papers track; arXiv 2604.03826v2 read</t>
  </si>
  <si>
    <t>S5, S7, S8, S9, S10</t>
  </si>
  <si>
    <t>S4-F67</t>
  </si>
  <si>
    <t>Eisenreich</t>
  </si>
  <si>
    <t>From Requirements to Architecture: Semi-Automatically Generating Software Architectures</t>
  </si>
  <si>
    <t>EMISA 2025, PhD Research Proposal category (GI LNI P-362, pp. 59-63; DOI 10.18420/EMISA2025_08); arXiv preprint 2504.12192 (v1, 16 Apr 2025) read</t>
  </si>
  <si>
    <t>S4-F68</t>
  </si>
  <si>
    <t>Hadjichristofi, Tsilimigkounakis, Sotiropoulos &amp; Vescoukis</t>
  </si>
  <si>
    <t>An Empirical Evaluation of Large Language Models Applying Software Architectural Patterns</t>
  </si>
  <si>
    <t>AI (MDPI) 7(6), article 195 (2026); DOI 10.3390/ai7060195</t>
  </si>
  <si>
    <t>S4-F69</t>
  </si>
  <si>
    <t>Kemp &amp; Blood</t>
  </si>
  <si>
    <t>Bridging the Gap Between Intuition and Explicit Knowledge in Strategic Business Design</t>
  </si>
  <si>
    <t>Artificial Intelligence and Applications (BON VIEW), 2026, pp. 1-15 (published online 31 January 2026); DOI 10.47852/bonviewAIA62024426</t>
  </si>
  <si>
    <t>S4-F70</t>
  </si>
  <si>
    <t>Töpfer, Bureš, Plášil &amp; Hnětynka</t>
  </si>
  <si>
    <t>On limits of LLMs in adaptation of ensemble-based architectures</t>
  </si>
  <si>
    <t>Future Generation Computer Systems 185, article 108683 (Elsevier, 2026); DOI 10.1016/j.future.2026.108683</t>
  </si>
  <si>
    <t>S4-F71</t>
  </si>
  <si>
    <t>IDEA-ARCH 2026 (ECSA 2026 workshop); arXiv 2609.03721v1 read</t>
  </si>
  <si>
    <t>As S1-F10</t>
  </si>
  <si>
    <t>S4-F72</t>
  </si>
  <si>
    <t>ICSA 2026 Companion (IEEE), pp. 534-541; DOI 10.1109/ICSA-C68850.2026.00097</t>
  </si>
  <si>
    <t>As S3-F06</t>
  </si>
  <si>
    <t>S4-F73</t>
  </si>
  <si>
    <t>Software (MDPI) 4(1), article 6 (2025); DOI 10.3390/software4010006</t>
  </si>
  <si>
    <t>S4-F74</t>
  </si>
  <si>
    <t>Capilla, Díaz-Pace, Ramírez, Pérez &amp; Rodríguez-Horcajo</t>
  </si>
  <si>
    <t>Towards Supporting Quality Architecture Evaluation with LLM Tools</t>
  </si>
  <si>
    <t>arXiv preprint 2603.28914 (v1, 30 Mar 2026); no venue stated and no published version found</t>
  </si>
  <si>
    <t>S4-F75</t>
  </si>
  <si>
    <t>Tourchi Moghaddam, Alipour, Worm &amp; Kjærgaard</t>
  </si>
  <si>
    <t>Toward a Sustainable Software Architecture Community: Evaluating ICSA's Environmental Impact</t>
  </si>
  <si>
    <t>ICSA 2026 Companion (IEEE), pp. 325-332; DOI 10.1109/ICSA-C68850.2026.00067</t>
  </si>
  <si>
    <t>S4-F76</t>
  </si>
  <si>
    <t>Silva &amp; Gama</t>
  </si>
  <si>
    <t>GADR: Gathering Architecture Decision Records from Meeting Transcriptions</t>
  </si>
  <si>
    <t>SBES 2026 (40th Brazilian Symposium on Software Engineering), Insightful Ideas and Emerging Results track; arXiv 2608.17694v1 read</t>
  </si>
  <si>
    <t>S4-F77</t>
  </si>
  <si>
    <t>Rajbhoj, Sant, Somase &amp; Kulkarni</t>
  </si>
  <si>
    <t>Leveraging Generative AI for Accelerating Enterprise Application Development: Insights from ChatGPT</t>
  </si>
  <si>
    <t>APSEC 2024 (31st Asia-Pacific Software Engineering Conference, IEEE), pp. 412-421; DOI 10.1109/APSEC65559.2024.00052</t>
  </si>
  <si>
    <t>S4-F78</t>
  </si>
  <si>
    <t>Pereira, Albuquerque, Rodríguez, Díaz-Pace, Perkusich, Gorgônio &amp; Perkusich</t>
  </si>
  <si>
    <t>Do LLMs Agree on Microservice Decompositions? A Multi-Model Study from Textual Requirements</t>
  </si>
  <si>
    <t>SAC '26 (41st ACM/SIGAPP Symposium on Applied Computing), 8 pp.; DOI 10.1145/3748522.3780005</t>
  </si>
  <si>
    <t>S4-F79</t>
  </si>
  <si>
    <t>Wang, Wu, Yang, Sun &amp; Yue</t>
  </si>
  <si>
    <t>Test Architecture Generation by Leveraging BERT and Control and Data Flows</t>
  </si>
  <si>
    <t>ICECCS 2024, LNCS 14784, pp. 125-145 (Springer, 2025); DOI 10.1007/978-3-031-66456-4_7</t>
  </si>
  <si>
    <t>S4-F80</t>
  </si>
  <si>
    <t>Sotiropoulos, Georgios</t>
  </si>
  <si>
    <t>Investigation of AI tools Performance in the Definition of Microservices Software Architectures</t>
  </si>
  <si>
    <t>Not stated</t>
  </si>
  <si>
    <t>Diploma thesis (details as sent; institution and year not given, and no record found in a web search on 29 September 2026)</t>
  </si>
  <si>
    <t>S4-F81</t>
  </si>
  <si>
    <t>Oliveira &amp; Mendonça</t>
  </si>
  <si>
    <t>How Good is ChatGPT-4o in Assessing Architecture Diagrams? An Exploratory Study with Four Software Engineering Tools</t>
  </si>
  <si>
    <t>AI-SQE '26 (1st International Workshop on AI for Software Quality Evaluation, at ICSE 2026), pp. 88-96 (ACM); DOI 10.1145/3786175.3788350</t>
  </si>
  <si>
    <t>S10, S11</t>
  </si>
  <si>
    <t>S4-F82</t>
  </si>
  <si>
    <t>Calvet, Falcão &amp; Ginkel</t>
  </si>
  <si>
    <t>Can LLMs Make Systems Interoperate at Runtime? An Exploratory Study</t>
  </si>
  <si>
    <t>SSRN preprint, 31 pp., posted 8 October 2024 (abstract ID 4979509); no peer-reviewed version found in a web search on 29 September 2026</t>
  </si>
  <si>
    <t>S4-F83</t>
  </si>
  <si>
    <t>ISE 2025 (ASE 2025 workshop), in 2025 40th IEEE/ACM ASE Workshops (ASEW), pp. 276-283; DOI 10.1109/ASEW67777.2025.00057 (IEEE Xplore 11334367)</t>
  </si>
  <si>
    <t>As S1-F13</t>
  </si>
  <si>
    <t>S4-F84</t>
  </si>
  <si>
    <t>Human-AI Agentic Approach for Industrial Software Systems Design</t>
  </si>
  <si>
    <t>DoCEIS 2026, in Technological Innovation to Tackle Societal Challenges, IFIP AICT 790 (Springer; first online 17 June 2026, volume dated 2027); DOI 10.1007/978-3-032-28939-1_1; authors' preprint read</t>
  </si>
  <si>
    <t>S4-F85</t>
  </si>
  <si>
    <t>ACM Transactions on Autonomous and Adaptive Systems (TAAS), 2026; DOI 10.1145/3807453 (details as sent: title and author list)</t>
  </si>
  <si>
    <t>As S4-F20</t>
  </si>
  <si>
    <t>S4-F86</t>
  </si>
  <si>
    <t>Kimm, Cruz Gambardella &amp; Calixto</t>
  </si>
  <si>
    <t>Simplified Analysis Augmented Generation (SAAG): A Pattern for Enhancing LLM Performance on Complex Built Environment Problems</t>
  </si>
  <si>
    <t>CAADRIA 2026 (31st International Conference of the Association for Computer-Aided Architectural Design Research in Asia), Proceedings Vol. 1, pp. 103-112</t>
  </si>
  <si>
    <t>S4-F87</t>
  </si>
  <si>
    <t>Aissaoui, Atil, Gherbi &amp; Achiri</t>
  </si>
  <si>
    <t>ArchPipeline: A Two-phase Transfer-learning Framework for Software Architecture Comprehension and Evolution</t>
  </si>
  <si>
    <t>International Journal of Intelligent Engineering and Systems 19(9), from p. 192 (2026); DOI 10.22266/ijies2026.0930.10; record and abstract only (EBSCOhost)</t>
  </si>
  <si>
    <t>S4-F88</t>
  </si>
  <si>
    <t>Quadri, Kontogiannis &amp; Truong</t>
  </si>
  <si>
    <t>Architecture Recovery Revisited: A Hybrid Knowledge Graph and LLM-based Approach</t>
  </si>
  <si>
    <t>COMPSAC 2026 (IEEE), pp. 493-502; DOI 10.1109/COMPSAC69091.2026.00070</t>
  </si>
  <si>
    <t>S4-F89</t>
  </si>
  <si>
    <t>Ruparel, Venkatesan, Bottu, Dasari &amp; Vangala</t>
  </si>
  <si>
    <t>AI in Requirements Engineering, Software Design, and Software Architecture: A Systematic Mapping Study (2020-2026)</t>
  </si>
  <si>
    <t>ICAISET 2026 (International Conference on Artificial Intelligence, Systems, and Emerging Technologies), IEEE; DOI 10.1109/ICAISET66439.2026.11541813; IEEE Xplore version read (6 pp., no page numbers printed)</t>
  </si>
  <si>
    <t>S4-F90</t>
  </si>
  <si>
    <t>Interpreting Workflow Architectures by LLMs</t>
  </si>
  <si>
    <t>ENASE 2025 (SciTePress), pp. 608-617; DOI 10.5220/0013358000003928</t>
  </si>
  <si>
    <t>S4-F91</t>
  </si>
  <si>
    <t>As S4-F52</t>
  </si>
  <si>
    <t>S4-F92</t>
  </si>
  <si>
    <t>Silva, Albuquerque, Perkusich, Rodríguez, Díaz-Pace, Gorgônio &amp; Perkusich</t>
  </si>
  <si>
    <t>Designing and Evaluating an Agentic AI Pipeline for Microservice Architecture Generation from User Stories</t>
  </si>
  <si>
    <t>SSRN preprint (abstract ID 7207018); the PDF sent is a 6-page manuscript in the ACM template with its placeholder venue ('Conference'17, July 2017, Washington, DC, USA'), created 29 July 2026; no peer-reviewed version found in a web search on 29 September 2026</t>
  </si>
  <si>
    <t>S4-F93</t>
  </si>
  <si>
    <t>Lemos, Aguiar &amp; Harrison</t>
  </si>
  <si>
    <t>Requirements for Active Assistance of Natural Questions in Software Architecture</t>
  </si>
  <si>
    <t>arXiv preprint 2506.23898 (v1, 30 June 2025, the only version); no published version found in a web search on 29 September 2026</t>
  </si>
  <si>
    <t>S4-F94</t>
  </si>
  <si>
    <t>Jackson, Victoria</t>
  </si>
  <si>
    <t>Creativity in the Everyday Work of Software Professionals</t>
  </si>
  <si>
    <t>PhD dissertation, University of California, Irvine (ProQuest Dissertations &amp; Theses, 2025, no. 32165724; details as sent)</t>
  </si>
  <si>
    <t>S4-F95</t>
  </si>
  <si>
    <t>ECSA 2026, LNCS 16991, pp. 143-151 (Springer, 2027); DOI 10.1007/978-3-032-39143-8_14; published version read</t>
  </si>
  <si>
    <t>As S3-F07</t>
  </si>
  <si>
    <t>S4-F96</t>
  </si>
  <si>
    <t>Generative AI for Class Diagram Modeling from software requirements</t>
  </si>
  <si>
    <t>Master's thesis (details as sent: title only; author, institution and year not given)</t>
  </si>
  <si>
    <t>S4-F97</t>
  </si>
  <si>
    <t>Sombra &amp; Garcés</t>
  </si>
  <si>
    <t>ArchSec.AI: Towards a LLM-based assistant to support analysis of security architectural strategies</t>
  </si>
  <si>
    <t>SBES 2026 (40th Brazilian Symposium on Software Engineering), Innovative Ideas and Emerging Results track, 7 pp.</t>
  </si>
  <si>
    <t>S4-F98</t>
  </si>
  <si>
    <t>Nazeer, Ali, Zubair &amp; Iqbal</t>
  </si>
  <si>
    <t>Machine Learning-Driven Software Architecture Pattern Recommendation: Bridging Requirement Specifications and Design Decisions</t>
  </si>
  <si>
    <t>Journal of Emerging Trends in Social Sciences and Humanities 3(3), pp. 173-192 (2026; received 20 June, accepted 12 August 2026)</t>
  </si>
  <si>
    <t>S4-F99</t>
  </si>
  <si>
    <t>El Hassani</t>
  </si>
  <si>
    <t>Generative AI for Future-State Enterprise Architecture Scenario Planning: An Evaluation Framework and a Reproducible Multi-Model Pilot</t>
  </si>
  <si>
    <t>Version 2 (September 2026) of a self-archived record (Zenodo, doi:10.5281/zenodo.15178844; Research Square preprint doi:10.21203/rs.3.rs-6449315/v1, April 2025); no peer-reviewed version found in a web search on 29 September 2026</t>
  </si>
  <si>
    <t>S5, S11</t>
  </si>
  <si>
    <t>S4-F100</t>
  </si>
  <si>
    <t>Kalorii, White, Dorsey, Podolski, Lyu &amp; Lei</t>
  </si>
  <si>
    <t>From Autopilot to Co-Pilot: A Granular Taxonomy of AI Agency and Human Authority in Software Development Workflows</t>
  </si>
  <si>
    <t>Not stated: the 28-page PDF (a Word document) gives only 'Publication Date: August 6, 2026', with no venue, affiliations or identifier; a web search on 29 September 2026 found no record of it</t>
  </si>
  <si>
    <t>S4-F101</t>
  </si>
  <si>
    <t>Google Scholar entry as sent: '... Innovations Frontiers: Science, Technology, and Social ...', 2026, irjernet.net (index.php/eisstss/article/view/28); the article page returned an error (HTTP 409) on 29 September 2026</t>
  </si>
  <si>
    <t>As S3-F08</t>
  </si>
  <si>
    <t>S4-F102</t>
  </si>
  <si>
    <t>Annengala</t>
  </si>
  <si>
    <t>Tool support for semi-automated evaluation of software architecture by leveraging large language models</t>
  </si>
  <si>
    <t>Master's thesis, LUT University repository (LUTPub, handle 10024/170266; details as sent; the repository page denied access on 29 September 2026; author (A. Annengala) and year (2025) from the Google Scholar entry sent for S9-F21)</t>
  </si>
  <si>
    <t>S4-F103</t>
  </si>
  <si>
    <t>CAADRIA 2026, Proceedings Vol. 1, pp. 103-112</t>
  </si>
  <si>
    <t>As S4-F86</t>
  </si>
  <si>
    <t>S4-F104</t>
  </si>
  <si>
    <t>di Sabato, Rodríguez, Marcos, Vidal, Pereira, Albuquerque &amp; Perkusich</t>
  </si>
  <si>
    <t>Automated Clustering of Microservices Using Natural Language Processing and Clustering Algorithms</t>
  </si>
  <si>
    <t>SBCARS 2025 (XIX Brazilian Symposium on Software Components, Architectures, and Reuse), pp. 90-100; DOI 10.5753/sbcars.2025.14592</t>
  </si>
  <si>
    <t>S4-F105</t>
  </si>
  <si>
    <t>ArchiGenMS: A Neuro-Symbolic Evolutionary Framework for Greenfield Microservice Design</t>
  </si>
  <si>
    <t>CIbSE 2026 (XXIX Ibero-American Conference on Software Engineering), Emerging Ideas track, pp. 365-372 (SBC); DOI 10.5753/cibse.2026.42461</t>
  </si>
  <si>
    <t>S4-F106</t>
  </si>
  <si>
    <t>Journal of Systems and Software 240, art. 112966 (details as sent: title and the three authors)</t>
  </si>
  <si>
    <t>S4-F107</t>
  </si>
  <si>
    <t>Perna &amp; Bushati</t>
  </si>
  <si>
    <t>Beyond Automation: Human-Centered Approaches to Neural Network Integration in Architectural Design</t>
  </si>
  <si>
    <t>Not stated: the 17-page PDF carries page numbers 260-276 but no venue or year; a web search on 29 September 2026 did not find the record</t>
  </si>
  <si>
    <t>S4-F108</t>
  </si>
  <si>
    <t>Can LLMs Extract Architectural Design Decisions from Source Code Commits? A Preliminary Exploratory Study</t>
  </si>
  <si>
    <t>ECSA 2026, LNCS 16991, pp. 208-215 (Springer, 2027); DOI 10.1007/978-3-032-39143-8_19; published version read</t>
  </si>
  <si>
    <t>S4-F109</t>
  </si>
  <si>
    <t>Hu, Keven</t>
  </si>
  <si>
    <t>An Overview of Machine Learning Approaches to support Software Architecting</t>
  </si>
  <si>
    <t>Bachelor's thesis report, RWTH Aachen University, Software Construction group (details from the link sent: file dated 2024-08-08, path 2024-004-BT_Hu); the link returned HTTP 404 on 29 September 2026</t>
  </si>
  <si>
    <t>S4-F110</t>
  </si>
  <si>
    <t>Cerqueira, Dutra, Figueiredo &amp; Vale</t>
  </si>
  <si>
    <t>How Reliable Are LLM Evaluations of Microservice Architecture Diagrams?</t>
  </si>
  <si>
    <t>SBCARS 2026 (Brazilian Symposium on Software Components, Architectures, and Reuse, CBSoft 2026), 11 pp.</t>
  </si>
  <si>
    <t>S5, S10, S11</t>
  </si>
  <si>
    <t>S4-F111</t>
  </si>
  <si>
    <t>Yu-Li, Petzold &amp; Smith</t>
  </si>
  <si>
    <t>A Graph-Based Framework for Capturing and Analysing Design Decisions in Building Design Projects</t>
  </si>
  <si>
    <t>GNI Symposium on Artificial Intelligence for the Built World (Technical University of Munich, 18-20 May 2026), 10 pp.</t>
  </si>
  <si>
    <t>S4-F112</t>
  </si>
  <si>
    <t>ECSA 2024 (Springer LNCS), from p. 324 (Google Books listing of the proceedings, as sent)</t>
  </si>
  <si>
    <t>As S4-F12</t>
  </si>
  <si>
    <t>S4-F113</t>
  </si>
  <si>
    <t>As S4-F40</t>
  </si>
  <si>
    <t>S4-F114</t>
  </si>
  <si>
    <t>Narváez, Daniel</t>
  </si>
  <si>
    <t>Descubrimiento y diseño de microservicios asistido por IA a partir de requisitos textuales</t>
  </si>
  <si>
    <t>WICC 2026 (XXVIII Workshop de Investigadores en Ciencias de la Computación, Buenos Aires, 9-10 April 2026), conference object in the SEDICI repository of UNLP (handle 10915/196677)</t>
  </si>
  <si>
    <t>S4-F115</t>
  </si>
  <si>
    <t>Tsilimigkounakis, Michail</t>
  </si>
  <si>
    <t>Exploring the utilization of LLM tools in Software Architecture (Greek title: Εξερεύνηση της χρήσης εργαλείων LLM στην Αρχιτεκτονική Λογισμικού)</t>
  </si>
  <si>
    <t>Diploma thesis, School of Electrical and Computer Engineering, National Technical University of Athens (November 2024; supervisor V. Vescoukis); NTUA DSpace, handle 123456789/65316</t>
  </si>
  <si>
    <t>S4-F116</t>
  </si>
  <si>
    <t>Dutra, Mateus</t>
  </si>
  <si>
    <t>Large Language Models for Assessing Microservices Architectures: Current and Future Research Directions</t>
  </si>
  <si>
    <t>Seminar slides, LabSoft UFMG seminars 2025 (LASSE 2025; labsoft-ufmg.github.io; details as sent)</t>
  </si>
  <si>
    <t>S4-F117</t>
  </si>
  <si>
    <t>Júnior, F. A. M. P., de Souza Neto, J. B. et al.</t>
  </si>
  <si>
    <t>Modelos de linguagem de grande escala na arquitetura de software: um estudo de caso de um sistema de tutoria inteligente</t>
  </si>
  <si>
    <t>Cadernos UniFOA (revistas.unifoa.edu.br), 2026 (Google Scholar entry as sent; author list truncated there)</t>
  </si>
  <si>
    <t>S4-F118</t>
  </si>
  <si>
    <t>CIbSE 2026 (Congresso Ibero-Americano em Engenharia de Software), SBC SOL article 42459 (Google Scholar entry as sent)</t>
  </si>
  <si>
    <t>As S3-F12</t>
  </si>
  <si>
    <t>S4-F119</t>
  </si>
  <si>
    <t>Utkan, K. T.</t>
  </si>
  <si>
    <t>B2B iletişimlerin otomatikleştirilmesinde büyük dil modellerinin etkinliğinin araştırılması</t>
  </si>
  <si>
    <t>Thesis in ProQuest Dissertations &amp; Theses (Google Scholar entry as sent)</t>
  </si>
  <si>
    <t>S5-F01</t>
  </si>
  <si>
    <t>As S4-F10</t>
  </si>
  <si>
    <t>S5-F02</t>
  </si>
  <si>
    <t>Journal of Systems and Software 231, art. 112607 (ScienceDirect S0164121225002766, the link sent)</t>
  </si>
  <si>
    <t>S5-F03</t>
  </si>
  <si>
    <t>ACM TOSEM 35(8), art. 225 (July 2026); DOI 10.1145/3785010 (the link sent)</t>
  </si>
  <si>
    <t>As S4-F13</t>
  </si>
  <si>
    <t>S5-F04</t>
  </si>
  <si>
    <t>Keim &amp; Kaplan</t>
  </si>
  <si>
    <t>From Scattered to Structured: A Vision for Automating Architectural Knowledge Management</t>
  </si>
  <si>
    <t>ICSE-Companion '26 (ACM), pp. 487-491; DOI 10.1145/3774748.3795871</t>
  </si>
  <si>
    <t>S5-F05</t>
  </si>
  <si>
    <t>Seminar slides, LabSoft UFMG seminars 2025 (LASSE 2025; labsoft-ufmg.github.io; link as sent)</t>
  </si>
  <si>
    <t>As S4-F116</t>
  </si>
  <si>
    <t>S5-F06</t>
  </si>
  <si>
    <t>arXiv 2507.21382 (Google Scholar entry as sent)</t>
  </si>
  <si>
    <t>As S4-F28</t>
  </si>
  <si>
    <t>S5-F07</t>
  </si>
  <si>
    <t>ECSA 2025, LNCS 15929 (Springer); DOI 10.1007/978-3-032-02138-0_7 (Google Scholar entry as sent)</t>
  </si>
  <si>
    <t>As S4-F29</t>
  </si>
  <si>
    <t>S5-F08</t>
  </si>
  <si>
    <t>IEEE Transactions on Software Engineering, 2026 (IEEE Xplore 11575292; Google Scholar entry as sent)</t>
  </si>
  <si>
    <t>S5-F09</t>
  </si>
  <si>
    <t>EASE 2026 (ACM); arXiv 2604.21699 (Google Scholar entry as sent)</t>
  </si>
  <si>
    <t>As S4-F38</t>
  </si>
  <si>
    <t>S5-F10</t>
  </si>
  <si>
    <t>ICSE '26, pp. 1687-1699; DOI 10.1145/3744916.3773114 (Google Scholar entry as sent)</t>
  </si>
  <si>
    <t>S5-F11</t>
  </si>
  <si>
    <t>Journal of Systems and Software 240, art. 112966 (ScienceDirect S0164121226001998; Google Scholar entry as sent)</t>
  </si>
  <si>
    <t>S5-F12</t>
  </si>
  <si>
    <t>IEEE Software 43(4), pp. 87-95 (IEEE Xplore 11393902; Google Scholar entry as sent)</t>
  </si>
  <si>
    <t>S5-F13</t>
  </si>
  <si>
    <t>ICSA 2026, pp. 268-279 (IEEE Xplore 11612827; Google Scholar entry as sent)</t>
  </si>
  <si>
    <t>As S4-F54</t>
  </si>
  <si>
    <t>S5-F14</t>
  </si>
  <si>
    <t>de Dieu, Liang &amp; Shahin</t>
  </si>
  <si>
    <t>How Do OSS Developers Reuse Architectural Solutions From Q&amp;A Sites: An Empirical Study</t>
  </si>
  <si>
    <t>IEEE Transactions on Software Engineering 51(7), pp. 2015-2043 (July 2025); DOI 10.1109/TSE.2025.3572027</t>
  </si>
  <si>
    <t>S5-F15</t>
  </si>
  <si>
    <t>Keim, Hey, Scotti, Mirandola &amp; Koziolek</t>
  </si>
  <si>
    <t>Towards Automated Knowledge Management in the Software Life Cycle</t>
  </si>
  <si>
    <t>KIT research report/preprint (KITopen, 26 May 2025), 11 pp.; DOI 10.5445/IR/1000181618; no peer-reviewed version found</t>
  </si>
  <si>
    <t>S5-F16</t>
  </si>
  <si>
    <t>Dau, Tan, Yang, Bui &amp; Nguyen</t>
  </si>
  <si>
    <t>COBOLAssist: Analyzing and Fixing Compilation Errors for LLM-Powered COBOL Code Generation</t>
  </si>
  <si>
    <t>arXiv preprint 2604.03978 (v1, 5 April 2026, the only version); no journal reference; no published version found</t>
  </si>
  <si>
    <t>S5-F17</t>
  </si>
  <si>
    <t>EASE 2026 (ACM), Research Papers track; arXiv 2604.03826v2 (PDF identical to the file read for S4-F66)</t>
  </si>
  <si>
    <t>As S4-F66</t>
  </si>
  <si>
    <t>S5-F18</t>
  </si>
  <si>
    <t>Santilli, Daghero &amp; Tourchi Moghaddam</t>
  </si>
  <si>
    <t>SAKE: Software Architectural Knowledge Evaluation Benchmark for Large Language Models</t>
  </si>
  <si>
    <t>arXiv preprint 2606.29520 (v1, 28 June 2026); LNCS layout, no venue stated; no published version found</t>
  </si>
  <si>
    <t>S5-F19</t>
  </si>
  <si>
    <t>Mousavi</t>
  </si>
  <si>
    <t>(How) Do Large Language Models Understand High-Level Message Sequence Charts?</t>
  </si>
  <si>
    <t>arXiv preprint 2605.13773 (v2, 14 May 2026, read); LNCS layout, no venue stated; no published version found</t>
  </si>
  <si>
    <t>S5-F20</t>
  </si>
  <si>
    <t>S5-F21</t>
  </si>
  <si>
    <t>arXiv preprint 2603.28914 (v1, 30 Mar 2026); PDF identical to the file read for S4-F74</t>
  </si>
  <si>
    <t>As S4-F74</t>
  </si>
  <si>
    <t>S5-F22</t>
  </si>
  <si>
    <t>ICSA 2026 Companion (IEEE), pp. 325-332; DOI 10.1109/ICSA-C68850.2026.00067 (IEEE Xplore 11641171, link as sent)</t>
  </si>
  <si>
    <t>As S4-F75</t>
  </si>
  <si>
    <t>S5-F23</t>
  </si>
  <si>
    <t>Gerber, Lorenz, Frey, Reich, Schweizer &amp; Kolatschek</t>
  </si>
  <si>
    <t>Generative AI in Safety Engineering: Transforming HARA Artifacts into DDI Models</t>
  </si>
  <si>
    <t>ICSA 2026 Companion (IEEE), pp. 427-432; DOI 10.1109/ICSA-C68850.2026.00082</t>
  </si>
  <si>
    <t>S5-F24</t>
  </si>
  <si>
    <t>ISE 2025 (ASE 2025 workshop), in 2025 40th IEEE/ACM ASE Workshops (ASEW), pp. 276-283 (IEEE Xplore 11334367; Google Scholar entry as sent)</t>
  </si>
  <si>
    <t>S5-F25</t>
  </si>
  <si>
    <t>COMPSAC 2026 (IEEE), pp. 493-502 (IEEE Xplore 11645295; Google Scholar entry as sent)</t>
  </si>
  <si>
    <t>As S4-F88</t>
  </si>
  <si>
    <t>S5-F26</t>
  </si>
  <si>
    <t>IEEE Software 43(4), pp. 87-95 (early-access PDF on computer.org, document 11393902; Google Scholar entry as sent, second listing under S5)</t>
  </si>
  <si>
    <t>S5-F27</t>
  </si>
  <si>
    <t>Self-archived preprint (ResearchGate PDF; Google Scholar entry as sent)</t>
  </si>
  <si>
    <t>As S4-F99</t>
  </si>
  <si>
    <t>S5-F28</t>
  </si>
  <si>
    <t>Zhang</t>
  </si>
  <si>
    <t>Thesis, Nanyang Technological University (DR-NTU; Google Scholar entry as sent)</t>
  </si>
  <si>
    <t>As S1-F15</t>
  </si>
  <si>
    <t>S5-F29</t>
  </si>
  <si>
    <t>Journal of Systems and Software 240, art. 112966 (title and authors as sent; second listing under S5)</t>
  </si>
  <si>
    <t>S5-F30</t>
  </si>
  <si>
    <t>SBCARS 2026 (CBSoft 2026), 11 pp. (PDF link on cbsoft.sbc.org.br; Google Scholar entry as sent)</t>
  </si>
  <si>
    <t>As S4-F110</t>
  </si>
  <si>
    <t>S5-F31</t>
  </si>
  <si>
    <t>Nelson</t>
  </si>
  <si>
    <t>The Convergence of Machine Learning and Large Language Models in Software Architecture: A Comprehensive Analysis of Defect Prediction, Design Patterns, And Automated Recovery</t>
  </si>
  <si>
    <t>American Journal of Applied Science and Technology 4(11), pp. 106-113 (Oscar Publishing Services), as printed</t>
  </si>
  <si>
    <t>S6-F01</t>
  </si>
  <si>
    <t>Laiq</t>
  </si>
  <si>
    <t>Large language models for behavioral modeling: A literature survey</t>
  </si>
  <si>
    <t>arXiv preprint 2509.24782 (v1, 29 September 2025, the only version); LNCS layout, no venue stated; no published version found</t>
  </si>
  <si>
    <t>S6-F02</t>
  </si>
  <si>
    <t>Eskelinen, Elias</t>
  </si>
  <si>
    <t>Generatiivisen tekoälyn hyödyntäminen ohjelmistokehityksessä</t>
  </si>
  <si>
    <t>Trepo, the institutional repository of Tampere University (handle 10024/232598, file EskelinenElias.pdf; details from the link sent); the file returned an access-denied page on 29 September 2026</t>
  </si>
  <si>
    <t>S7-F01</t>
  </si>
  <si>
    <t>S7-F02</t>
  </si>
  <si>
    <t>S7-F03</t>
  </si>
  <si>
    <t>ICSA 2025 (IEEE); DOI 10.1109/ICSA65012.2025.00011 (IEEE Xplore 10978943, the link sent)</t>
  </si>
  <si>
    <t>As S4-F16</t>
  </si>
  <si>
    <t>S7-F04</t>
  </si>
  <si>
    <t>Tagliaferro, Corbo &amp; Guindani</t>
  </si>
  <si>
    <t>Leveraging LLMs to Automate Software Architecture Design from Informal Specifications</t>
  </si>
  <si>
    <t>ICSA-C 2025 (IEEE), pp. 291-299; DOI 10.1109/ICSA-C65153.2025.00049; IEEE Xplore version read</t>
  </si>
  <si>
    <t>S8, S9, S10</t>
  </si>
  <si>
    <t>S7-F05</t>
  </si>
  <si>
    <t>ACM Transactions on Autonomous and Adaptive Systems (TAAS); DOI 10.1145/3807453 (ACM Digital Library link as sent)</t>
  </si>
  <si>
    <t>S7-F06</t>
  </si>
  <si>
    <t>Sensors (MDPI) 24(22), art. 7314; DOI 10.3390/s24227314 (mdpi.com link as sent)</t>
  </si>
  <si>
    <t>As S4-F21</t>
  </si>
  <si>
    <t>S7-F07</t>
  </si>
  <si>
    <t>Betz &amp; Penzenstadler</t>
  </si>
  <si>
    <t>With Great Power Comes Great Responsibility: The Role of Software Engineers</t>
  </si>
  <si>
    <t>ACM Transactions on Software Engineering and Methodology 34(5), art. 136, 21 pp. (May 2025); DOI 10.1145/3715112</t>
  </si>
  <si>
    <t>S7-F08</t>
  </si>
  <si>
    <t>FSE Companion 2025, pp. 1353-1357; DOI 10.1145/3696630.3730538 (ACM Digital Library link as sent)</t>
  </si>
  <si>
    <t>As S1-F05</t>
  </si>
  <si>
    <t>S7-F09</t>
  </si>
  <si>
    <t>Welter, Tinnes &amp; Apel</t>
  </si>
  <si>
    <t>Multi-Location Software Model Completion</t>
  </si>
  <si>
    <t>ICSE '26, 2026 IEEE/ACM 48th International Conference on Software Engineering (ACM), 13 pp.; DOI 10.1145/3744916.3787798</t>
  </si>
  <si>
    <t>S7-F10</t>
  </si>
  <si>
    <t>arXiv 2504.08207 (v1, April 2025; the link sent); submitted to JSS; no published version found</t>
  </si>
  <si>
    <t>As S4-F27</t>
  </si>
  <si>
    <t>S7-F11</t>
  </si>
  <si>
    <t>S7-F12</t>
  </si>
  <si>
    <t>S7-F13</t>
  </si>
  <si>
    <t>ICSA-C 2025 (IEEE); DOI 10.1109/ICSA-C65153.2025.00015 (IEEE Xplore 11014919; Google Scholar entry as sent)</t>
  </si>
  <si>
    <t>S7-F14</t>
  </si>
  <si>
    <t>Kesari, Breaux, Santos, Norton &amp; Singhal</t>
  </si>
  <si>
    <t>From Legal Text to Tech Specs: Generative AI's Interpretation of Consent in Privacy Law</t>
  </si>
  <si>
    <t>ICAIL 2025, 20th International Conference on Artificial Intelligence and Law (ACM), pp. 159-168; DOI 10.1145/3769126.3769241</t>
  </si>
  <si>
    <t>S7-F15</t>
  </si>
  <si>
    <t>An LLM-assisted approach to designing software architectures using ADD</t>
  </si>
  <si>
    <t>arXiv preprint 2506.22688 (June 2025); earlier version of the IEEE TSE article logged as S3-F03</t>
  </si>
  <si>
    <t>S7-F16</t>
  </si>
  <si>
    <t>ICL 2024, LNNS 1280, pp. 375-386 (Springer, 2025); DOI 10.1007/978-3-031-83523-0_35 (Google Scholar entry as sent)</t>
  </si>
  <si>
    <t>S7-F17</t>
  </si>
  <si>
    <t>S7-F18</t>
  </si>
  <si>
    <t>CASCON 2025 (IEEE), pp. 399-408 (IEEE Xplore 11344283; Google Scholar entry as sent)</t>
  </si>
  <si>
    <t>As S4-F45</t>
  </si>
  <si>
    <t>S7-F19</t>
  </si>
  <si>
    <t>Helmi</t>
  </si>
  <si>
    <t>ARLO: A Tailorable Approach for Transforming Natural Language Software Requirements into Architecture using LLMs</t>
  </si>
  <si>
    <t>arXiv preprint 2504.06143 (v1, 8 April 2025); IEEE layout, no venue stated; no published version found</t>
  </si>
  <si>
    <t>S7-F20</t>
  </si>
  <si>
    <t>Eisenreich, Friedlaender &amp; Wagner</t>
  </si>
  <si>
    <t>Leveraging Large Language Models for Use Case Model Generation from Software Requirements</t>
  </si>
  <si>
    <t>2025 40th IEEE/ACM International Conference on Automated Software Engineering Workshops (ASEW), pp. 221-227; DOI 10.1109/ASEW67777.2025.00050; IEEE Xplore version read</t>
  </si>
  <si>
    <t>S7-F21</t>
  </si>
  <si>
    <t>Nafz, Krajinovic &amp; Ley</t>
  </si>
  <si>
    <t>Artificial Intelligence in Software Documentation: Embracing the Documentation as Code Paradigm</t>
  </si>
  <si>
    <t>Wolfgang Reif Festschrift, LNCS 15765, pp. 282-302 (Springer, 2025); DOI 10.1007/978-3-031-92196-4_14</t>
  </si>
  <si>
    <t>S7-F22</t>
  </si>
  <si>
    <t>ICSE-Companion '26 (ACM), pp. 478-480; DOI 10.1145/3774748.3795868 (Google Scholar entry as sent)</t>
  </si>
  <si>
    <t>As S4-F57</t>
  </si>
  <si>
    <t>S7-F23</t>
  </si>
  <si>
    <t>arXiv 2606.01385 (Google Scholar entry as sent)</t>
  </si>
  <si>
    <t>As S4-F58</t>
  </si>
  <si>
    <t>S7-F24</t>
  </si>
  <si>
    <t>Stojanović, Jovanović &amp; Lazarević</t>
  </si>
  <si>
    <t>Evaluation of GPT-generated conceptual models based on verbal descriptions: accuracy and quality analysis</t>
  </si>
  <si>
    <t>29th International Conference on Information Technology (IT 2025, Žabljak), IEEE, 4 pp.; DOI 10.1109/IT64745.2025.10930270</t>
  </si>
  <si>
    <t>S7-F25</t>
  </si>
  <si>
    <t>JAWs 2026 (ICSE 2026 workshop); arXiv 2609.20308 (Google Scholar entry as sent)</t>
  </si>
  <si>
    <t>As S1-F08</t>
  </si>
  <si>
    <t>S7-F26</t>
  </si>
  <si>
    <t>EASE 2026 (ACM), Research Papers track; arXiv 2604.03826 (Google Scholar entry as sent)</t>
  </si>
  <si>
    <t>S7-F27</t>
  </si>
  <si>
    <t>Storck, Eisenreich &amp; Wagner</t>
  </si>
  <si>
    <t>Recovering Software Architecture Intent from Historical Work Items using Generative AI: A Mixed-Methods Industry Case Study</t>
  </si>
  <si>
    <t>AISM '26 (2nd International Workshop on AI for Software Modernization, ASE 2026), ACM, 9 pp.; DOI 10.1145/3843775.3844549; arXiv 2608.28403v1 read</t>
  </si>
  <si>
    <t>S7-F28</t>
  </si>
  <si>
    <t>arXiv 2504.12192 (Google Scholar entry as sent); published as an EMISA 2025 PhD Research Proposal</t>
  </si>
  <si>
    <t>As S4-F67</t>
  </si>
  <si>
    <t>S7-F29</t>
  </si>
  <si>
    <t>AI (MDPI) 7(6), article 195 (2026); DOI 10.3390/ai7060195 (Google Scholar entry as sent)</t>
  </si>
  <si>
    <t>As S4-F68</t>
  </si>
  <si>
    <t>S7-F30</t>
  </si>
  <si>
    <t>Briechle, Chanchad, Geger, He, Jajadiya, Kapadiya, Rausch &amp; Zhang</t>
  </si>
  <si>
    <t>Towards LLM-Assisted Architecture Recovery for Real-World ROS 2 Systems: An Agent-Based Multi-Level Approach to Hierarchical Structural Architecture Reconstruction</t>
  </si>
  <si>
    <t>arXiv preprint 2605.20055 (v1, 19 May 2026); published as ECSA 2026, LNCS 16991, pp. 99-114 (S7-F52)</t>
  </si>
  <si>
    <t>As S7-F52</t>
  </si>
  <si>
    <t>S7-F31</t>
  </si>
  <si>
    <t>Ruan, Xu, Xu, Wang, Wang, Li &amp; Ge</t>
  </si>
  <si>
    <t>Constructing and Evaluating Domain-Specific Synthetic QA Datasets for Airborne Software Engineering: An LLM-Based Framework in Practice</t>
  </si>
  <si>
    <t>APSEC 2025, 32nd Asia-Pacific Software Engineering Conference (IEEE), pp. 957-966; DOI 10.1109/APSEC66846.2025.00110</t>
  </si>
  <si>
    <t>S7-F32</t>
  </si>
  <si>
    <t>ICSA 2026 Companion (IEEE), pp. 427-432 (IEEE Xplore 11641202; Google Scholar entry as sent)</t>
  </si>
  <si>
    <t>As S5-F23</t>
  </si>
  <si>
    <t>S7-F33</t>
  </si>
  <si>
    <t>ICECCS 2024, LNCS 14784, pp. 125-145 (Springer, 2025); DOI 10.1007/978-3-031-66456-4_7 (Google Scholar entry as sent)</t>
  </si>
  <si>
    <t>As S4-F79</t>
  </si>
  <si>
    <t>S7-F34</t>
  </si>
  <si>
    <t>Diploma thesis (details as sent)</t>
  </si>
  <si>
    <t>As S4-F80</t>
  </si>
  <si>
    <t>S7-F35</t>
  </si>
  <si>
    <t>Mori, Nishio, Inagawa, Washizaki &amp; Ubayashi</t>
  </si>
  <si>
    <t>Toward Evidence-Based Architectural Decision Making over Fragmented Knowledge</t>
  </si>
  <si>
    <t>ICSA-C 2026 (IEEE), pp. 114-117; DOI 10.1109/ICSA-C68850.2026.00029; IEEE Xplore version read</t>
  </si>
  <si>
    <t>S7-F36</t>
  </si>
  <si>
    <t>Welter, Bliem, Iqbal &amp; Apel</t>
  </si>
  <si>
    <t>The Impact of Software Model Slicing on Software Model Completion with Large Language Models</t>
  </si>
  <si>
    <t>MODELS '26, ACM/IEEE 29th International Conference on Model Driven Engineering Languages and Systems (ACM), pp. 164-175; DOI 10.1145/3822455.3830319; ACM Digital Library record as sent, published 3 October 2026</t>
  </si>
  <si>
    <t>S7-F37</t>
  </si>
  <si>
    <t>ACM Transactions on Autonomous and Adaptive Systems (TAAS); DOI 10.1145/3807453 (author's PDF on fuchss.org, link as sent)</t>
  </si>
  <si>
    <t>S7-F38</t>
  </si>
  <si>
    <t>Gürtl, Maier, Scharf, Gugacs, Gütl &amp; Steinmaurer</t>
  </si>
  <si>
    <t>Supporting Tutors in Assessing Student Software Project Ideas with LLM-Based Pre-assessments</t>
  </si>
  <si>
    <t>ICL (Innovation via Collaborative Learning in Engineering Education), LNNS 1846, pp. 207-218 (Springer, first online 1 May 2026); Springer page and abstract only (screenshot as sent)</t>
  </si>
  <si>
    <t>S7-F39</t>
  </si>
  <si>
    <t>Gamble, Justin Alan</t>
  </si>
  <si>
    <t>Human Activity Recognition and Identification Driven Automated Deep Learning for Time-Series Classification</t>
  </si>
  <si>
    <t>PhD dissertation, Engineering Management and Systems Engineering, Old Dominion University (August 2025); 24-page preview read (watermarked PREVIEW)</t>
  </si>
  <si>
    <t>S7-F40</t>
  </si>
  <si>
    <t>Hossain, Toushif</t>
  </si>
  <si>
    <t>A software engineering framework for designing, governing, and deploying AI-driven, culturally adaptive systems: a mental health case study in Bangladesh</t>
  </si>
  <si>
    <t>Graduate thesis, Independent University, Bangladesh (May 2026); IUB Academic Repository, handle 11348/1227</t>
  </si>
  <si>
    <t>S7-F41</t>
  </si>
  <si>
    <t>Fizzi, Schepers &amp; Engels</t>
  </si>
  <si>
    <t>Integrating Artificial Intelligence in the Development Process of Functional Safety according to ISO 26262</t>
  </si>
  <si>
    <t>ESREL 2026, Proceedings of the European Safety and Reliability Conference (Research Publishing, Singapore), pp. 2443-2451; DOI 10.3850/ESREL2026061419_esrel26-p26368-cd</t>
  </si>
  <si>
    <t>S7-F42</t>
  </si>
  <si>
    <t>Master's thesis; record in RUN, the repository of Universidade NOVA de Lisboa (link as sent)</t>
  </si>
  <si>
    <t>As S4-F96</t>
  </si>
  <si>
    <t>S7-F43</t>
  </si>
  <si>
    <t>Le Dac, Huy</t>
  </si>
  <si>
    <t>Semi-Automated Qualitative Software Architecture Risk Analysis with ATAM using Retrieval-Augmented Generation</t>
  </si>
  <si>
    <t>Bachelor's thesis (Bachelorarbeit), Institute of Software Engineering, Software Quality and Architecture, University of Stuttgart (commenced 28 September 2024, completed 28 March 2025); title page as sent</t>
  </si>
  <si>
    <t>S7-F44</t>
  </si>
  <si>
    <t>Journal of Emerging Trends in Social Sciences and Humanities 3(3), pp. 173-192 (2026) (joetssh.com; Google Scholar entry as sent)</t>
  </si>
  <si>
    <t>As S4-F98</t>
  </si>
  <si>
    <t>S7-F45</t>
  </si>
  <si>
    <t>IEEE E-TEMS 2025, pp. 92-97 (IEEE Xplore 11239087; Google Scholar entry as sent)</t>
  </si>
  <si>
    <t>As S1-F14</t>
  </si>
  <si>
    <t>S7-F46</t>
  </si>
  <si>
    <t>S7-F47</t>
  </si>
  <si>
    <t>Cai, Chaudron, Kang &amp; van der Hoek</t>
  </si>
  <si>
    <t>Report on the 1st International Workshop on Designing Software (Designing 2024)</t>
  </si>
  <si>
    <t>ACM SIGSOFT Software Engineering Notes 49(3), pp. 32-34 (published 18 July 2024); DOI 10.1145/3672089.3672099; ACM Digital Library page and abstract as sent (screenshot)</t>
  </si>
  <si>
    <t>S7-F48</t>
  </si>
  <si>
    <t>The American Journal of Engineering and Technology 6(12), pp. 222-229 (usajournal.net; Google Scholar entry as sent)</t>
  </si>
  <si>
    <t>As S1-F19</t>
  </si>
  <si>
    <t>S7-F49</t>
  </si>
  <si>
    <t>SSRN preprint 5775315 (Google Scholar entry as sent)</t>
  </si>
  <si>
    <t>S7-F50</t>
  </si>
  <si>
    <t>Amaral Misson, Henrique</t>
  </si>
  <si>
    <t>Towards Reliable and Efficient Safety-Critical Systems: A DO-178C Framework for UAV Development</t>
  </si>
  <si>
    <t>PhD thesis, Département de génie informatique et génie logiciel, Polytechnique Montréal (2024); PolyPublie, publications.polymtl.ca/65816; 24-page preview read (watermarked PREVIEW)</t>
  </si>
  <si>
    <t>S7-F51</t>
  </si>
  <si>
    <t>PhD thesis, Polytechnique Montréal (2024); PolyPublie record, publications.polymtl.ca/65816 (screenshot as sent)</t>
  </si>
  <si>
    <t>As S7-F50</t>
  </si>
  <si>
    <t>S7-F52</t>
  </si>
  <si>
    <t>Towards LLM-Assisted Architecture Recovery for Real-World ROS 2 Systems: An Agent-Based Multi-level Approach to Hierarchical Structural Architecture Reconstruction</t>
  </si>
  <si>
    <t>ECSA 2026, LNCS 16991, pp. 99-114 (Springer, dated 2027); DOI 10.1007/978-3-032-39143-8_11; published version read</t>
  </si>
  <si>
    <t>S7-F53</t>
  </si>
  <si>
    <t>ICL 2024, LNNS 1280, pp. 375-386 (Springer, 2025); PDF identical to the file read for S4-F40</t>
  </si>
  <si>
    <t>S7-F54</t>
  </si>
  <si>
    <t>Διερεύνηση αξιοποίησης εργαλείων LLM στην αρχιτεκτονική λογισμικού</t>
  </si>
  <si>
    <t>Diploma thesis, National Technical University of Athens (NTUA DSpace; Google Scholar entry as sent, dated 2026 there)</t>
  </si>
  <si>
    <t>As S4-F115</t>
  </si>
  <si>
    <t>S7-F55</t>
  </si>
  <si>
    <t>Cadernos UniFOA (revistas.unifoa.edu.br), 2026 (Google Scholar entry as sent)</t>
  </si>
  <si>
    <t>As S4-F117</t>
  </si>
  <si>
    <t>S7-F56</t>
  </si>
  <si>
    <t>Jang, H., Kim, I., Kang, W., Park, S., Kang, Y. et al.</t>
  </si>
  <si>
    <t>생성형 AI를 활용한 자동 스프린트 계획 및 프로젝트 관리 자동화 시스템</t>
  </si>
  <si>
    <t>Korean Institute of Information Scientists and Engineers (KIISE) conference proceedings, 2025 (DBpia; Google Scholar [CITATION] entry as sent, author list truncated)</t>
  </si>
  <si>
    <t>S8-F01</t>
  </si>
  <si>
    <t>Software (MDPI) 4(1), art. 6 (mdpi.com; Google Scholar entry as sent)</t>
  </si>
  <si>
    <t>S8-F02</t>
  </si>
  <si>
    <t>arXiv 2505.16697 (Google Scholar entry as sent)</t>
  </si>
  <si>
    <t>S8-F03</t>
  </si>
  <si>
    <t>Journal of Systems and Software 231, art. 112607 (ScienceDirect S0164121225002766; Google Scholar entry as sent)</t>
  </si>
  <si>
    <t>S8-F04</t>
  </si>
  <si>
    <t>Kazemitabaar, Huang, Suh, Henley &amp; Grossman</t>
  </si>
  <si>
    <t>Exploring the Design Space of Cognitive Engagement Techniques with AI-Generated Code for Enhanced Learning</t>
  </si>
  <si>
    <t>IUI '25, 30th International Conference on Intelligent User Interfaces (ACM), pp. 695-714; DOI 10.1145/3708359.3712104</t>
  </si>
  <si>
    <t>S8-F05</t>
  </si>
  <si>
    <t>Bo, Kazemitabaar, Deng, Inzlicht &amp; Anderson</t>
  </si>
  <si>
    <t>Invisible Saboteurs: Sycophantic LLMs Mislead Novices in Problem-Solving Tasks</t>
  </si>
  <si>
    <t>CHI '26, ACM CHI Conference on Human Factors in Computing Systems (ACM), 31 pp.; DOI 10.1145/3772318.3791365</t>
  </si>
  <si>
    <t>S8-F06</t>
  </si>
  <si>
    <t>ACM TOSEM 35(8), art. 225 (July 2026); DOI 10.1145/3785010 (ACM Digital Library link as sent)</t>
  </si>
  <si>
    <t>S8-F07</t>
  </si>
  <si>
    <t>S8-F08</t>
  </si>
  <si>
    <t>S8-F09</t>
  </si>
  <si>
    <t>As S7-F04</t>
  </si>
  <si>
    <t>S8-F10</t>
  </si>
  <si>
    <t>S8-F11</t>
  </si>
  <si>
    <t>Sensors (MDPI) 24(22), art. 7314; DOI 10.3390/s24227314 (mdpi.com; Google Scholar entry as sent)</t>
  </si>
  <si>
    <t>S8-F12</t>
  </si>
  <si>
    <t>arXiv 2504.08207 (Google Scholar entry as sent)</t>
  </si>
  <si>
    <t>S8-F13</t>
  </si>
  <si>
    <t>ECSA 2025, LNCS 15929, pp. 99-115 (Springer, 2026); DOI 10.1007/978-3-032-02138-0_7 (Google Scholar entry as sent)</t>
  </si>
  <si>
    <t>S8-F14</t>
  </si>
  <si>
    <t>Information and Software Technology 190, art. 107931 (ScienceDirect S0950584925002708; Google Scholar entry as sent)</t>
  </si>
  <si>
    <t>As S4-F30</t>
  </si>
  <si>
    <t>S8-F15</t>
  </si>
  <si>
    <t>S8-F16</t>
  </si>
  <si>
    <t>ICSA-C 2025 (IEEE), pp. 404-409 (IEEE Xplore 11014984; Google Scholar entry as sent)</t>
  </si>
  <si>
    <t>As S4-F33</t>
  </si>
  <si>
    <t>S8-F17</t>
  </si>
  <si>
    <t>Fayed &amp; Fayed</t>
  </si>
  <si>
    <t>Prompt-Driven Development with Claude Code: Developing a TUI Framework for the Ring Programming Language</t>
  </si>
  <si>
    <t>Electronics (MDPI) 15(4), art. 903 (published 23 February 2026); DOI 10.3390/electronics15040903</t>
  </si>
  <si>
    <t>S8-F18</t>
  </si>
  <si>
    <t>Ben Taher, Chaari Fourati &amp; Ayed</t>
  </si>
  <si>
    <t>GAI &amp; cybersecurity: Bi-visions</t>
  </si>
  <si>
    <t>Computer Science Review 61 (2026), art. 100940 (Elsevier), 29 pp.</t>
  </si>
  <si>
    <t>S8-F19</t>
  </si>
  <si>
    <t>Bo, Kazemitabaar, Zhuang &amp; Anderson</t>
  </si>
  <si>
    <t>Who's the Leader? Analyzing Novice Workflows in LLM-Assisted Debugging of Machine Learning Code</t>
  </si>
  <si>
    <t>Tools for Thought Workshop at CHI 2025 (Yokohama), 5 pp.; arXiv 2505.08063v1 (12 May 2025) read</t>
  </si>
  <si>
    <t>S8-F20</t>
  </si>
  <si>
    <t>EASE 2026 (ACM); arXiv 2604.21699 (the link sent)</t>
  </si>
  <si>
    <t>S8-F21</t>
  </si>
  <si>
    <t>ICSE '26, pp. 1687-1699; DOI 10.1145/3744916.3773114 (ACM Digital Library link as sent)</t>
  </si>
  <si>
    <t>S8-F22</t>
  </si>
  <si>
    <t>Johansson &amp; Caporuscio</t>
  </si>
  <si>
    <t>Application of AI in Software Architecture Development at Volvo Construction Equipment</t>
  </si>
  <si>
    <t>Software Architecture. ECSA 2025 Tracks and Workshops, LNCS 15982, pp. 119-126 (Springer; first online 5 September 2025, volume dated 2026); DOI 10.1007/978-3-032-04403-7_12</t>
  </si>
  <si>
    <t>S8-F23</t>
  </si>
  <si>
    <t>S8-F24</t>
  </si>
  <si>
    <t>FSE Companion '26 (ACM), pp. 1783-1792; DOI 10.1145/3803437.3806702 (Google Scholar entry as sent)</t>
  </si>
  <si>
    <t>As S4-F47</t>
  </si>
  <si>
    <t>S8-F25</t>
  </si>
  <si>
    <t>ICSA 2026 (IEEE), pp. 323-334 (IEEE Xplore 11613045; Google Scholar entry as sent)</t>
  </si>
  <si>
    <t>As S4-F50</t>
  </si>
  <si>
    <t>S8-F26</t>
  </si>
  <si>
    <t>S8-F27</t>
  </si>
  <si>
    <t>S8-F28</t>
  </si>
  <si>
    <t>Wu &amp; Tao</t>
  </si>
  <si>
    <t>MARTE-Based Modeling and Analysis for Real-Time Neuromorphic Computing in Embedded Systems</t>
  </si>
  <si>
    <t>ICCK Journal of Software Engineering 1(1), pp. 9-16 (2025); DOI 10.62762/JSE.2025.495949</t>
  </si>
  <si>
    <t>S8-F29</t>
  </si>
  <si>
    <t>Automated Software Engineering 33, article 94 (Springer, 2026); DOI 10.1007/s10515-026-00648-3 (the link sent)</t>
  </si>
  <si>
    <t>As S4-F55</t>
  </si>
  <si>
    <t>S8-F30</t>
  </si>
  <si>
    <t>Elberzhager, Gerbershagen &amp; Ginkel</t>
  </si>
  <si>
    <t>Using LLMs to Evaluate Architecture Documents – Results from a Digital Marketplace Environment</t>
  </si>
  <si>
    <t>SWQD 2026 (Software Quality Days), LNBIP 581, pp. 65-81 (Springer, 2026; first online 22 April 2026); DOI 10.1007/978-3-032-24216-7_4; version read: the PDF sent, an earlier version with 13 references</t>
  </si>
  <si>
    <t>S8-F31</t>
  </si>
  <si>
    <t>arXiv preprint 2509.13144 (Google Scholar entry as sent)</t>
  </si>
  <si>
    <t>As S4-F56</t>
  </si>
  <si>
    <t>S8-F32</t>
  </si>
  <si>
    <t>arXiv preprint 2605.01392 (Google Scholar entry as sent)</t>
  </si>
  <si>
    <t>As S4-F62</t>
  </si>
  <si>
    <t>S8-F33</t>
  </si>
  <si>
    <t>Prompt-Driven Development with Claude Code: Building a Complete TUI Framework for the Ring Programming Language</t>
  </si>
  <si>
    <t>Manuscript without venue (PDF sent, 32 pages, made with Microsoft Word); same title as arXiv preprint 2601.17584 (January 2026); earlier version of the Electronics article logged as S8-F17</t>
  </si>
  <si>
    <t>As S8-F17</t>
  </si>
  <si>
    <t>S8-F34</t>
  </si>
  <si>
    <t>EASE 2026 (ACM), Research Papers track; arXiv 2604.03826 (the link sent)</t>
  </si>
  <si>
    <t>S8-F35</t>
  </si>
  <si>
    <t>Irion, Leugers, Hartwig, Kling, Annayev, Schwind, Borges &amp; Werner</t>
  </si>
  <si>
    <t>Architectural Constraints Alignment in AI-Assisted, Platform-Based Service Development</t>
  </si>
  <si>
    <t>CAiSE 2026 Workshops (Advanced Information Systems Engineering Workshops), LNBIP 586, pp. 158-170 (Springer; first online 5 June 2026); DOI 10.1007/978-3-032-28160-9_14; version read: arXiv 2605.04973v1 (6 May 2026), the PDF sent</t>
  </si>
  <si>
    <t>S8-F36</t>
  </si>
  <si>
    <t>Software (MDPI) 4(1), art. 6 (ResearchGate copy linked from the profile of Narváez; Google Scholar entry as sent; second listing under S8)</t>
  </si>
  <si>
    <t>S8-F37</t>
  </si>
  <si>
    <t>Descubrimiento Automático de Microservicios mediante Modelos Generativos y Verificación Formal</t>
  </si>
  <si>
    <t>CACIC 2025 (XXXI Congreso Argentino de Ciencias de la Computación, Viedma, 6-10 October 2025), proceedings pp. 597-606 (as printed on the PDF sent)</t>
  </si>
  <si>
    <t>S8-F38</t>
  </si>
  <si>
    <t>Miccio, Tommasel &amp; Diaz-Pace</t>
  </si>
  <si>
    <t>A Text Mining and Classification Approach for Analyzing Architecture Decision Records</t>
  </si>
  <si>
    <t>ECSA 2026 (European Conference on Software Architecture), Research track, accepted (conference programme, 9 September 2026); version read: arXiv 2609.07375v1 (7 September 2026), the PDF sent; published chapter not found</t>
  </si>
  <si>
    <t>S8-F39</t>
  </si>
  <si>
    <t>Kohita &amp; Kasuga</t>
  </si>
  <si>
    <t>System-driven Interactive Design Support for Cloud Architecture: A Qualitative User Experience Study with Novice Engineers</t>
  </si>
  <si>
    <t>arXiv preprint 2508.12385v1 (17 August 2025, cs.HC), in the ACM template with placeholder venue and DOI ('In Proceedings of .'); a related poster, 'Understanding Proactive Support for Cloud Architecture: A Qualitative Study with Novice Engineers', is listed by the ProActLLM workshop at CIKM 2025</t>
  </si>
  <si>
    <t>S8-F40</t>
  </si>
  <si>
    <t>ACM Transactions on Autonomous and Adaptive Systems (TAAS); DOI 10.1145/3807453 (author's PDF on fuchss.org, link as sent; second listing under S8)</t>
  </si>
  <si>
    <t>S8-F41</t>
  </si>
  <si>
    <t>S8-F42</t>
  </si>
  <si>
    <t>IEEE Software 43(4), pp. 87-95 (early-access PDF on computer.org, document 11393902; Google Scholar entry as sent, second listing under S8)</t>
  </si>
  <si>
    <t>S8-F43</t>
  </si>
  <si>
    <t>Fischer, Burk, Tavakoli Kolagari &amp; Wienkop</t>
  </si>
  <si>
    <t>Machine-Readable by Design: Language Specifications as the Key to Integrating LLMs into Industrial Tools</t>
  </si>
  <si>
    <t>FedCSIS 2025 (20th Conference on Computer Science and Intelligence Systems), thematic session Model Driven Approaches in System Development, ACSIS vol. 43, pp. 531-542; DOI 10.15439/2025F5613</t>
  </si>
  <si>
    <t>S8-F44</t>
  </si>
  <si>
    <t>PhD dissertation, University of California, Irvine (ProQuest Dissertations &amp; Theses; ProQuest link as sent)</t>
  </si>
  <si>
    <t>As S4-F94</t>
  </si>
  <si>
    <t>S8-F45</t>
  </si>
  <si>
    <t>Kazemitabaar, SeyedMajeed</t>
  </si>
  <si>
    <t>Interaction and Cognition in AI-Assisted Programming</t>
  </si>
  <si>
    <t>PhD thesis, Department of Computer Science, University of Toronto (2026); ProQuest preview PDF sent (24 pages, front matter and the start of Chapter 2)</t>
  </si>
  <si>
    <t>S8-F46</t>
  </si>
  <si>
    <t>SBES 2026, Innovative Ideas and Emerging Results track (paper PDF on the CBSoft 2026 site, link as sent)</t>
  </si>
  <si>
    <t>As S4-F97</t>
  </si>
  <si>
    <t>S8-F47</t>
  </si>
  <si>
    <t>Stadler, Felix</t>
  </si>
  <si>
    <t>A natural language approach for interacting with software architecture knowledge</t>
  </si>
  <si>
    <t>Master's thesis, Johannes Kepler University Linz (record in JKU ePUB, link as sent; the page could not be opened from our environment; year 2025 from the Google Scholar entry sent for S9-F19; institute and supervisor not checked)</t>
  </si>
  <si>
    <t>S8-F48</t>
  </si>
  <si>
    <t>S8-F49</t>
  </si>
  <si>
    <t>S8-F50</t>
  </si>
  <si>
    <t>Ragiphani</t>
  </si>
  <si>
    <t>Generative AI-Driven Enterprise Content Management: A Microservices Framework Leveraging Reinforcement Learning for Scalable and Resilient Financial Systems</t>
  </si>
  <si>
    <t>ICCBI 2026 (5th International Conference on Computer Networks, Big Data and IoT), IEEE, pp. 752-759; DOI 10.1109/ICCBI68589.2026.11619809</t>
  </si>
  <si>
    <t>S8-F51</t>
  </si>
  <si>
    <t>Google Scholar entry as sent: '... Innovations Frontiers: Science, Technology, and Social ...', 2026, irjernet.net, article view 28 (link as sent)</t>
  </si>
  <si>
    <t>S8-F52</t>
  </si>
  <si>
    <t>CIbSE 2026, Emerging Ideas track (SBC SOL article 42461; Google Scholar entry as sent)</t>
  </si>
  <si>
    <t>As S4-F105</t>
  </si>
  <si>
    <t>S8-F53</t>
  </si>
  <si>
    <t>S8-F54</t>
  </si>
  <si>
    <t>Journal of Systems and Software 240, art. 112966 (title and authors as sent; second listing under S8)</t>
  </si>
  <si>
    <t>S8-F55</t>
  </si>
  <si>
    <t>Palliya Guruge, Ovini Poornima</t>
  </si>
  <si>
    <t>Prompt Engineering for Software Architecture Modelling</t>
  </si>
  <si>
    <t>Master's thesis, Master's Programme in Computer Science, dated 26 June 2025 (title page sent as a screenshot; the logo appears to be the University of Helsinki's, but the institution is not named on the page)</t>
  </si>
  <si>
    <t>S8-F56</t>
  </si>
  <si>
    <t>WICC 2026, conference object in the SEDICI repository of UNLP (handle 10915/196677, link as sent)</t>
  </si>
  <si>
    <t>As S4-F114</t>
  </si>
  <si>
    <t>S8-F57</t>
  </si>
  <si>
    <t>Sombra, Amalfitano &amp; Garcés</t>
  </si>
  <si>
    <t>Security architectural pattern recommendation in a RAG-based assistant: Results of an LLM-as-a-judge evaluation</t>
  </si>
  <si>
    <t>AISecDev 2026 (Secure Software Development in the Age of AI), workshop co-located with CBSoft 2026, São Paulo, 8 September 2026; 4 pp.; publication venue of the workshop papers not stated</t>
  </si>
  <si>
    <t>S8-F58</t>
  </si>
  <si>
    <t>Feng, Zhang, Xu, He, Li &amp; Yuan</t>
  </si>
  <si>
    <t>Integrating Regulatory Compliance In AI-Assisted Architectural Design</t>
  </si>
  <si>
    <t>CAAD Futures 2025 (Catalytic Interfaces), Conference Proceedings Vol. I, pp. 115-130 (University of Hong Kong); DOI 10.25442/hku.29349179</t>
  </si>
  <si>
    <t>S8-F59</t>
  </si>
  <si>
    <t>CIbSE 2026 Doctoral Symposium (Simpósio de Doutorado), SBC SOL; DOI 10.5753/cibse.2026.42459 (screenshot of the SOL article page as sent)</t>
  </si>
  <si>
    <t>S9-F01</t>
  </si>
  <si>
    <t>S9-F02</t>
  </si>
  <si>
    <t>Soliman, Albonico, Malavolta &amp; Wortmann</t>
  </si>
  <si>
    <t>Mining software repositories for software architecture — A systematic mapping study</t>
  </si>
  <si>
    <t>Information and Software Technology 181, art. 107677 (Elsevier, 2025); DOI 10.1016/j.infsof.2025.107677</t>
  </si>
  <si>
    <t>S9-F03</t>
  </si>
  <si>
    <t>arXiv 2604.21958 (April 2026), the PDF sent (byte-identical to the file read for S2-F01); journal version in Systems (MDPI) 14(6), art. 722 (S2-F02)</t>
  </si>
  <si>
    <t>S9-F04</t>
  </si>
  <si>
    <t>ICSA 2025 (IEEE Xplore 10978937; Google Scholar entry as sent)</t>
  </si>
  <si>
    <t>S9-F05</t>
  </si>
  <si>
    <t>ECSA 2025 tutorials, LNCS 15982, pp. 41-49 (Springer); DOI 10.1007/978-3-032-04403-7_5 (Google Scholar entry as sent)</t>
  </si>
  <si>
    <t>As S4-F18</t>
  </si>
  <si>
    <t>S9-F06</t>
  </si>
  <si>
    <t>ICSA 2026 (IEEE Xplore 11612823; Google Scholar entry as sent)</t>
  </si>
  <si>
    <t>As S4-F19</t>
  </si>
  <si>
    <t>S9-F07</t>
  </si>
  <si>
    <t>ICSA-C 2025 (IEEE Xplore 11014997; Google Scholar entry as sent)</t>
  </si>
  <si>
    <t>S9-F08</t>
  </si>
  <si>
    <t>S9-F09</t>
  </si>
  <si>
    <t>Ivers &amp; Ozkaya</t>
  </si>
  <si>
    <t>Will Generative AI Fill the Automation Gap in Software Architecting?</t>
  </si>
  <si>
    <t>ICSA-C 2025 (IEEE), pp. 41-45; DOI 10.1109/ICSA-C65153.2025.00014</t>
  </si>
  <si>
    <t>S9-F10</t>
  </si>
  <si>
    <t>ICSA 2026 (IEEE Xplore 11613067; Google Scholar entry as sent)</t>
  </si>
  <si>
    <t>As S4-F34</t>
  </si>
  <si>
    <t>S9-F11</t>
  </si>
  <si>
    <t>Wang, Zhao, Zhang, Li, Shi, Xia, Su, Li &amp; Xu</t>
  </si>
  <si>
    <t>Artificial Intelligence-Based Architectural Design (AIAD): An Influence Mechanism Analysis for the New Technology Using the Hybrid Multi-Criteria Decision-Making Framework</t>
  </si>
  <si>
    <t>Buildings (MDPI) 15(21), art. 3898 (published 28 October 2025); DOI 10.3390/buildings15213898</t>
  </si>
  <si>
    <t>S9-F12</t>
  </si>
  <si>
    <t>Su, Mirafzal &amp; Stal-Le Cardinal</t>
  </si>
  <si>
    <t>Exploring LLM-based agents for need analysis of knowledge management practice</t>
  </si>
  <si>
    <t>ICED25, Proceedings of the Design Society, Volume 5, pp. 1675-1684 (Cambridge University Press); DOI 10.1017/pds.2025.10181</t>
  </si>
  <si>
    <t>S9-F13</t>
  </si>
  <si>
    <t>S9-F14</t>
  </si>
  <si>
    <t>ICASSP 2026 (IEEE Xplore 11462552; Google Scholar entry as sent)</t>
  </si>
  <si>
    <t>S9-F15</t>
  </si>
  <si>
    <t>S9-F16</t>
  </si>
  <si>
    <t>Systems (MDPI) 14(6), art. 722 (EBSCO and ProQuest links; Google Scholar entry as sent)</t>
  </si>
  <si>
    <t>S9-F17</t>
  </si>
  <si>
    <t>S9-F18</t>
  </si>
  <si>
    <t>S9-F19</t>
  </si>
  <si>
    <t>Master's thesis, Johannes Kepler University Linz (JKU ePUB record 12572745; Google Scholar entry as sent, dated 2025)</t>
  </si>
  <si>
    <t>As S8-F47</t>
  </si>
  <si>
    <t>S9-F20</t>
  </si>
  <si>
    <t>Google Scholar entry as sent: '... Innovation...' (irjernet.net, article view 28; PDF download 28/83); year as for S4-F101 and S8-F51, the same Scholar record</t>
  </si>
  <si>
    <t>S9-F21</t>
  </si>
  <si>
    <t>Master's thesis, LUT University (LUTPub, handle 10024/170266; Google Scholar entry as sent, dated 2025)</t>
  </si>
  <si>
    <t>As S4-F102</t>
  </si>
  <si>
    <t>S9-F22</t>
  </si>
  <si>
    <t>S9-F23</t>
  </si>
  <si>
    <t>Journal of Systems and Software 240, art. 112966 (title and authors as sent; second listing under S9)</t>
  </si>
  <si>
    <t>S9-F24</t>
  </si>
  <si>
    <t>Ütt, Rainar</t>
  </si>
  <si>
    <t>Generative AI Applications in the Software Development Life Cycle</t>
  </si>
  <si>
    <t>Bachelor's thesis, School of Information Technologies, Tallinn University of Technology (supervisors K. Vassiljeva and E. Petlenkov); title page sent as a screenshot; year not shown</t>
  </si>
  <si>
    <t>S10-F01</t>
  </si>
  <si>
    <t>S10-F02</t>
  </si>
  <si>
    <t>S10-F03</t>
  </si>
  <si>
    <t>Empirical Software Engineering (accepted manuscript); arXiv 2508.15503 (Google Scholar entry as sent)</t>
  </si>
  <si>
    <t>As S4-F05</t>
  </si>
  <si>
    <t>S10-F04</t>
  </si>
  <si>
    <t>Rico &amp; Öberg</t>
  </si>
  <si>
    <t>Challenges and Opportunities for Generative AI in Software Engineering: A Managerial View</t>
  </si>
  <si>
    <t>FSE Companion '25 (33rd ACM International Conference on the Foundations of Software Engineering, Trondheim), pp. 1338-1344; DOI 10.1145/3696630.3728718</t>
  </si>
  <si>
    <t>S10-F05</t>
  </si>
  <si>
    <t>Luo, Zhang, Zhang, Wang, Qin, Lu, Ma, He, Xie, Zhou, Hu, Mi, Wang, Tan, Chen, Fung, Yuan &amp; Shen</t>
  </si>
  <si>
    <t>UltraHorizon: Benchmarking Agent Capabilities in Ultra Long-Horizon Scenarios</t>
  </si>
  <si>
    <t>ICML 2026, poster (conference programme, poster 61412, 8 July 2026), as 'UltraHorizon: Benchmarking LLM-Agent Capabilities in Ultra Long-Horizon Scenarios'; version read: arXiv 2509.21766v1 (26 September 2025), the PDF sent</t>
  </si>
  <si>
    <t>S10-F06</t>
  </si>
  <si>
    <t>Kobiella, Breidenstein &amp; Schmidt</t>
  </si>
  <si>
    <t>From Throw-Away to Takeaway: How GenAI and Vibe Coding Accelerate Prototyping Across Technical Skill Levels</t>
  </si>
  <si>
    <t>CHI '26 (ACM CHI Conference on Human Factors in Computing Systems, Barcelona, 13-17 April 2026), 23 pages; DOI 10.1145/3772318.3790757</t>
  </si>
  <si>
    <t>S10-F07</t>
  </si>
  <si>
    <t>S10-F08</t>
  </si>
  <si>
    <t>IEEE Transactions on Software Engineering (IEEE Xplore 11203255; Google Scholar entry as sent)</t>
  </si>
  <si>
    <t>As S4-F24</t>
  </si>
  <si>
    <t>S10-F09</t>
  </si>
  <si>
    <t>ACM Transactions on Software Engineering and Methodology (DOI 10.1145/3715112; Google Scholar entry as sent)</t>
  </si>
  <si>
    <t>As S7-F07</t>
  </si>
  <si>
    <t>S10-F10</t>
  </si>
  <si>
    <t>Giray, Demirörs, Kalinowski &amp; Mendez</t>
  </si>
  <si>
    <t>An Empirical Study of Generative AI Adoption in Software Engineering</t>
  </si>
  <si>
    <t>arXiv preprint 2512.23327 (v2, 1 April 2026; v1, 29 December 2025), also posted on SSRN (23 March 2026); no published version found</t>
  </si>
  <si>
    <t>S10-F11</t>
  </si>
  <si>
    <t>Santos, Magalhaes &amp; de Souza Santos</t>
  </si>
  <si>
    <t>Model-Assisted and Human-Guided: Perceptions and Practices of Software Professionals Using LLMs for Coding</t>
  </si>
  <si>
    <t>AIware 2025 (2nd IEEE/ACM International Conference on AI-powered Software), pp. 105-112; DOI 10.1109/AIware69974.2025.00019; IEEE Xplore version read</t>
  </si>
  <si>
    <t>S10-F12</t>
  </si>
  <si>
    <t>Santana, Magalhaes &amp; de Souza Santos</t>
  </si>
  <si>
    <t>Software Testing with Large Language Models: An Interview Study with Practitioners</t>
  </si>
  <si>
    <t>AIware 2025 (2nd IEEE/ACM International Conference on AI-powered Software), pp. 96-104; DOI 10.1109/AIware69974.2025.00018; IEEE Xplore version read</t>
  </si>
  <si>
    <t>S10-F13</t>
  </si>
  <si>
    <t>ICSA-C 2025 (IEEE), pp. 41-45; DOI 10.1109/ICSA-C65153.2025.00014; IEEE Xplore version sent</t>
  </si>
  <si>
    <t>As S9-F09</t>
  </si>
  <si>
    <t>S10-F14</t>
  </si>
  <si>
    <t>Solovyeva &amp; Castor</t>
  </si>
  <si>
    <t>Towards Green AI: Decoding the Energy of LLM Inference in Software Development</t>
  </si>
  <si>
    <t>arXiv preprint 2602.05712 (v1, 5 February 2026), in an unfilled ACM template; no published version found</t>
  </si>
  <si>
    <t>S10-F15</t>
  </si>
  <si>
    <t>S10-F16</t>
  </si>
  <si>
    <t>Singh, Korlu, Orcun &amp; Assunção</t>
  </si>
  <si>
    <t>Experiences on Using Large Language Models to Re-Engineer a Legacy System at Volvo Group</t>
  </si>
  <si>
    <t>SANER 2025 (IEEE International Conference on Software Analysis, Evolution and Reengineering), industry report, pp. 102-112; DOI 10.1109/SANER64311.2025.00018; IEEE Xplore version read</t>
  </si>
  <si>
    <t>S10-F17</t>
  </si>
  <si>
    <t>Sharanarthi &amp; Polineni</t>
  </si>
  <si>
    <t>Multi-Agent LLM Collaboration for Adaptive Code Review, Debugging, and Security Analysis</t>
  </si>
  <si>
    <t>MRAI 2025 (International Conference on Mechatronics, Robotics, and Artificial Intelligence), IEEE, pp. 541-546; DOI 10.1109/MRAI65197.2025.11135756; IEEE Xplore version read</t>
  </si>
  <si>
    <t>S10-F18</t>
  </si>
  <si>
    <t>De Luca, Santilli, Amalfitano, Fasolino &amp; Pelliccione</t>
  </si>
  <si>
    <t>CIAO - Code In Architecture Out - Automated Software Architecture Documentation with Large Language Models</t>
  </si>
  <si>
    <t>ICSA 2026 (IEEE 23rd International Conference on Software Architecture), pp. 201-212; DOI 10.1109/ICSA66085.2026.00026; IEEE Xplore version read</t>
  </si>
  <si>
    <t>S10-F19</t>
  </si>
  <si>
    <t>Guerra &amp; Ernst</t>
  </si>
  <si>
    <t>Assessing LLMs for Front-end Software Architecture Knowledge</t>
  </si>
  <si>
    <t>Designing 2025 (IEEE/ACM International Workshop on Designing Software), pp. 6-10; DOI 10.1109/Designing66910.2025.00007; IEEE Xplore version read</t>
  </si>
  <si>
    <t>S10-F20</t>
  </si>
  <si>
    <t>Sharanarthi</t>
  </si>
  <si>
    <t>Adaptive Multi-Agent AI Framework for Real-Time Energy Optimization and Context-Aware Code Review in Software Development</t>
  </si>
  <si>
    <t>ISCTIS 2025 (5th International Symposium on Computer Technology and Information Science), IEEE, pp. 353-358; DOI 10.1109/ISCTIS65944.2025.11066037; IEEE Xplore version read</t>
  </si>
  <si>
    <t>S10-F21</t>
  </si>
  <si>
    <t>Bhalla &amp; Jodhka</t>
  </si>
  <si>
    <t>Leveraging Large Language Models in the Software Development Lifecycle: Opportunities and Challenges</t>
  </si>
  <si>
    <t>International Journal of Advanced Computer Science and Applications (IJACSA) 16(11), pp. 43-52</t>
  </si>
  <si>
    <t>S10-F22</t>
  </si>
  <si>
    <t>Duarte</t>
  </si>
  <si>
    <t>Automated Microservice Pattern Instance Detection Using Infrastructure-as-Code Artifacts and Large Language Models</t>
  </si>
  <si>
    <t>ICSA-C 2025 (IEEE 22nd International Conference on Software Architecture Companion), Early Career Track, pp. 161-166; DOI 10.1109/ICSA-C65153.2025.00030; IEEE Xplore version read</t>
  </si>
  <si>
    <t>S10-F23</t>
  </si>
  <si>
    <t>Designing '26 (ACM; DOI 10.1145/3786152.3788588; Google Scholar entry as sent)</t>
  </si>
  <si>
    <t>As S4-F39</t>
  </si>
  <si>
    <t>S10-F24</t>
  </si>
  <si>
    <t>Amasanti &amp; Jahić</t>
  </si>
  <si>
    <t>The Impact of AI-Generated Solutions on Software Architecture and Productivity: Results from a Survey Study</t>
  </si>
  <si>
    <t>Software Architecture. ECSA 2025 Tracks and Workshops, LNCS 15982, pp. 89-104 (Springer, volume dated 2026); DOI 10.1007/978-3-032-04403-7_10</t>
  </si>
  <si>
    <t>S10-F25</t>
  </si>
  <si>
    <t>Zhong, Huang, Lyv &amp; Li</t>
  </si>
  <si>
    <t>Quality attributes, challenges, and solutions for designing GenAI-enabled systems</t>
  </si>
  <si>
    <t>Information and Software Technology 198, art. 108207 (Elsevier; received 23 December 2025, accepted 26 May 2026, online 6 June 2026); DOI 10.1016/j.infsof.2026.108207</t>
  </si>
  <si>
    <t>S10-F26</t>
  </si>
  <si>
    <t>Yamani, Baslyman &amp; Ahmed</t>
  </si>
  <si>
    <t>Are We Aligned? A Preliminary Investigation of the Alignment of Responsible AI Values Between LLMs and Human Judgment</t>
  </si>
  <si>
    <t>AIware 2025 (2nd IEEE/ACM International Conference on AI-powered Software), pp. 133-142; DOI 10.1109/AIware69974.2025.00022; IEEE Xplore version read</t>
  </si>
  <si>
    <t>S10-F27</t>
  </si>
  <si>
    <t>Perkusich, Albuquerque, Araújo, Paixão, Gheyi, Kalinowski &amp; Perkusich</t>
  </si>
  <si>
    <t>Adoption of Large Language Models in Scrum Management: Insights from Brazilian Practitioners</t>
  </si>
  <si>
    <t>XP 2026, LNBIP 578, pp. 255-273 (Springer, open access); DOI 10.1007/978-3-032-22375-3_16</t>
  </si>
  <si>
    <t>S10-F28</t>
  </si>
  <si>
    <t>Staegemann, Rizun, Haertel, Pohl, Daase &amp; Turowski</t>
  </si>
  <si>
    <t>How did the Emergence of ChatGPT Impact Stack Overflow? – A Literature Review</t>
  </si>
  <si>
    <t>ISD 2025 (33rd International Conference on Information Systems Development, Belgrade); 12 pp.; PDF sent read</t>
  </si>
  <si>
    <t>S10-F29</t>
  </si>
  <si>
    <t>Jackson, Liu &amp; van der Hoek</t>
  </si>
  <si>
    <t>Using Generative AI in Software Design Education: An Experience Report</t>
  </si>
  <si>
    <t>arXiv preprint 2506.21703 (v1, 26 June 2025); earlier version of the Designing '26 paper logged as S10-F31</t>
  </si>
  <si>
    <t>As S10-F31</t>
  </si>
  <si>
    <t>S10-F30</t>
  </si>
  <si>
    <t>ICSE-Companion '26 (ACM; DOI 10.1145/3774748.3795876; Google Scholar entry as sent)</t>
  </si>
  <si>
    <t>As S4-F44</t>
  </si>
  <si>
    <t>S10-F31</t>
  </si>
  <si>
    <t>Using Generative AI in Software Design Education</t>
  </si>
  <si>
    <t>Designing '26 (3rd International Workshop on Designing Software, ACM), pp. 36-43; DOI 10.1145/3786152.3788589</t>
  </si>
  <si>
    <t>S10-F32</t>
  </si>
  <si>
    <t>Töpfer, Bureš, Hnětynka &amp; Plášil</t>
  </si>
  <si>
    <t>Understanding ensemble-based component architectures by LLMs</t>
  </si>
  <si>
    <t>International Journal on Software Tools for Technology Transfer 27, pp. 641-655 (Springer, special section on rigorous engineering of collective adaptive systems; accepted 13 December 2025, online 14 January 2026); DOI 10.1007/s10009-025-00835-9</t>
  </si>
  <si>
    <t>S10-F33</t>
  </si>
  <si>
    <t>ICSA 2026 (IEEE Xplore 11613045; Google Scholar entry as sent)</t>
  </si>
  <si>
    <t>S10-F34</t>
  </si>
  <si>
    <t>Real-Time Adaptive Code Analysis with a Self-Learning Multi-Agent Framework: A Retrieval-Augmented Reinforcement Learning Approach</t>
  </si>
  <si>
    <t>ICAIDE 2025 (International Conference on Artificial Intelligence and Digital Ethics), IEEE, pp. 534-540; DOI 10.1109/ICAIDE65466.2025.11189485; IEEE Xplore version read</t>
  </si>
  <si>
    <t>S10-F35</t>
  </si>
  <si>
    <t>Kaufman, Brun, Murali &amp; Endres</t>
  </si>
  <si>
    <t>Programmers Are Poor and Overconfident Judges of LLM-Generated Assertions</t>
  </si>
  <si>
    <t>arXiv preprint 2607.08885 (v1, 9 July 2026); no published version found</t>
  </si>
  <si>
    <t>S10-F36</t>
  </si>
  <si>
    <t>S10-F37</t>
  </si>
  <si>
    <t>Horvat, Ursić &amp; Krmpotić</t>
  </si>
  <si>
    <t>Comparative Evaluation of Gemini and DeepSeek for LLM-Generated Code Quality and Architectural Robustness in Backend Software Engineering</t>
  </si>
  <si>
    <t>Electronics (MDPI) 15(13), art. 2805, 29 pp. (received 14 May, revised 22 June, accepted 23 June, published 25 June 2026); DOI 10.3390/electronics15132805</t>
  </si>
  <si>
    <t>S10-F38</t>
  </si>
  <si>
    <t>S10-F39</t>
  </si>
  <si>
    <t>Abbassi, Da Silva, Nikanjam &amp; Khomh</t>
  </si>
  <si>
    <t>ReCatcher: Towards LLMs Regression Testing for Code Generation</t>
  </si>
  <si>
    <t>arXiv preprint 2507.19390 (v1, 25 July 2025), ACM template marked 'Manuscript submitted to ACM' with placeholder DOI; no published version found</t>
  </si>
  <si>
    <t>S10-F40</t>
  </si>
  <si>
    <t>SWQD 2026, LNBIP 581, pp. 65-81 (Springer; link.springer.com chapter 10.1007/978-3-032-24216-7_4; Google Scholar entry as sent)</t>
  </si>
  <si>
    <t>As S8-F30</t>
  </si>
  <si>
    <t>S10-F41</t>
  </si>
  <si>
    <t>Robert, Ozkaya &amp; Schmidt</t>
  </si>
  <si>
    <t>Transforming Software Engineering and Software Acquisition with Large Language Models</t>
  </si>
  <si>
    <t>Book chapter in Artificial Intelligence and Large Language Models (CRC Press, 11 March 2026), pp. 180-200; DOI 10.1201/9781003492252-7; version read: the authors' manuscript (23 pp., December 2024)</t>
  </si>
  <si>
    <t>S10-F42</t>
  </si>
  <si>
    <t>Guernsey, Grant</t>
  </si>
  <si>
    <t>Harnessing Large Language Models for Automated Software Diagram Generation</t>
  </si>
  <si>
    <t>Master's thesis (M.S. in Computer Science), University of Cincinnati; document of defense dated 14 March 2025, committee chair Yizong Cheng, members Tianyu Jiang and Nan Niu (screenshot of the defense document as sent)</t>
  </si>
  <si>
    <t>S10-F43</t>
  </si>
  <si>
    <t>SBCARS 2025, pp. 79-89 (SBC Open Library article 36976; Google Scholar entry as sent)</t>
  </si>
  <si>
    <t>As S4-F59</t>
  </si>
  <si>
    <t>S10-F44</t>
  </si>
  <si>
    <t>Kjellberg, Fotrousi &amp; Staron</t>
  </si>
  <si>
    <t>Strategies for Guiding LLMs to Use Software Design Patterns: A Case of Singleton</t>
  </si>
  <si>
    <t>PROMISE '26 (22nd International Conference on Predictive Models and Data Analytics in Software Engineering, ACM), 10 pp.; DOI 10.1145/3803846.3807469</t>
  </si>
  <si>
    <t>S10-F45</t>
  </si>
  <si>
    <t>S10-F46</t>
  </si>
  <si>
    <t>Babbling Suppression: Making LLMs Greener One Token at a Time</t>
  </si>
  <si>
    <t>arXiv preprint 2604.06755 (v1, 8 April 2026), in an unfilled ACM template; no published version found</t>
  </si>
  <si>
    <t>S10-F47</t>
  </si>
  <si>
    <t>S10-F48</t>
  </si>
  <si>
    <t>AISM '26 (ACM); arXiv 2608.28403 (Google Scholar entry as sent)</t>
  </si>
  <si>
    <t>As S7-F27</t>
  </si>
  <si>
    <t>S10-F49</t>
  </si>
  <si>
    <t>S10-F50</t>
  </si>
  <si>
    <t>S10-F51</t>
  </si>
  <si>
    <t>Future Generation Computer Systems 185, article 108683 (ScienceDirect S0167739X26003171; Google Scholar entry as sent)</t>
  </si>
  <si>
    <t>As S4-F70</t>
  </si>
  <si>
    <t>S10-F52</t>
  </si>
  <si>
    <t>IDEA-ARCH 2026 (ECSA 2026 workshop); arXiv 2609.03721 (Google Scholar entry as sent)</t>
  </si>
  <si>
    <t>S10-F53</t>
  </si>
  <si>
    <t>CAiSE 2026 Workshops, LNBIP 586, pp. 158-170 (Springer chapter 10.1007/978-3-032-28160-9_14; Google Scholar entry as sent)</t>
  </si>
  <si>
    <t>As S8-F35</t>
  </si>
  <si>
    <t>S10-F54</t>
  </si>
  <si>
    <t>Tagliaferro, Guindani, Lestingi &amp; Rossi</t>
  </si>
  <si>
    <t>Towards an Agentic LLM-based Approach to Requirement Formalization from Unstructured Specifications</t>
  </si>
  <si>
    <t>arXiv preprint 2604.18228 (v1, 20 Apr 2026); no venue stated</t>
  </si>
  <si>
    <t>S10-F55</t>
  </si>
  <si>
    <t>SAC '26 (ACM; DOI 10.1145/3748522.3780005; ACM Digital Library entry as sent)</t>
  </si>
  <si>
    <t>As S4-F78</t>
  </si>
  <si>
    <t>S10-F56</t>
  </si>
  <si>
    <t>Ben Ayed, Jemai, Letsholo &amp; Alrammal</t>
  </si>
  <si>
    <t>Automated LLM-based Classification of Software Requirements</t>
  </si>
  <si>
    <t>Journal of Information &amp; Knowledge Management (World Scientific), article 2650068; DOI 10.1142/S0219649226500681; published online 8 September 2026; first page only (screenshot as sent)</t>
  </si>
  <si>
    <t>S10-F57</t>
  </si>
  <si>
    <t>AI-SQE '26 (ICSE 2026 workshop), ACM; DOI 10.1145/3786175.3788350 (ACM Digital Library; Google Scholar entry as sent)</t>
  </si>
  <si>
    <t>As S4-F81</t>
  </si>
  <si>
    <t>S10-F58</t>
  </si>
  <si>
    <t>S10-F59</t>
  </si>
  <si>
    <t>Nazim, Ahmad, Ansari &amp; Mewada</t>
  </si>
  <si>
    <t>Using Large Language Models to Software Requirements Selection for Scalable, Explainable, and Reliable Results</t>
  </si>
  <si>
    <t>Book chapter (Chapter 13, from p. 315) in Green Software Engineering for Business Project Management (IGI Global Scientific Publishing; published online 10 November 2025, copyright 2026); DOI 10.4018/979-8-3373-4652-6.ch013; first page only (screenshot as sent)</t>
  </si>
  <si>
    <t>S10-F60</t>
  </si>
  <si>
    <t>SSRN preprint (abstract ID 7207018; SSRN entry as sent)</t>
  </si>
  <si>
    <t>As S4-F92</t>
  </si>
  <si>
    <t>S10-F61</t>
  </si>
  <si>
    <t>Andersson &amp; Wang</t>
  </si>
  <si>
    <t>Semantic Similarity of LLM Explanations in Software Engineering Tasks</t>
  </si>
  <si>
    <t>Master's thesis in Computer Science and Engineering, Department of Computer Science and Engineering, Chalmers University of Technology and University of Gothenburg, Gothenburg 2026 (title page as sent)</t>
  </si>
  <si>
    <t>S10-F62</t>
  </si>
  <si>
    <t>PhD dissertation, University of California, Irvine (ProQuest Dissertations &amp; Theses; ProQuest link and Google Scholar entry as sent)</t>
  </si>
  <si>
    <t>S10-F63</t>
  </si>
  <si>
    <t>Rizk, Korayem &amp; Alexan</t>
  </si>
  <si>
    <t>Data-Oriented Design Integration Layer (DODIL): A Powerful Augmented Schema Framework for LLM-Powered Systems</t>
  </si>
  <si>
    <t>Preprints.org preprint (v1, posted 22 January 2025); DOI 10.20944/preprints202501.1655.v1; cover page as sent</t>
  </si>
  <si>
    <t>S10-F64</t>
  </si>
  <si>
    <t>The American Journal of Engineering and Technology 6(12), pp. 222-229 (usajournal.net, article 1126; Google Scholar entry as sent)</t>
  </si>
  <si>
    <t>S10-F65</t>
  </si>
  <si>
    <t>SSRN preprint 6799068 (Google Scholar entry as sent)</t>
  </si>
  <si>
    <t>As S3-F09</t>
  </si>
  <si>
    <t>S10-F66</t>
  </si>
  <si>
    <t>S10-F67</t>
  </si>
  <si>
    <t>Colombo, de Souza, de Brisolara, Santana &amp; Tavares</t>
  </si>
  <si>
    <t>Avaliação do uso de LLMs para Suporte à Tomada de Decisão na Adoção de Padrões de Projeto em Software Orientado a Objetos</t>
  </si>
  <si>
    <t>SBCARS 2025 (XIX Simpósio Brasileiro de Componentes, Arquiteturas e Reutilização de Software), pp. 101-111 (SBC OpenLib); DOI 10.5753/sbcars.2025.14602; Google Scholar entry as sent</t>
  </si>
  <si>
    <t>S10-F68</t>
  </si>
  <si>
    <t>Неретін, О. С. (Neretin)</t>
  </si>
  <si>
    <t>Методи та засоби аналізу кібербезпеки і захисту великих мовних моделей від генерації забороненого контенту на локальних і хмарних серверах</t>
  </si>
  <si>
    <t>khai.edu (National Aerospace University "Kharkiv Aviation Institute"); document type not established (Google Scholar entry as sent)</t>
  </si>
  <si>
    <t>S10-F69</t>
  </si>
  <si>
    <t>ECSA 2026, LNCS 16991 (Springer); DOI 10.1007/978-3-032-39143-8_19 (Springer volume PDF from p. 219; Google Scholar entry as sent; second listing under S10)</t>
  </si>
  <si>
    <t>S10-F70</t>
  </si>
  <si>
    <t>S10-F71</t>
  </si>
  <si>
    <t>S10-F72</t>
  </si>
  <si>
    <t>Van, L. M. L.</t>
  </si>
  <si>
    <t>Leistungsfähigkeit von Large Language Models bei der Fehlererkennung und Fehlerbehebung im Softwaretest</t>
  </si>
  <si>
    <t>Bachelor's thesis, Department Informatik, Fakultät Technik und Informatik, HAW Hamburg; REPOSIT (handle 20.500.12738/18733; Google Scholar entry as sent)</t>
  </si>
  <si>
    <t>S11-F01</t>
  </si>
  <si>
    <t>Liu, Han, Ma, Zhang, Yang, Tian, He, Li, He, Liu, Wu, Zhao, Zhu, Li, Qiang, Shen, Liu &amp; Ge</t>
  </si>
  <si>
    <t>Summary of ChatGPT-Related research and perspective towards the future of large language models</t>
  </si>
  <si>
    <t>Meta-Radiology 1, article 100017 (KeAi / Elsevier; received 7 June 2023, accepted 10 August 2023, online 18 August 2023); DOI 10.1016/j.metrad.2023.100017</t>
  </si>
  <si>
    <t>S11-F02</t>
  </si>
  <si>
    <t>Al Naqbi, Bahroun &amp; Ahmed</t>
  </si>
  <si>
    <t>Enhancing Work Productivity through Generative Artificial Intelligence: A Comprehensive Literature Review</t>
  </si>
  <si>
    <t>Sustainability (MDPI) 16(3), article 1166 (received 25 December 2023, accepted 19 January 2024, published 30 January 2024); DOI 10.3390/su16031166</t>
  </si>
  <si>
    <t>S11-F03</t>
  </si>
  <si>
    <t>Fan, Gokkaya, Harman, Lyubarskiy, Sengupta, Yoo &amp; Zhang</t>
  </si>
  <si>
    <t>Large Language Models for Software Engineering: Survey and Open Problems</t>
  </si>
  <si>
    <t>ICSE-FoSE 2023 (IEEE/ACM International Conference on Software Engineering: Future of Software Engineering), pp. 31-53; DOI 10.1109/ICSE-FoSE59343.2023.00008; IEEE Xplore version read</t>
  </si>
  <si>
    <t>S11-F04</t>
  </si>
  <si>
    <t>Javaid, Haleem, Singh, Khan &amp; Khan</t>
  </si>
  <si>
    <t>Unlocking the opportunities through ChatGPT Tool towards ameliorating the education system</t>
  </si>
  <si>
    <t>BenchCouncil Transactions on Benchmarks, Standards and Evaluations 3, article 100115 (KeAi; received 13 April 2023, accepted 20 May 2023, online 26 May 2023); DOI 10.1016/j.tbench.2023.100115</t>
  </si>
  <si>
    <t>S11-F05</t>
  </si>
  <si>
    <t>Al Shloul, Mazhar, Abbas, Iqbal, Ghadi, Shahzad, Mallek &amp; Hamam</t>
  </si>
  <si>
    <t>Role of activity-based learning and ChatGPT on students' performance in education</t>
  </si>
  <si>
    <t>Computers and Education: Artificial Intelligence 6, article 100219 (Elsevier; received 31 August 2023, accepted 24 March 2024, online 3 April 2024); DOI 10.1016/j.caeai.2024.100219</t>
  </si>
  <si>
    <t>S11-F06</t>
  </si>
  <si>
    <t>Thakur, Ahmad, Pearce, Tan, Dolan-Gavitt, Karri &amp; Garg</t>
  </si>
  <si>
    <t>VeriGen: A Large Language Model for Verilog Code Generation</t>
  </si>
  <si>
    <t>ACM Transactions on Design Automation of Electronic Systems 29(3), article 46, 31 pp. (April 2024); DOI 10.1145/3643681; extends the DATE 2023 paper</t>
  </si>
  <si>
    <t>S11-F07</t>
  </si>
  <si>
    <t>Nguyen-Duc, Cabrero-Daniel, Przybylek, Arora, Khanna, Herda, Rafiq, Melegati, Guerra, Kemell, Saari, Zhang, Le, Quan &amp; Abrahamsson</t>
  </si>
  <si>
    <t>Generative Artificial Intelligence for Software Engineering—A Research Agenda</t>
  </si>
  <si>
    <t>Software: Practice and Experience 55(11), pp. 1806-1843 (Wiley; received 7 November 2024, accepted 16 June 2025); DOI 10.1002/spe.70005</t>
  </si>
  <si>
    <t>S11-F08</t>
  </si>
  <si>
    <t>Blocklove, Garg, Karri &amp; Pearce</t>
  </si>
  <si>
    <t>Chip-Chat: Challenges and Opportunities in Conversational Hardware Design</t>
  </si>
  <si>
    <t>MLCAD 2023 (2023 ACM/IEEE 5th Workshop on Machine Learning for CAD), 6 pp.; DOI 10.1109/MLCAD58807.2023.10299874; IEEE Xplore version read</t>
  </si>
  <si>
    <t>S11-F09</t>
  </si>
  <si>
    <t>Zheng, Ning, Zhong, Chen, Chen, Guo, Wang &amp; Wang</t>
  </si>
  <si>
    <t>Towards an understanding of large language models in software engineering tasks</t>
  </si>
  <si>
    <t>Empirical Software Engineering 30, article 50, 38 pp. (Springer; accepted 3 December 2024, online 26 December 2024); DOI 10.1007/s10664-024-10602-0</t>
  </si>
  <si>
    <t>S11-F10</t>
  </si>
  <si>
    <t>Sohail, Farhat, Himeur, Nadeem, Madsen, Singh, Atalla &amp; Mansoor</t>
  </si>
  <si>
    <t>Decoding ChatGPT: A taxonomy of existing research, current challenges, and possible future directions</t>
  </si>
  <si>
    <t>Journal of King Saud University – Computer and Information Sciences 35, article 101675 (Elsevier; received 10 April 2023, accepted 25 July 2023, online 2 August 2023); DOI 10.1016/j.jksuci.2023.101675</t>
  </si>
  <si>
    <t>S11-F11</t>
  </si>
  <si>
    <t>S11-F12</t>
  </si>
  <si>
    <t>Khojah, Mohamad, Leitner &amp; Gomes de Oliveira Neto</t>
  </si>
  <si>
    <t>Beyond Code Generation: An Observational Study of ChatGPT Usage in Software Engineering Practice</t>
  </si>
  <si>
    <t>Proceedings of the ACM on Software Engineering 1(FSE), article 81, 22 pp. (FSE 2024); DOI 10.1145/3660788</t>
  </si>
  <si>
    <t>S11-F13</t>
  </si>
  <si>
    <t>Chen, Wei, Le &amp; Zhang</t>
  </si>
  <si>
    <t>Learning by teaching with ChatGPT: The effect of teachable ChatGPT agent on programming education</t>
  </si>
  <si>
    <t>British Journal of Educational Technology 57, pp. 163-184 (Wiley; received 17 October 2024, accepted 15 July 2025); DOI 10.1111/bjet.70001</t>
  </si>
  <si>
    <t>S11-F14</t>
  </si>
  <si>
    <t>Küchemann, Avila, Dinc, Hortmann, Revenga, Ruf, Stausberg, Steinert, Fischer, Fischer, Kasneci, Kasneci, Kuhr, Kutyniok, Malone, Sailer, Schmidt, Stadler, Weller &amp; Kuhn</t>
  </si>
  <si>
    <t>On opportunities and challenges of large multimodal foundation models in education</t>
  </si>
  <si>
    <t>npj Science of Learning 10, article 11 (Perspective; received 22 January 2024, accepted 27 January 2025); DOI 10.1038/s41539-025-00301-w</t>
  </si>
  <si>
    <t>S11-F15</t>
  </si>
  <si>
    <t>Durr-E-Shahwar, Imran, Altamimi, Khan, Hussain &amp; Alsaffar</t>
  </si>
  <si>
    <t>Quantum Cryptography for Future Networks Security: A Systematic Review</t>
  </si>
  <si>
    <t>IEEE Access 12, pp. 180048-180078 (received 10 October 2024, accepted 15 November 2024, published 22 November 2024); DOI 10.1109/ACCESS.2024.3504815</t>
  </si>
  <si>
    <t>S11-F16</t>
  </si>
  <si>
    <t>Kirova, Ku, Laracy &amp; Marlowe</t>
  </si>
  <si>
    <t>Software Engineering Education Must Adapt and Evolve for an LLM (Large Language Model) Environment</t>
  </si>
  <si>
    <t>SIGCSE 2024 (ACM Technical Symposium on Computer Science Education), pp. 666-672; DOI 10.1145/3626252.3630927</t>
  </si>
  <si>
    <t>S11-F17</t>
  </si>
  <si>
    <t>Abrahão, Grundy, Pezzè, Storey &amp; Tamburri</t>
  </si>
  <si>
    <t>Software Engineering by and for Humans in an AI Era</t>
  </si>
  <si>
    <t>ACM Transactions on Software Engineering and Methodology 34(5), article 129, 46 pp. (May 2025); DOI 10.1145/3715111</t>
  </si>
  <si>
    <t>S11-F18</t>
  </si>
  <si>
    <t>Motlagh, Khajavi, Sharifi &amp; Ahmadi</t>
  </si>
  <si>
    <t>The Impact of Artificial Intelligence on the Evolution of Digital Education: A Comparative Study of OpenAI Text Generation Tools including ChatGPT, Bing Chat, Bard, and Ernie</t>
  </si>
  <si>
    <t>arXiv preprint 2309.02029 (v2, 19 May 2025, read); no venue stated</t>
  </si>
  <si>
    <t>S11-F19</t>
  </si>
  <si>
    <t>Di Rocco, Di Ruscio, Di Sipio, Nguyen &amp; Rubei</t>
  </si>
  <si>
    <t>On the use of large language models in model-driven engineering</t>
  </si>
  <si>
    <t>Software and Systems Modeling 24, pp. 923-948 (Springer, special section paper; received 20 March 2024, accepted 21 December 2024, online 31 January 2025); DOI 10.1007/s10270-025-01263-8</t>
  </si>
  <si>
    <t>S11-F20</t>
  </si>
  <si>
    <t>Ronanki, Berger &amp; Horkoff</t>
  </si>
  <si>
    <t>Investigating ChatGPT's Potential to Assist in Requirements Elicitation Processes</t>
  </si>
  <si>
    <t>SEAA 2023 (49th Euromicro Conference on Software Engineering and Advanced Applications), pp. 354-361; DOI 10.1109/SEAA60479.2023.00061; IEEE Xplore version read</t>
  </si>
  <si>
    <t>S11-F21</t>
  </si>
  <si>
    <t>Sengul, Neykova &amp; Destefanis</t>
  </si>
  <si>
    <t>Software engineering education in the era of conversational AI: current trends and future directions</t>
  </si>
  <si>
    <t>Frontiers in Artificial Intelligence 7, article 1436350 (Review; received 21 May 2024, accepted 10 July 2024, published 29 August 2024); DOI 10.3389/frai.2024.1436350</t>
  </si>
  <si>
    <t>S11-F22</t>
  </si>
  <si>
    <t>Huang, Gao, Wu, Wang, Wang, Zhou et al. (66 authors; TrustGen)</t>
  </si>
  <si>
    <t>On the Trustworthiness of Generative Foundation Models – Guideline, Assessment, and Perspective</t>
  </si>
  <si>
    <t>arXiv preprint 2502.14296 (v5, 15 May 2026, read; 231 pp.); no venue stated</t>
  </si>
  <si>
    <t>S11-F23</t>
  </si>
  <si>
    <t>Rasheed, Waseem, Ahmad, Kemell, Wang, Nguyen Duc &amp; Abrahamsson</t>
  </si>
  <si>
    <t>Can Large Language Models Serve as Data Analysts? A Multi-Agent Assisted Approach for Qualitative Data Analysis</t>
  </si>
  <si>
    <t>arXiv preprint 2402.01386 (v2, 12 October 2025, read); also posted on SSRN (5149683); no venue stated</t>
  </si>
  <si>
    <t>S11-F24</t>
  </si>
  <si>
    <t>Nguyen, Di Rocco, Di Sipio, Rubei, Di Ruscio &amp; Di Penta</t>
  </si>
  <si>
    <t>GPTSniffer: A CodeBERT-based classifier to detect source code written by ChatGPT</t>
  </si>
  <si>
    <t>Journal of Systems and Software 214, article 112059 (Elsevier; received 2 August 2023, accepted 8 April 2024, online 16 April 2024); DOI 10.1016/j.jss.2024.112059</t>
  </si>
  <si>
    <t>S11-F25</t>
  </si>
  <si>
    <t>Kashefi &amp; Mukerji</t>
  </si>
  <si>
    <t>ChatGPT for Programming Numerical Methods</t>
  </si>
  <si>
    <t>Journal of Machine Learning for Modeling and Computing 4(2), pp. 1-74 (submitted 11 April 2023, final draft received 26 April 2023)</t>
  </si>
  <si>
    <t>S11-F26</t>
  </si>
  <si>
    <t>AlOmar, Venkatakrishnan, Mkaouer, Newman &amp; Ouni</t>
  </si>
  <si>
    <t>How to Refactor this Code? An Exploratory Study on Developer-ChatGPT Refactoring Conversations</t>
  </si>
  <si>
    <t>MSR 2024 (21st International Conference on Mining Software Repositories, ACM/IEEE), pp. 202-206; DOI 10.1145/3643991.3645081</t>
  </si>
  <si>
    <t>S11-F27</t>
  </si>
  <si>
    <t>Rajbhoj, Somase, Kulkarni &amp; Kulkarni</t>
  </si>
  <si>
    <t>Accelerating Software Development Using Generative AI: ChatGPT Case Study</t>
  </si>
  <si>
    <t>ISEC 2024 (17th Innovations in Software Engineering Conference, ACM), 11 pp.; DOI 10.1145/3641399.3641403</t>
  </si>
  <si>
    <t>S11-F28</t>
  </si>
  <si>
    <t>Lo</t>
  </si>
  <si>
    <t>Trustworthy and Synergistic Artificial Intelligence for Software Engineering: Vision and Roadmaps</t>
  </si>
  <si>
    <t>ICSE-FoSE 2023 (IEEE/ACM International Conference on Software Engineering: Future of Software Engineering), pp. 69-85; DOI 10.1109/ICSE-FoSE59343.2023.00010; IEEE Xplore version read</t>
  </si>
  <si>
    <t>S11-F29</t>
  </si>
  <si>
    <t>Boucher, Smith &amp; Telliel</t>
  </si>
  <si>
    <t>Is Resistance Futile?: Early Career Game Developers, Generative AI, and Ethical Skepticism</t>
  </si>
  <si>
    <t>CHI 2024 (CHI Conference on Human Factors in Computing Systems, ACM), 13 pp.; DOI 10.1145/3613904.3641889</t>
  </si>
  <si>
    <t>S11-F30</t>
  </si>
  <si>
    <t>Sivakumar, Belle, Shan &amp; Khakzad Shahandashti</t>
  </si>
  <si>
    <t>Prompting GPT-4 to support automatic safety case generation</t>
  </si>
  <si>
    <t>Expert Systems With Applications 255, article 124653 (Elsevier; received 8 January 2024, accepted 27 June 2024); DOI 10.1016/j.eswa.2024.124653</t>
  </si>
  <si>
    <t>S11-F31</t>
  </si>
  <si>
    <t>Lambiase, Catolino, Palomba &amp; Ferrucci</t>
  </si>
  <si>
    <t>Motivations, Challenges, Best Practices, and Benefits for Bots and Conversational Agents in Software Engineering: A Multivocal Literature Review</t>
  </si>
  <si>
    <t>ACM Computing Surveys 57(4), article 93, 37 pp. (December 2024); DOI 10.1145/3704806</t>
  </si>
  <si>
    <t>S11-F32</t>
  </si>
  <si>
    <t>Wang, Wang, Liang, Li &amp; Zeng</t>
  </si>
  <si>
    <t>How LLMs Aid in UML Modeling: An Exploratory Study with Novice Analysts</t>
  </si>
  <si>
    <t>SSE 2024 (IEEE International Conference on Software Services Engineering), from p. 249; DOI 10.1109/SSE62657.2024.00046; IEEE Xplore version read</t>
  </si>
  <si>
    <t>S11-F33</t>
  </si>
  <si>
    <t>Zhou &amp; Chen</t>
  </si>
  <si>
    <t>Examining the impact of large language models on design: Functions, strengths, limitations, and roles</t>
  </si>
  <si>
    <t>Design and Artificial Intelligence 1, article 100017 (KeAi / Elsevier; received 9 May 2025, accepted 29 June 2025, online 3 July 2025); DOI 10.1016/j.daai.2025.100017</t>
  </si>
  <si>
    <t>S11-F34</t>
  </si>
  <si>
    <t>Kokol</t>
  </si>
  <si>
    <t>The Use of AI in Software Engineering: A Synthetic Knowledge Synthesis of the Recent Research Literature</t>
  </si>
  <si>
    <t>Information (MDPI) 15, article 354 (received 6 May 2024, accepted 11 June 2024, published 14 June 2024); DOI 10.3390/info15060354</t>
  </si>
  <si>
    <t>S11-F35</t>
  </si>
  <si>
    <t>Rodriguez, Lawrence, Gonzalez, Brandfield-Harvey, Xu, Tasneem, Levine &amp; Mann</t>
  </si>
  <si>
    <t>Leveraging Generative AI Tools to Support the Development of Digital Solutions in Health Care Research: Case Study</t>
  </si>
  <si>
    <t>JMIR Human Factors 11, e52885 (submitted 18 September 2023, peer reviewed by two named reviewers, accepted 15 December 2023, published 6 March 2024); DOI 10.2196/52885</t>
  </si>
  <si>
    <t>S11-F36</t>
  </si>
  <si>
    <t>Ben Chaaben, Burgueño, David &amp; Sahraoui</t>
  </si>
  <si>
    <t>On the Utility of Domain Modeling Assistance with Large Language Models</t>
  </si>
  <si>
    <t>ACM Transactions on Software Engineering and Methodology 35(4), article 112, 38 pp. (March 2026); DOI 10.1145/3744920</t>
  </si>
  <si>
    <t>S11-F37</t>
  </si>
  <si>
    <t>Kumar &amp; Chimalakonda</t>
  </si>
  <si>
    <t>Code Summarization without Direct Access to Code - Towards Exploring Federated LLMs for Software Engineering</t>
  </si>
  <si>
    <t>EASE 2024 (28th International Conference on Evaluation and Assessment in Software Engineering, ACM), pp. 100-109; DOI 10.1145/3661167.3661210</t>
  </si>
  <si>
    <t>S11-F38</t>
  </si>
  <si>
    <t>Hamza, Siemon, Akbar &amp; Rahman</t>
  </si>
  <si>
    <t>Human-AI Collaboration in Software Engineering: Lessons Learned from a Hands-On Workshop</t>
  </si>
  <si>
    <t>IWSiB '24 (ACM/IEEE International Workshop on Software-intensive Business, Lisbon, April 2024), 8 pp.; DOI 10.1145/3643690.3648236</t>
  </si>
  <si>
    <t>S11-F39</t>
  </si>
  <si>
    <t>Islam, Khoury, Seong, Karkevandi, De La Torre Parra, Bou-Harb &amp; Najafirad</t>
  </si>
  <si>
    <t>LLM-Powered Code Vulnerability Repair with Reinforcement Learning and Semantic Reward</t>
  </si>
  <si>
    <t>arXiv preprint 2401.03374 (v2, 22 February 2024, read); no venue stated</t>
  </si>
  <si>
    <t>S11-F40</t>
  </si>
  <si>
    <t>Generative AI Integration: Key Drivers and Factors Enhancing Productivity of Engineering Faculty and Students for Sustainable Education</t>
  </si>
  <si>
    <t>Sustainability (MDPI) 17, article 9914 (received 18 September 2025, accepted 28 October 2025, published 6 November 2025); DOI 10.3390/su17219914</t>
  </si>
  <si>
    <t>S11-F41</t>
  </si>
  <si>
    <t>Orden-Mejía, Carvache-Franco, Huertas, Carvache-Franco &amp; Carvache-Franco</t>
  </si>
  <si>
    <t>The Role of AI-Based Destination Chatbots in Satisfaction, Continued Usage Intention, and Visit Intention: A Study from Quito, Ecuador</t>
  </si>
  <si>
    <t>International Journal of Human-Computer Interaction 41(15), pp. 9384-9399 (Taylor &amp; Francis; online 22 November 2024); DOI 10.1080/10447318.2024.2425882</t>
  </si>
  <si>
    <t>S11-F42</t>
  </si>
  <si>
    <t>Zhou, Kilhoffer, Sanfilippo, Underwood, Gumusel, Wei, Choudhry &amp; Xiong</t>
  </si>
  <si>
    <t>"The teachers are confused as well": A Multiple-Stakeholder Ethics Discussion on Large Language Models in Computing Education</t>
  </si>
  <si>
    <t>arXiv preprint 2401.12453 (v1, 23 January 2024, read); no venue stated</t>
  </si>
  <si>
    <t>S11-F43</t>
  </si>
  <si>
    <t>Tabarsi, Reichert, Gilson, Limke, Kuttal &amp; Barnes</t>
  </si>
  <si>
    <t>LLMs' Reshaping of People, Processes, Products, and Society in Software Development: A Comprehensive Exploration with Early Adopters</t>
  </si>
  <si>
    <t>Empirical Software Engineering 32, article 21 (Springer, online 7 August 2026), published as 'LLMs' reshaping of people, processes, products, and society in software development: a qualitative exploration with early adopters'; DOI 10.1007/s10664-026-10917-0; version read: arXiv 2503.05012v2, the PDF sent</t>
  </si>
  <si>
    <t>S11-F44</t>
  </si>
  <si>
    <t>Haleem, Javaid &amp; Singh</t>
  </si>
  <si>
    <t>Exploring the competence of ChatGPT for customer and patient service management</t>
  </si>
  <si>
    <t>Intelligent Pharmacy 2, pp. 392-414 (review article; received 3 March 2024, accepted 22 March 2024, online 22 March 2024); DOI 10.1016/j.ipha.2024.03.002</t>
  </si>
  <si>
    <t>S11-F45</t>
  </si>
  <si>
    <t>Rasheed, Waseem, Kemell, Wang, Nguyen Duc, Systä &amp; Abrahamsson</t>
  </si>
  <si>
    <t>Autonomous Agents in Software Development: A Vision Paper</t>
  </si>
  <si>
    <t>XP 2024 Workshops (Agile Processes in Software Engineering and Extreme Programming – Workshops), LNBIP 524, pp. 15-23 (Springer, published 11 January 2025); version read: arXiv 2311.18440v1, the PDF sent (ACM template with placeholder venue)</t>
  </si>
  <si>
    <t>S11-F46</t>
  </si>
  <si>
    <t>Chouchen, Bessghaier, Begoug, Ouni, AlOmar &amp; Mkaouer</t>
  </si>
  <si>
    <t>How Do Software Developers Use ChatGPT? An Exploratory Study on GitHub Pull Requests</t>
  </si>
  <si>
    <t>MSR 2024 (21st International Conference on Mining Software Repositories, ACM/IEEE), from p. 212; DOI 10.1145/3643991.3645084</t>
  </si>
  <si>
    <t>S11-F47</t>
  </si>
  <si>
    <t>Jia &amp; Yu</t>
  </si>
  <si>
    <t>Technologies for Children's AI Learning: Design Features and Future Opportunities</t>
  </si>
  <si>
    <t>CHI '25 (CHI Conference on Human Factors in Computing Systems, ACM), 22 pp.; DOI 10.1145/3706598.3713443</t>
  </si>
  <si>
    <t>S11-F48</t>
  </si>
  <si>
    <t>Dishop, Brown, Chao, Kuznetsov &amp; Woolley</t>
  </si>
  <si>
    <t>Machines in the Middle: Using Artificial Intelligence (AI) While Offering Help Affects Warmth, Felt Obligations, and Reciprocity</t>
  </si>
  <si>
    <t>Journal of Business and Psychology (Springer; accepted 20 August 2025); DOI 10.1007/s10869-025-10068-x</t>
  </si>
  <si>
    <t>S11-F50</t>
  </si>
  <si>
    <t>Rasheed, Waseem, Kemell, Ahmad, Sami, Rasku, Systä &amp; Abrahamsson</t>
  </si>
  <si>
    <t>Large Language Models for Code Generation: The Practitioners' Perspective</t>
  </si>
  <si>
    <t>arXiv preprint 2501.16998 (v1, read); also on Zenodo; no venue stated</t>
  </si>
  <si>
    <t>S11-F51</t>
  </si>
  <si>
    <t>Gallardo, Machuca &amp; Semblantes</t>
  </si>
  <si>
    <t>ChatGPT API: Brief overview and integration in Software Development</t>
  </si>
  <si>
    <t>International Journal of Engineering Insights 1(1), pp. 27-31 (received 24 June 2023, accepted 20 September 2023); DOI 10.61961/injei.v1i1.7</t>
  </si>
  <si>
    <t>S11-F52</t>
  </si>
  <si>
    <t>Rahman &amp; Zhu</t>
  </si>
  <si>
    <t>Automated User Story Generation with Test Case Specification Using Large Language Model</t>
  </si>
  <si>
    <t>arXiv preprint 2404.01558 (v1, read); no venue stated</t>
  </si>
  <si>
    <t>S11-F49</t>
  </si>
  <si>
    <t>Waseem, Das, Ahmad, Liang, Fahmideh &amp; Mikkonen</t>
  </si>
  <si>
    <t>ChatGPT as a Software Development Bot: A Project-based Study</t>
  </si>
  <si>
    <t>ENASE 2024 (19th International Conference on Evaluation of Novel Approaches to Software Engineering, SciTePress), pp. 406-413; DOI 10.5220/0012631600003687; version read: arXiv 2310.13648v2, the PDF sent</t>
  </si>
  <si>
    <t>S11-F53</t>
  </si>
  <si>
    <t>SSRN preprint 4413921 ('Preprint submitted to Elsevier', 22 pp.), titled 'The Future of GPT: A Taxonomy of Existing ChatGPT Research, Current Challenges, and Possible Future Directions'</t>
  </si>
  <si>
    <t>As S11-F10</t>
  </si>
  <si>
    <t>S11-F55</t>
  </si>
  <si>
    <t>Tapan Broutin</t>
  </si>
  <si>
    <t>Exploring Mathematics Teacher Candidates’ Instrumentation Process of Generative Artificial Intelligence for Developing Lesson Plans</t>
  </si>
  <si>
    <t>Yükseköğretim Dergisi / TÜBA Higher Education Research/Review 14(1), pp. 165-176 (written in English, with a Turkish title and abstract); DOI 10.53478/yuksekogretim.1347061</t>
  </si>
  <si>
    <t>S11-F56</t>
  </si>
  <si>
    <t>Kuric, Demcak &amp; Krajcovic</t>
  </si>
  <si>
    <t>Unmoderated Usability Studies Evolved: Can GPT Ask Useful Follow-up Questions?</t>
  </si>
  <si>
    <t>International Journal of Human-Computer Interaction 41(15), pp. 9752-9769 (Taylor &amp; Francis); DOI 10.1080/10447318.2024.2427978</t>
  </si>
  <si>
    <t>S11-F57</t>
  </si>
  <si>
    <t>ICSA 2025 (IEEE); DOI 10.1109/ICSA65012.2025.00011; PDF as sent</t>
  </si>
  <si>
    <t>S11-F58</t>
  </si>
  <si>
    <t>Martins, Branco &amp; Mamede</t>
  </si>
  <si>
    <t>Combining low-code development with ChatGPT to novel no-code approaches: A focus-group study</t>
  </si>
  <si>
    <t>Intelligent Systems with Applications 20, article 200289 (Elsevier; online 12 October 2023); DOI 10.1016/j.iswa.2023.200289</t>
  </si>
  <si>
    <t>S11-F59</t>
  </si>
  <si>
    <t>Zahra, Samra &amp; El Gizawi</t>
  </si>
  <si>
    <t>Working Toward Advanced Architectural Education: Developing an AI-Based Model to Improve Emotional Intelligence in Education</t>
  </si>
  <si>
    <t>Buildings (MDPI) 15, article 356 (received 28 December 2024, accepted 21 January 2025, published 24 January 2025); DOI 10.3390/buildings15030356</t>
  </si>
  <si>
    <t>S11-F60</t>
  </si>
  <si>
    <t>Jang, Lee, Kim, Lee, Shin &amp; Nam</t>
  </si>
  <si>
    <t>When, What, and how should generative artificial intelligence explain to Users?</t>
  </si>
  <si>
    <t>Telematics and Informatics 93, article 102175 (Elsevier; received 19 February 2024, accepted 1 August 2024); DOI 10.1016/j.tele.2024.102175</t>
  </si>
  <si>
    <t>S11-F61</t>
  </si>
  <si>
    <t>Sami, Waseem Awan, Rasheed, Saari, Systä &amp; Abrahamsson</t>
  </si>
  <si>
    <t>Experimenting with Multi-Agent Software Development: Towards a Unified Platform</t>
  </si>
  <si>
    <t>arXiv preprint 2406.05381 (v1, read; ACM template with placeholder venue and DOI); no venue stated</t>
  </si>
  <si>
    <t>S11-F62</t>
  </si>
  <si>
    <t>Al-Ahmad, Alsobeh, Meqdadi &amp; Shaikh</t>
  </si>
  <si>
    <t>A Student-Centric Evaluation Survey to Explore the Impact of LLMs on UML Modeling</t>
  </si>
  <si>
    <t>Information (MDPI) 16, article 565 (received 23 May 2025, accepted 27 June 2025, published 1 July 2025); DOI 10.3390/info16070565</t>
  </si>
  <si>
    <t>S11-F63</t>
  </si>
  <si>
    <t>Kim &amp; Ming</t>
  </si>
  <si>
    <t>Assessing output reliability and similarity of large language models in software development: A comparative case study approach</t>
  </si>
  <si>
    <t>Information and Software Technology 185, article 107787 (Elsevier; received 3 August 2024, accepted 12 May 2025); DOI 10.1016/j.infsof.2025.107787</t>
  </si>
  <si>
    <t>S11-F65</t>
  </si>
  <si>
    <t>Shah et al.</t>
  </si>
  <si>
    <t>STREAMLINING SOFTWARE DEVELOPMENT: A COMPARATIVE STUDY OF AI-DRIVEN AUTOMATION TOOLS IN MODERN TECH</t>
  </si>
  <si>
    <t>International Journal of Computer Engineering and Technology (IJCET, IAEME) 15(6), pp. 1638-1650; DOI 10.34218/IJCET_15_06_138</t>
  </si>
  <si>
    <t>S11-F66</t>
  </si>
  <si>
    <t>Kwon, Lee, Kim, Ryu &amp; Baik</t>
  </si>
  <si>
    <t>Exploring LLM-based Automated Repairing of Ansible Script in Edge-Cloud Infrastructures</t>
  </si>
  <si>
    <t>Journal of Web Engineering 22(6), pp. 889-912 (River Publishers; received 7 August 2023, accepted 29 September 2023); DOI 10.13052/jwe1540-9589.2263</t>
  </si>
  <si>
    <t>S11-F67</t>
  </si>
  <si>
    <t>Sami, Rasheed, Waseem, Zhang, Herda &amp; Abrahamsson</t>
  </si>
  <si>
    <t>Prioritizing Software Requirements Using Large Language Models</t>
  </si>
  <si>
    <t>arXiv preprint 2405.01564 (v1, read); no venue stated</t>
  </si>
  <si>
    <t>S11-F68</t>
  </si>
  <si>
    <t>Pereira, Jackson, Prikladnicki, van der Hoek, Fortes, Araujo, Coelho et al.</t>
  </si>
  <si>
    <t>Exploring GenAI in Software Development: Insights from a Case Study in a Large Brazilian Company</t>
  </si>
  <si>
    <t>ICSE-SEIP 2025 (IEEE/ACM 47th International Conference on Software Engineering: Software Engineering in Practice), from p. 330; DOI 10.1109/ICSE-SEIP66354.2025.00035</t>
  </si>
  <si>
    <t>S11-F69</t>
  </si>
  <si>
    <t>Santos, Chamon, Moura, Diirr, Alvim &amp; Santos</t>
  </si>
  <si>
    <t>Impacts of the Usage of Generative Artificial Intelligence on Software Development Process</t>
  </si>
  <si>
    <t>SBSI '24 (XX Brazilian Symposium on Information Systems, ACM), 9 pp.; DOI 10.1145/3658271.3658337</t>
  </si>
  <si>
    <t>S11-F70</t>
  </si>
  <si>
    <t>Sami, Rasheed, Waseem, Zhang, Tomas &amp; Abrahamsson</t>
  </si>
  <si>
    <t>A Tool for Test Case Scenarios Generation Using Large Language Models</t>
  </si>
  <si>
    <t>arXiv preprint 2406.07021 (v1, 12 June 2024, read; marked A PREPRINT); no venue stated</t>
  </si>
  <si>
    <t>S11-F54</t>
  </si>
  <si>
    <t>Apvrille &amp; Sultan</t>
  </si>
  <si>
    <t>System Architects Are not Alone Anymore: Automatic System Modeling with AI</t>
  </si>
  <si>
    <t>MODELSWARD 2024 (12th International Conference on Model-Based Software and Systems Engineering, SciTePress), pp. 27-38; DOI 10.5220/0012320100003645; version read: HAL hal-04483279 (author version with the proceedings pagination)</t>
  </si>
  <si>
    <t>S11-F64</t>
  </si>
  <si>
    <t>Sultan &amp; Apvrille</t>
  </si>
  <si>
    <t>AI-Driven Consistency of SysML Diagrams</t>
  </si>
  <si>
    <t>MODELS '24 (ACM/IEEE 27th International Conference on Model Driven Engineering Languages and Systems, Linz), 11 pp.; DOI 10.1145/3640310.3674079</t>
  </si>
  <si>
    <t>S11-F71</t>
  </si>
  <si>
    <t>Johns, Carroll, Medina, Lewark &amp; Walliser</t>
  </si>
  <si>
    <t>AI Systems Modeling Enhancer (AI-SME): Initial Investigations into a ChatGPT-enabled MBSE Modeling Assistant</t>
  </si>
  <si>
    <t>INCOSE International Symposium 2024 (Wiley), issue 1, pp. 1149-1168; DOI 10.1002/iis2.13201 (found by web search); version read: the authors' working draft (Google Docs, 20 pp.)</t>
  </si>
  <si>
    <t>S11-F72</t>
  </si>
  <si>
    <t>Kim</t>
  </si>
  <si>
    <t>Comparative analysis of design pattern implementation validity in LLM-based code refactoring</t>
  </si>
  <si>
    <t>Journal of Systems and Software 230, article 112519 (Elsevier; received 19 January 2025, accepted 28 May 2025); DOI 10.1016/j.jss.2025.112519</t>
  </si>
  <si>
    <t>S11-F73</t>
  </si>
  <si>
    <t>Aracena, Luster, Santos, Steinmacher &amp; Gerosa</t>
  </si>
  <si>
    <t>Applying large language models to issue classification: Revisiting with extended data and new models</t>
  </si>
  <si>
    <t>Science of Computer Programming 246, article 103333 (Elsevier; received 10 October 2024, accepted 6 May 2025); DOI 10.1016/j.scico.2025.103333</t>
  </si>
  <si>
    <t>S11-F74</t>
  </si>
  <si>
    <t>Vats, Nizam, Liu, Wang, Ho, Prasad et al. (23 authors)</t>
  </si>
  <si>
    <t>A Survey on Human-AI Collaboration with Large Foundation Models</t>
  </si>
  <si>
    <t>arXiv preprint 2403.04931 (v4, 22 August 2026, read); no venue stated</t>
  </si>
  <si>
    <t>S11-F75</t>
  </si>
  <si>
    <t>ACM Transactions on Autonomous and Adaptive Systems (TAAS), 2026; DOI 10.1145/3807453 (ACM version as sent, 30 pp.)</t>
  </si>
  <si>
    <t>S11-F76</t>
  </si>
  <si>
    <t>AlOmar, Xu, Martinez, Peruma, Mkaouer, Newman &amp; Ouni</t>
  </si>
  <si>
    <t>ChatGPT for Code Refactoring: Analyzing Topics, Interaction, and Effective Prompts</t>
  </si>
  <si>
    <t>CASCON 2025 (IEEE International Conference on Collaborative Advances in Software and COmputiNg), from p. 389; DOI 10.1109/CASCON66301.2025.00068</t>
  </si>
  <si>
    <t>S11-F77</t>
  </si>
  <si>
    <t>Deo, Hinge, Chavan, Wang &amp; Mkaouer</t>
  </si>
  <si>
    <t>Analyzing Developer-ChatGPT Conversations for Software Refactoring: An Exploratory Study</t>
  </si>
  <si>
    <t>MSR '24 (21st International Conference on Mining Software Repositories, ACM/IEEE), pp. 207-211; DOI 10.1145/3643991.3645082</t>
  </si>
  <si>
    <t>S11-F78</t>
  </si>
  <si>
    <t>Nikolaidis, Flamos, Gulati, Feitosa, Ampatzoglou &amp; Chatzigeorgiou</t>
  </si>
  <si>
    <t>A Comparison of the Effectiveness of ChatGPT and Co-Pilot for Generating Quality Python Code Solutions</t>
  </si>
  <si>
    <t>SANER-C 2024 (IEEE International Conference on Software Analysis, Evolution and Reengineering, Companion), from p. 93; DOI 10.1109/SANER-C62648.2024.00018</t>
  </si>
  <si>
    <t>S11-F79</t>
  </si>
  <si>
    <t>Cloesmeijer, Janssen, Koopman, Cnossen &amp; Mathot</t>
  </si>
  <si>
    <t>ChatGPT in pharmacometrics? Potential opportunities and limitations</t>
  </si>
  <si>
    <t>British Journal of Clinical Pharmacology (Wiley), 2024; DOI 10.1111/bcp.15895 (found by web search); version read: Authorea preprint posted 24 April 2023, DOI 10.22541/au.168235933.39569649/v1</t>
  </si>
  <si>
    <t>S11-F80</t>
  </si>
  <si>
    <t>Küchemann, Avila, Dinc, Hortmann, Revenga, Ruf et al. (20 authors)</t>
  </si>
  <si>
    <t>Are Large Multimodal Foundation Models all we need? On Opportunities and Challenges of these Models in Education</t>
  </si>
  <si>
    <t>Preprint dated 24 December 2023 (14 pp.); no venue stated</t>
  </si>
  <si>
    <t>S11-F81</t>
  </si>
  <si>
    <t>Özpolat, Yıldırım &amp; Karabatak</t>
  </si>
  <si>
    <t>Artificial Intelligence-Based Tools in Software Development Processes: Application of ChatGPT</t>
  </si>
  <si>
    <t>European Journal of Technique 13(2), pp. 229-240 (received 20 July 2023, accepted 24 August 2023); DOI 10.36222/ejt.1330631</t>
  </si>
  <si>
    <t>S11-F82</t>
  </si>
  <si>
    <t>Khanshan, Van Gorp &amp; Markopoulos</t>
  </si>
  <si>
    <t>Evaluation of Code Generation for Simulating Participant Behavior in Experience Sampling Method by Iterative In-Context Learning of a Large Language Model</t>
  </si>
  <si>
    <t>Proceedings of the ACM on Human-Computer Interaction 8 (EICS), article 255, 19 pp.; DOI 10.1145/3661143</t>
  </si>
  <si>
    <t>S11-F83</t>
  </si>
  <si>
    <t>Khalid &amp; Brown</t>
  </si>
  <si>
    <t>Evaluating Capabilities and Perspectives of Generative AI Tools in Smart Contract Development</t>
  </si>
  <si>
    <t>BSCI '25 (ACM), Hanoi; DOI 10.1145/3709016.3737802</t>
  </si>
  <si>
    <t>S11-F84</t>
  </si>
  <si>
    <t>De Vito, Palomba, Gravino, Di Martino &amp; Ferrucci</t>
  </si>
  <si>
    <t>ECHO: An Approach to Enhance Use Case Quality Exploiting Large Language Models</t>
  </si>
  <si>
    <t>SEAA 2023 (49th Euromicro Conference on Software Engineering and Advanced Applications, IEEE), from p. 53; DOI 10.1109/SEAA60479.2023.00017</t>
  </si>
  <si>
    <t>S11-F85</t>
  </si>
  <si>
    <t>Mbizo, Oosterwyk, Tsibolane &amp; Kautondokwa</t>
  </si>
  <si>
    <t>Cautious Optimism: The Influence of Generative AI Tools in Software Development Projects</t>
  </si>
  <si>
    <t>SAICSIT 2024 (Springer, CCIS 2159), pp. 361-373; DOI 10.1007/978-3-031-64881-6_21</t>
  </si>
  <si>
    <t>S11-F86</t>
  </si>
  <si>
    <t>Islam, Khoury, Seong, Bou-Harb &amp; Najafirad</t>
  </si>
  <si>
    <t>Enhancing Source Code Security with LLMs: Demystifying The Challenges and Generating Reliable Repairs</t>
  </si>
  <si>
    <t>arXiv preprint 2409.00571 (version read set in the NDSS 2024 template with a placeholder DOI, 10.14722/ndss.2024.23xxx, and an anonymous repository link); no venue established</t>
  </si>
  <si>
    <t>S11-F87</t>
  </si>
  <si>
    <t>Wang, Ge, Liu, Cao, Chen &amp; Hu</t>
  </si>
  <si>
    <t>Generating SysML Behavior Models via Large Language Models: an Empirical Study</t>
  </si>
  <si>
    <t>Internetware 2025 (16th International Conference on Internetware, ACM), pp. 366-377; DOI 10.1145/3755881.3755926</t>
  </si>
  <si>
    <t>S11-F88</t>
  </si>
  <si>
    <t>TTool-AI: A Large Language Model-Based Assistant for Model Driven Engineering</t>
  </si>
  <si>
    <t>SN Computer Science 6, article 886 (Springer; received 9 October 2024, accepted 26 September 2025); DOI 10.1007/s42979-025-04444-w</t>
  </si>
  <si>
    <t>S11-F89</t>
  </si>
  <si>
    <t>Quevedo, Abdelfattah, Rodriguez, Yero &amp; Cerny</t>
  </si>
  <si>
    <t>Evaluating ChatGPT's Proficiency in Understanding and Answering Microservice Architecture Queries Using Source Code Insights</t>
  </si>
  <si>
    <t>SN Computer Science 5, article 422 (Springer; received 20 September 2023, accepted 28 January 2024); DOI 10.1007/s42979-024-02664-0</t>
  </si>
  <si>
    <t>S11-F90</t>
  </si>
  <si>
    <t>Tinnes, Welter &amp; Apel</t>
  </si>
  <si>
    <t>Software Model Evolution with Large Language Models: Experiments on Simulated, Public, and Industrial Datasets</t>
  </si>
  <si>
    <t>ICSE 2025 (IEEE/ACM 47th International Conference on Software Engineering), pp. 950-962; DOI 10.1109/ICSE55347.2025.00112</t>
  </si>
  <si>
    <t>S11-F91</t>
  </si>
  <si>
    <t>De Vito, Palomba &amp; Ferrucci</t>
  </si>
  <si>
    <t>SecLLM: Enhancing Security Smell Detection in IaC With Large Language Models</t>
  </si>
  <si>
    <t>IEEE Access 13, pp. 204480-204498 (received 31 October 2025, accepted 19 November 2025); DOI 10.1109/ACCESS.2025.3637505</t>
  </si>
  <si>
    <t>S11-F92</t>
  </si>
  <si>
    <t>Ege, Øvrebø, Stubberud, Berg, Steinert &amp; Vestad</t>
  </si>
  <si>
    <t>Benchmarking AI design skills: insights from ChatGPT's participation in a prototyping hackathon</t>
  </si>
  <si>
    <t>DESIGN 2024 (International Design Conference; Proceedings of the Design Society, Cambridge University Press), pp. 1999-2008; DOI 10.1017/pds.2024.202</t>
  </si>
  <si>
    <t>S11-F93</t>
  </si>
  <si>
    <t>Nunes, Sosa-Sánchez &amp; Thom</t>
  </si>
  <si>
    <t>Limitations of RPA Implementations: Exploring the Barriers of Organizational Environments</t>
  </si>
  <si>
    <t>IEEE Access 14, pp. 21031-21054 (received 16 January 2026, accepted 26 January 2026); DOI 10.1109/ACCESS.2026.3661717</t>
  </si>
  <si>
    <t>S11-F94</t>
  </si>
  <si>
    <t>Banimelhem &amp; Amayreh</t>
  </si>
  <si>
    <t>Is ChatGPT a Good English to Arabic Machine Translation Tool?</t>
  </si>
  <si>
    <t>ICICS 2023 (14th International Conference on Information and Communication Systems, IEEE); DOI 10.1109/ICICS60529.2023.10330525</t>
  </si>
  <si>
    <t>S11-F95</t>
  </si>
  <si>
    <t>Katz, Moshtari, Mujhid, Mirakhorli &amp; Garcia</t>
  </si>
  <si>
    <t>SIExVulTS: Sensitive Information Exposure Vulnerability Detection System using Transformer Models and Static Analysis</t>
  </si>
  <si>
    <t>ESEM 2025 (ACM/IEEE International Symposium on Empirical Software Engineering and Measurement), from p. 230; DOI 10.1109/ESEM64174.2025.00012</t>
  </si>
  <si>
    <t>S11-F96</t>
  </si>
  <si>
    <t>arXiv preprint 2507.21382 (v1, 28 July 2025, read), TOSEM template; no published version found</t>
  </si>
  <si>
    <t>S11-F97</t>
  </si>
  <si>
    <t>Abrahamsson, Anttila, Hakala, Ketola, Knappe, Lahtinen, Liukko, Poranen, Ritala &amp; Setälä</t>
  </si>
  <si>
    <t>ChatGPT as a Fullstack Web Developer - Early Results</t>
  </si>
  <si>
    <t>XP 2022/2023 Workshops (Agile Processes in Software Engineering and Extreme Programming), LNBIP 489, pp. 201-209 (Springer, 2024); DOI 10.1007/978-3-031-48550-3_20</t>
  </si>
  <si>
    <t>S11-F98</t>
  </si>
  <si>
    <t>As S9-F02</t>
  </si>
  <si>
    <t>S11-F99</t>
  </si>
  <si>
    <t>Lutze &amp; Waldhör</t>
  </si>
  <si>
    <t>Generating Specifications from Requirements Documents for Smart Devices Using Large Language Models (LLMs)</t>
  </si>
  <si>
    <t>HCII 2024 (Human-Computer Interaction), LNCS 14684, pp. 94-108 (Springer); DOI 10.1007/978-3-031-60405-8_7</t>
  </si>
  <si>
    <t>S11-F100</t>
  </si>
  <si>
    <t>Cabrero-Daniel</t>
  </si>
  <si>
    <t>AI for Agile development: a Meta-Analysis</t>
  </si>
  <si>
    <t>arXiv preprint 2305.08093 (v1, 14 May 2023, read); no venue stated</t>
  </si>
  <si>
    <t>S11-F101</t>
  </si>
  <si>
    <t>Gosu, Feitosa &amp; Avgeriou</t>
  </si>
  <si>
    <t>The use of Generative AI in technical debt management: A systematic literature review</t>
  </si>
  <si>
    <t>Information and Software Technology 199, article 108257 (Elsevier; received 24 February 2026, accepted 9 July 2026); DOI 10.1016/j.infsof.2026.108257</t>
  </si>
  <si>
    <t>S11-F102</t>
  </si>
  <si>
    <t>Pooryousef, Cordeil, Besançon, Bassed &amp; Dwyer</t>
  </si>
  <si>
    <t>Collaborative Forensic Autopsy Documentation and Supervised Report Generation using a Hybrid Mixed-Reality Environment and Generative AI</t>
  </si>
  <si>
    <t>IEEE Transactions on Visualization and Computer Graphics 30(11), pp. 7452-7462 (received 14 March 2024, accepted 1 July 2024); DOI 10.1109/TVCG.2024.3456212</t>
  </si>
  <si>
    <t>S11-F103</t>
  </si>
  <si>
    <t>De Vito, Di Martino, Ferrucci, Gravino &amp; Palomba</t>
  </si>
  <si>
    <t>LLM-Based Automation of COSMIC Functional Size Measurement From Use Cases</t>
  </si>
  <si>
    <t>IEEE Transactions on Software Engineering 51(5), pp. 1500-1523 (received 2 December 2023, accepted 16 March 2025); DOI 10.1109/TSE.2025.3554562</t>
  </si>
  <si>
    <t>S11-F104</t>
  </si>
  <si>
    <t>Gürtl, Schimetta, Kerschbaumer, Liut &amp; Steinmaurer</t>
  </si>
  <si>
    <t>Automated Feedback on Student-Generated UML and ER Diagrams Using Large Language Models</t>
  </si>
  <si>
    <t>arXiv preprint 2507.23470 (v1, 31 July 2025, read); no venue stated</t>
  </si>
  <si>
    <t>S11-F105</t>
  </si>
  <si>
    <t>Artificial Intelligence in the Classroom: Conversation Design and Prompt Engineering for English Majors</t>
  </si>
  <si>
    <t>Not established (title as sent; a web search on 3 October 2026 found a ProQuest record and a Common Ground Research Networks bookstore entry, neither of which could be read from our environment)</t>
  </si>
  <si>
    <t>S11-F106</t>
  </si>
  <si>
    <t>ICSA-C 2025 (IEEE); DOI 10.1109/ICSA-C65153.2025.00015; IEEE Xplore version as sent</t>
  </si>
  <si>
    <t>As S4-F31</t>
  </si>
  <si>
    <t>S11-F107</t>
  </si>
  <si>
    <t>As S4-F32</t>
  </si>
  <si>
    <t>S11-F108</t>
  </si>
  <si>
    <t>Pereira, Prikladnicki, Jackson, van der Hoek, Fortes &amp; Macaubas</t>
  </si>
  <si>
    <t>Early Results from a Study of GenAI Adoption in a Large Brazilian Company: The Case of Globo</t>
  </si>
  <si>
    <t>Book chapter (Springer, 2024; ISBN 978-3-031-55641-8); DOI 10.1007/978-3-031-55642-5_13; version read: eScholarship copy (UC Irvine)</t>
  </si>
  <si>
    <t>S11-F109</t>
  </si>
  <si>
    <t>Wang, Ning, Qian, Zhang &amp; Wang</t>
  </si>
  <si>
    <t>Characterizing Developers' Behaviors in LLM-Supported Software Development</t>
  </si>
  <si>
    <t>COMPSAC 2024 (IEEE 48th Annual Computers, Software, and Applications Conference), pp. 1168-1177; DOI 10.1109/COMPSAC61105.2024.00156</t>
  </si>
  <si>
    <t>S11-F110</t>
  </si>
  <si>
    <t>XP 2022/2023 Workshops, LNBIP 489, pp. 201-209 (Springer, 2024); DOI 10.1007/978-3-031-48550-3_20 (PDF as sent; second listing under S11)</t>
  </si>
  <si>
    <t>As S11-F97</t>
  </si>
  <si>
    <t>S11-F111</t>
  </si>
  <si>
    <t>Tie, Yao, Li, Fang, Ahmed, Wang &amp; Zhou</t>
  </si>
  <si>
    <t>“Should I Give Up Now?” Investigating LLM Pitfalls in Software Engineering</t>
  </si>
  <si>
    <t>ACM Transactions on Software Engineering and Methodology, 2026; DOI 10.1145/3801972</t>
  </si>
  <si>
    <t>S11-F112</t>
  </si>
  <si>
    <t>Zhao, Zhang, Yu &amp; Duan</t>
  </si>
  <si>
    <t>Generating Java code pairing with ChatGPT</t>
  </si>
  <si>
    <t>Theoretical Computer Science 1021, article 114879 (Elsevier; received 2 April 2024, accepted 12 September 2024); DOI 10.1016/j.tcs.2024.114879</t>
  </si>
  <si>
    <t>S11-F113</t>
  </si>
  <si>
    <t>Kapitsaki</t>
  </si>
  <si>
    <t>Generative AI for Code Generation: Software Reuse Implications</t>
  </si>
  <si>
    <t>ICSR 2024 (International Conference on Software and Systems Reuse), LNCS 14614, pp. 37-47 (Springer); DOI 10.1007/978-3-031-66459-5_3</t>
  </si>
  <si>
    <t>S11-F114</t>
  </si>
  <si>
    <t>Razzaq, Altamimi, Khan, Alsaffar, Alfaisal, Ahmed &amp; Zhang</t>
  </si>
  <si>
    <t>A metaverse-based virtual reality platform for online certification using Web3</t>
  </si>
  <si>
    <t>PLOS ONE (received 25 March 2025, accepted 3 July 2025, published 12 August 2025); DOI 10.1371/journal.pone.0328620</t>
  </si>
  <si>
    <t>S11-F115</t>
  </si>
  <si>
    <t>Wang, Wang, Liang &amp; Liang</t>
  </si>
  <si>
    <t>Assessing UML Diagrams by GPT: Implications for Education</t>
  </si>
  <si>
    <t>arXiv preprint 2412.17200 (v4, 18 November 2025, read)</t>
  </si>
  <si>
    <t>As S11-F124</t>
  </si>
  <si>
    <t>S11-F116</t>
  </si>
  <si>
    <t>Is this Snippet Written by ChatGPT? An Empirical Study with a CodeBERT-Based Classifier</t>
  </si>
  <si>
    <t>arXiv preprint 2307.09381 (v2, 7 August 2023, read); no venue stated</t>
  </si>
  <si>
    <t>S11-F117</t>
  </si>
  <si>
    <t>Shanuka, Wijayanayake &amp; Vidanage</t>
  </si>
  <si>
    <t>Systematic Literature Review on Analysing the Impact of Prompt Engineering on Efficiency, Code Quality, and Security in CRUD Application Development</t>
  </si>
  <si>
    <t>The Journal of Desk Research Review and Analysis 2(1), pp. 235-249 (received 20 August 2024, accepted 22 October 2024); DOI 10.4038/jdrra.v2i1.57</t>
  </si>
  <si>
    <t>S11-F118</t>
  </si>
  <si>
    <t>Sadik, Brulin &amp; Olhofer</t>
  </si>
  <si>
    <t>LLM as a Code Generator in Agile Model-Driven Development</t>
  </si>
  <si>
    <t>arXiv preprint 2410.18489 (v2, 22 July 2025, read), marked as accepted for Springer CCIS; published version not found</t>
  </si>
  <si>
    <t>S11-F119</t>
  </si>
  <si>
    <t>Della Porta, De Martino, Recupito, Iemmino, Catolino, Di Nucci &amp; Palomba</t>
  </si>
  <si>
    <t>Using Large Language Models to Support Software Engineering Documentation in Waterfall Life Cycles: Are We There Yet?</t>
  </si>
  <si>
    <t>Ital-IA 2024 (4th National Conference on Artificial Intelligence, CINI, Naples), CEUR Workshop Proceedings (ISSN 1613-0073), 6 pp.</t>
  </si>
  <si>
    <t>S11-F120</t>
  </si>
  <si>
    <t>Browning, Bustard, Anderson &amp; Galway</t>
  </si>
  <si>
    <t>A Data Science Course Utilizing GenAI</t>
  </si>
  <si>
    <t>FIE 2024 (IEEE Frontiers in Education Conference); DOI 10.1109/FIE61694.2024.10893452</t>
  </si>
  <si>
    <t>S11-F121</t>
  </si>
  <si>
    <t>Charmanas, Georgiou, Papageorgiadis, Mittas &amp; Angelis</t>
  </si>
  <si>
    <t>A topic-oriented trend analysis framework for Stack Exchange questions: Case study on ChatGPT related queries on Stack Overflow</t>
  </si>
  <si>
    <t>Information and Software Technology 190, article 107969 (Elsevier; received 29 May 2024, accepted 7 November 2025); DOI 10.1016/j.infsof.2025.107969</t>
  </si>
  <si>
    <t>S11-F122</t>
  </si>
  <si>
    <t>Wang, Chen, Liu, Wang, Cheng &amp; Wan</t>
  </si>
  <si>
    <t>Large Language Model Enhanced Intelligent Robotic Control Software Development</t>
  </si>
  <si>
    <t>Tsinghua Science and Technology, accepted manuscript ('Just Accepted' version read); DOI 10.26599/TST.2026.9010029</t>
  </si>
  <si>
    <t>S11-F123</t>
  </si>
  <si>
    <t>Gopisetty</t>
  </si>
  <si>
    <t>When the Pipeline Breaks the Blueprint: Teaching AI to Spot Architecture Drift Before It Undoes the Bank</t>
  </si>
  <si>
    <t>ISCSITR International Journal of Software Engineering and Development 6(6), pp. 7-27 (published 24 November 2025); DOI 10.63397/ISCSITR-IJSED_2025_06_06_002</t>
  </si>
  <si>
    <t>S11-F124</t>
  </si>
  <si>
    <t>Assessing UML diagrams by GPT: Implications for education</t>
  </si>
  <si>
    <t>Journal of Systems and Software 234, article 112709 (Elsevier; received 22 December 2024, accepted 18 November 2025); DOI 10.1016/j.jss.2025.112709</t>
  </si>
  <si>
    <t>S11-F125</t>
  </si>
  <si>
    <t>Bulhakov, d'Aloisio, Di Sipio, Di Marco &amp; Di Ruscio</t>
  </si>
  <si>
    <t>Investigating the Role of LLMs Hyperparameter Tuning and Prompt Engineering to Support Domain Modeling</t>
  </si>
  <si>
    <t>SEAA 2025 (Euromicro Conference on Software Engineering and Advanced Applications), LNCS 16081, pp. 349-366 (Springer, 2026); DOI 10.1007/978-3-032-04190-6_21</t>
  </si>
  <si>
    <t>S11-F126</t>
  </si>
  <si>
    <t>Jalil</t>
  </si>
  <si>
    <t>The Transformative Influence of Large Language Models on Software Development</t>
  </si>
  <si>
    <t>arXiv preprint 2311.16429 (v1, 28 November 2023, read); no venue stated</t>
  </si>
  <si>
    <t>As S11-F135</t>
  </si>
  <si>
    <t>S11-F127</t>
  </si>
  <si>
    <t>Ciniselli, Martin-Lopez &amp; Bavota</t>
  </si>
  <si>
    <t>On the Generalizability of Deep Learning-based Code Completion Across Programming Language Versions</t>
  </si>
  <si>
    <t>ICPC '24 (32nd IEEE/ACM International Conference on Program Comprehension), pp. 99-111; DOI 10.1145/3643916.3644411</t>
  </si>
  <si>
    <t>S11-F128</t>
  </si>
  <si>
    <t>Melegati &amp; Guerra</t>
  </si>
  <si>
    <t>DAnTE: a taxonomy for the automation degree of software engineering tasks</t>
  </si>
  <si>
    <t>Book chapter (Springer, 2024; DOI 10.1007/978-3-031-55642-5_3, found by web search); version read: arXiv preprint 2309.14903 (v1, 26 September 2023)</t>
  </si>
  <si>
    <t>S11-F129</t>
  </si>
  <si>
    <t>Liu, Liu, Yue, Wang &amp; Deng</t>
  </si>
  <si>
    <t>AutoTestGPT: A system for the automated generation of software test cases based on ChatGPT</t>
  </si>
  <si>
    <t>Journal of Software 19(4), 2024 (found by web search); version read: SSRN preprint 4584792, marked as not peer reviewed</t>
  </si>
  <si>
    <t>S11-F130</t>
  </si>
  <si>
    <t>Sustainability (MDPI) 16(3), article 1166; DOI 10.3390/su16031166 (PDF as sent; second listing under S11)</t>
  </si>
  <si>
    <t>As S11-F02</t>
  </si>
  <si>
    <t>S11-F131</t>
  </si>
  <si>
    <t>The Evolving Role of Programmers in an AI-Chatbot Dominated World: Challenges, Adaptation Strategies, and Future Prospects</t>
  </si>
  <si>
    <t>Book (as sent: title only); a web search on 3 October 2026 found only a ResearchGate entry, which could not be read from our environment (rate-limited)</t>
  </si>
  <si>
    <t>S11-F132</t>
  </si>
  <si>
    <t>Yang &amp; Lo</t>
  </si>
  <si>
    <t>Hotfixing Large Language Models for Code</t>
  </si>
  <si>
    <t>arXiv preprint 2408.05727 (v4, 6 November 2024, read); no venue stated</t>
  </si>
  <si>
    <t>S11-F133</t>
  </si>
  <si>
    <t>Eskandani &amp; Salvaneschi</t>
  </si>
  <si>
    <t>Towards AI for Software Systems</t>
  </si>
  <si>
    <t>AIware '24 (1st ACM International Conference on AI-Powered Software), pp. 79-84; DOI 10.1145/3664646.3664767</t>
  </si>
  <si>
    <t>S11-F134</t>
  </si>
  <si>
    <t>Vescan, Găceanu &amp; Szederjesi-Dragomir</t>
  </si>
  <si>
    <t>Neural Network-based Test Case Prioritization in Continuous Integration</t>
  </si>
  <si>
    <t>ASEW 2023 (38th IEEE/ACM International Conference on Automated Software Engineering Workshops), pp. 68-77; DOI 10.1109/ASEW60602.2023.00014</t>
  </si>
  <si>
    <t>S11-F135</t>
  </si>
  <si>
    <t>The Transformative Influence of LLMs on Software Development &amp; Developer Productivity</t>
  </si>
  <si>
    <t>ACDSA 2025 (International Conference on Artificial Intelligence, Computer, Data Sciences and Applications, IEEE); DOI 10.1109/ACDSA65407.2025.11166110</t>
  </si>
  <si>
    <t>S11-F136</t>
  </si>
  <si>
    <t>CASCON 2025 (IEEE), pp. 399-408; DOI 10.1109/CASCON66301.2025.00069 (PDF as sent)</t>
  </si>
  <si>
    <t>S11-F137</t>
  </si>
  <si>
    <t>A Systematic Review of Research on ChatGPT: The User Perspective</t>
  </si>
  <si>
    <t>Book chapter (IGI Global, listed under Security &amp; Forensics, chapter 330212; found by web search); not freely available</t>
  </si>
  <si>
    <t>S11-F138</t>
  </si>
  <si>
    <t>Draoui, Mkaouer &amp; Newman</t>
  </si>
  <si>
    <t>Improving Data Leakage Detection in Machine Learning Notebooks through Static Slicing and Structured LLM Prompts</t>
  </si>
  <si>
    <t>Proceedings of the ACM on Software Engineering 3 (FSE), article FSE192 (July 2026), 22 pp.; DOI 10.1145/3808199</t>
  </si>
  <si>
    <t>S11-F139</t>
  </si>
  <si>
    <t>Chinnaswamy, Sabarish &amp; Menan</t>
  </si>
  <si>
    <t>User Story Based Automated Test Case Generation Using NLP</t>
  </si>
  <si>
    <t>ICCIDS 2024 (Computational Intelligence in Data Science), IFIP AICT 717, pp. 156-166 (Springer); DOI 10.1007/978-3-031-69982-5_12; abstract only (Springer page)</t>
  </si>
  <si>
    <t>S11-F140</t>
  </si>
  <si>
    <t>Ahmad, Waseem, Aljedaani, Fahmideh, Liang &amp; Awaysheh</t>
  </si>
  <si>
    <t>Quantum Computing as a Service - a Software Engineering Perspective</t>
  </si>
  <si>
    <t>arXiv preprint 2510.04982 (v2, 11 October 2025, read), marked as a preprint submitted to the Journal of Systems and Software</t>
  </si>
  <si>
    <t>S11-F141</t>
  </si>
  <si>
    <t>Moreira, Fernandes, Figueiredo &amp; Fernandes</t>
  </si>
  <si>
    <t>Understanding the Developer and User Perspectives of Design Pattern Detection Tools</t>
  </si>
  <si>
    <t>Software Quality Journal 34, article 40 (Springer; received 27 April 2026, accepted 13 July 2026); DOI 10.1007/s11219-026-09777-0</t>
  </si>
  <si>
    <t>S11-F142</t>
  </si>
  <si>
    <t>Wang, Han, Zhao, Zhou, Qian, Zhou, Xia, Yang, Wang, Jiang &amp; Duan</t>
  </si>
  <si>
    <t>OpenDigger: A Practical Framework for Assessing Community Health and Sustainability in Open Source Collaboration Platforms</t>
  </si>
  <si>
    <t>WWW '26 (ACM Web Conference 2026), Industry Track, pp. 7745-7756; DOI 10.1145/3774904.3792807</t>
  </si>
  <si>
    <t>S11-F143</t>
  </si>
  <si>
    <t>Interactive LLM Agent Review for Software Engineering Artifacts</t>
  </si>
  <si>
    <t>Journal of Computer Information Systems (Taylor &amp; Francis), published online 30 March 2026; DOI 10.1080/08874417.2026.2650523</t>
  </si>
  <si>
    <t>S11-F144</t>
  </si>
  <si>
    <t>Le, Abel &amp; Gouspillou</t>
  </si>
  <si>
    <t>Development of Ontological Knowledge Bases by Leveraging Large Language Models</t>
  </si>
  <si>
    <t>International Journal of Knowledge Management Studies 17(2), pp. 172-206 (Inderscience; accepted 17 December 2025); DOI 10.1504/IJKMS.2026.153906; version read: arXiv 2601.10436v1</t>
  </si>
  <si>
    <t>S11-F145</t>
  </si>
  <si>
    <t>International Journal on Software Tools for Technology Transfer (Springer); Semantic Scholar listing</t>
  </si>
  <si>
    <t>As S10-F32</t>
  </si>
  <si>
    <t>S11-F146</t>
  </si>
  <si>
    <t>Karamchandani, Dabbaghi &amp; Fokaefs</t>
  </si>
  <si>
    <t>From Requirements to Models: A Case Study of Large Language Models on Epidemiological Modeling</t>
  </si>
  <si>
    <t>CASCON 2025 (IEEE International Conference on Collaborative Advances in Software and Computing), short paper (IEEE Xplore document 11344468)</t>
  </si>
  <si>
    <t>S11-F147</t>
  </si>
  <si>
    <t>Milhem, Al-Jawabrah &amp; Abu Wadi</t>
  </si>
  <si>
    <t>The Effectiveness of ChatGPT in Extracting Architectural Patterns and Tactics</t>
  </si>
  <si>
    <t>IAES International Journal of Artificial Intelligence (IJ-AI) 14(5), October 2025, pp. 4363-4370 (received 12 January 2025, revised 14 July 2025, accepted 6 August 2025); DOI 10.11591/ijai.v14.i5.pp4363-4370; published version read</t>
  </si>
  <si>
    <t>S11-F148</t>
  </si>
  <si>
    <t>Alreshidi</t>
  </si>
  <si>
    <t>The Blockchain-Based Design and Implementation of a Framework for Remote Data Management</t>
  </si>
  <si>
    <t>International Journal of Advanced and Applied Sciences 12(5), pp. 46-56 (received 30 November 2024, accepted 29 April 2025); DOI 10.21833/ijaas.2025.05.006</t>
  </si>
  <si>
    <t>S11-F149</t>
  </si>
  <si>
    <t>Vaishampayan &amp; Brown</t>
  </si>
  <si>
    <t>Will You Trust Me More Than ChatGPT? Evaluating LLM-Generated Code Feedback for Mock Technical Interviews</t>
  </si>
  <si>
    <t>CHASE 2025 (IEEE/ACM 18th International Conference on Cooperative and Human Aspects of Software Engineering), pp. 81-92; DOI 10.1109/CHASE66643.2025.00018</t>
  </si>
  <si>
    <t>S11-F150</t>
  </si>
  <si>
    <t>ECSA 2026, LNCS 16991, pp. 143-151 (Springer, 2027); DOI 10.1007/978-3-032-39143-8_14 (published version as sent)</t>
  </si>
  <si>
    <t>S11-F151</t>
  </si>
  <si>
    <t>Elvira, Procko, Ortiz Couder &amp; Ochoa</t>
  </si>
  <si>
    <t>Digital Rubber Duck: Leveraging Large Language Models for Extreme Programming</t>
  </si>
  <si>
    <t>CSCE 2023 (Congress in Computer Science, Computer Engineering, &amp; Applied Computing, IEEE), from p. 295; DOI 10.1109/CSCE60160.2023.00051</t>
  </si>
  <si>
    <t>S11-F152</t>
  </si>
  <si>
    <t>Sharma, Chaturvedi &amp; Tripathi</t>
  </si>
  <si>
    <t>From Problem Descriptions to User Stories: Utilizing Large Language Models through Prompt Chaining</t>
  </si>
  <si>
    <t>ICCCNT 2024 (15th International Conference on Computing Communication and Networking Technologies, IEEE); DOI 10.1109/ICCCNT61001.2024.10724709</t>
  </si>
  <si>
    <t>S11-F153</t>
  </si>
  <si>
    <t>Alaswad &amp; Kalganova</t>
  </si>
  <si>
    <t>Using ChatGPT and other LLMs in Professional Environments</t>
  </si>
  <si>
    <t>Information Sciences Letters 12(9), pp. 2097-2108 (received 19 June 2023, accepted 10 July 2023); DOI 10.18576/isl/120916</t>
  </si>
  <si>
    <t>S11-F154</t>
  </si>
  <si>
    <t>Quantitative Assessment of Generative Large Language Models on Design Pattern Application</t>
  </si>
  <si>
    <t>Computers, Materials &amp; Continua 82(3), pp. 3843-3873 (received 20 December 2024, accepted 1 February 2025); DOI 10.32604/cmc.2025.062552</t>
  </si>
  <si>
    <t>S11-F155</t>
  </si>
  <si>
    <t>Tadaka &amp; Cassandro</t>
  </si>
  <si>
    <t>ChatReliability: A Customized CoPilot Based on LLM to Facilitate Design for Reliability</t>
  </si>
  <si>
    <t>TEMSCON-ASPAC 2024 (IEEE Technology &amp; Engineering Management Conference - Asia Pacific); DOI 10.1109/TEMSCON-ASPAC62480.2024.11024829</t>
  </si>
  <si>
    <t>S11-F156</t>
  </si>
  <si>
    <t>A Framework for Blockchain-Based Management of IoT-Driven Data Sharing</t>
  </si>
  <si>
    <t>International Journal of Advanced and Applied Sciences 12(1), pp. 208-219 (received 31 August 2024, accepted 9 January 2025); DOI 10.21833/ijaas.2025.01.020</t>
  </si>
  <si>
    <t>S11-F157</t>
  </si>
  <si>
    <t>Boudia &amp; Krismadinata</t>
  </si>
  <si>
    <t>Early Insights into SLA with ChatGPT: Navigating CS Teachers and Student Perspectives in an Opinion-Based Exploration</t>
  </si>
  <si>
    <t>Edelweiss Applied Science and Technology 8(5), pp. 648-661 (published 16 September 2024); DOI 10.55214/25768484.v8i5.1729</t>
  </si>
  <si>
    <t>S11-F158</t>
  </si>
  <si>
    <t>Rangapur &amp; Rangapur</t>
  </si>
  <si>
    <t>The Battle of LLMs: A Comparative Study in Conversational QA Tasks</t>
  </si>
  <si>
    <t>arXiv preprint 2405.18344 (2024); no published version found</t>
  </si>
  <si>
    <t>S11-F159</t>
  </si>
  <si>
    <t>Ganzaroli</t>
  </si>
  <si>
    <t>Redefining the Entrepreneurial Discovery Process for Smarter Specialization in Europe</t>
  </si>
  <si>
    <t>European Planning Studies 32(9), pp. 1908-1926 (received 5 April 2023, accepted 20 February 2024); DOI 10.1080/09654313.2024.2324041</t>
  </si>
  <si>
    <t>S11-F160</t>
  </si>
  <si>
    <t>Yang</t>
  </si>
  <si>
    <t>ChatGPT and Its Challenges for Current Intellectual Property Laws</t>
  </si>
  <si>
    <t>Highlights in Business, Economics and Management 20 (EMCG 2023 proceedings issue), pp. 467-481; DOI 10.54097/hbem.v20i.12675</t>
  </si>
  <si>
    <t>S11-F161</t>
  </si>
  <si>
    <t>Li &amp; Albano</t>
  </si>
  <si>
    <t>A Framework for Microservice Organizational Structure Optimization</t>
  </si>
  <si>
    <t>SATrends '24 (2024 IEEE/ACM International Workshop on New Trends in Software Architecture, Lisbon), 4 pp. (ACM); DOI 10.1145/3643657.3643913</t>
  </si>
  <si>
    <t>S11-F162</t>
  </si>
  <si>
    <t>Automated Software Engineering 33, article 94 (Springer, 2026); DOI 10.1007/s10515-026-00648-3 (the PDF sent)</t>
  </si>
  <si>
    <t>S11-F163</t>
  </si>
  <si>
    <t>Albonico &amp; Varela</t>
  </si>
  <si>
    <t>A Report on the Use of ChatGPT in Software Engineering and Systems Analysis Courses</t>
  </si>
  <si>
    <t>SBES 2023 (XXXVII Brazilian Symposium on Software Engineering, Campo Grande), pp. 303-311 (ACM); DOI 10.1145/3613372.3614189</t>
  </si>
  <si>
    <t>S11-F164</t>
  </si>
  <si>
    <t>Ali, Fatemi, Boskabadi, Nikfar, Ugwuoke &amp; Ali</t>
  </si>
  <si>
    <t>ChatGPT in Teaching and Learning: A Systematic Review</t>
  </si>
  <si>
    <t>Education Sciences 14(6), article 643 (MDPI; received 10 April 2024, accepted 12 June 2024); DOI 10.3390/educsci14060643</t>
  </si>
  <si>
    <t>S11-F165</t>
  </si>
  <si>
    <t>Sultan, Apvrille &amp; Coudert</t>
  </si>
  <si>
    <t>On the Consistency of State Machines, Use Cases and Block Diagrams Using Dependency Graphs and Large Language Models</t>
  </si>
  <si>
    <t>Software and Systems Modeling (Springer), special section paper, 41 pp. (received 6 June 2025, revised 13 April 2026, accepted 21 April 2026); DOI 10.1007/s10270-026-01388-4</t>
  </si>
  <si>
    <t>S11-F166</t>
  </si>
  <si>
    <t>Krichen</t>
  </si>
  <si>
    <t>Generative AI for Software Development: A Survey</t>
  </si>
  <si>
    <t>ICSOC 2024 Workshops (International Conference on Service-Oriented Computing), LNCS 15833, pp. 209-220 (Springer, 2026); DOI 10.1007/978-981-96-7238-7_17</t>
  </si>
  <si>
    <t>S11-F167</t>
  </si>
  <si>
    <t>XP 2025, LNBIP 545, pp. 145-159 (Springer, 2025); DOI 10.1007/978-3-031-94544-1_10 (the PDF sent)</t>
  </si>
  <si>
    <t>S11-F168</t>
  </si>
  <si>
    <t>arXiv 2606.01385 (v1, 31 May 2026; the PDF sent); no published version found</t>
  </si>
  <si>
    <t>S11-F169</t>
  </si>
  <si>
    <t>How Do Information Technology Professionals Use Generative Artificial Intelligence?</t>
  </si>
  <si>
    <t>SBSI '24 (XX Brazilian Symposium on Information Systems, Juiz de Fora), 9 pp. (ACM); DOI 10.1145/3658321.3658367</t>
  </si>
  <si>
    <t>S11-F170</t>
  </si>
  <si>
    <t>Dangculos, Sosas, Aleguen &amp; Kintanar</t>
  </si>
  <si>
    <t>Challenges of Secondary Mathematics Pre-Service Teachers in Using ChatGPT in Mathematics Learning</t>
  </si>
  <si>
    <t>Contemporary Mathematics and Science Education 7(1), article ep26009 (received 2 July 2025, accepted 24 March 2026); DOI 10.30935/conmaths/18444</t>
  </si>
  <si>
    <t>S11-F171</t>
  </si>
  <si>
    <t>Terzi, Bibi, Tsitsimiklis &amp; Angelidis</t>
  </si>
  <si>
    <t>Using Code from ChatGPT: Finding Patterns in the Developers' Interaction with ChatGPT</t>
  </si>
  <si>
    <t>ICSR 2024 (International Conference on Software and Systems Reuse), LNCS 14614, pp. 137-152 (Springer, 2024); DOI 10.1007/978-3-031-66459-5_9</t>
  </si>
  <si>
    <t>S11-F172</t>
  </si>
  <si>
    <t>Software Engineering and Advanced Applications: 51st Euromicro Conference, SEAA 2025, Salerno, Italy, September 10–12, 2025, Proceedings, Part III</t>
  </si>
  <si>
    <t>Book (as sent: a Google Books entry for the whole volume); SEAA 2025 proceedings, Part III, LNCS 16083 (Springer, 2026; DOI 10.1007/978-3-032-04207-1, from the Springer page)</t>
  </si>
  <si>
    <t>S11-F173</t>
  </si>
  <si>
    <t>Heidrich, Schreiber &amp; Theis</t>
  </si>
  <si>
    <t>Generative Artificial Intelligence for the Visualization of Source Code as Comics</t>
  </si>
  <si>
    <t>HCII 2024 (HCI International), LNCS 14690, pp. 35-49 (Springer, 2024); DOI 10.1007/978-3-031-60114-9_4</t>
  </si>
  <si>
    <t>S11-F174</t>
  </si>
  <si>
    <t>Talebirad, Nadiri, Zaïane &amp; Largeron</t>
  </si>
  <si>
    <t>Enhancing Algorithms with LLMs: A Case Study</t>
  </si>
  <si>
    <t>iiWAS 2025 (International Conference on Information Integration and Web Intelligence), LNCS 16330, pp. 398-411 (Springer, 2026); DOI 10.1007/978-3-032-11976-6_31</t>
  </si>
  <si>
    <t>S11-F175</t>
  </si>
  <si>
    <t>Waseem, Ahmad, Mäkitalo, Kotilainen, Hästbacka, Mätäsniemi, Systä &amp; Mikkonen</t>
  </si>
  <si>
    <t>Liquid Artificial Intelligence Through IDSA and GAIA-X Integration</t>
  </si>
  <si>
    <t>FICC 2025 (Future of Information and Communication Conference), Advances in Information and Communication, Vol. 1, LNNS 1283, pp. 17-37 (Springer, 2025); DOI 10.1007/978-3-031-84457-7_2; version read: the authors' accepted version, self-archived at the University of Jyväskylä</t>
  </si>
  <si>
    <t>S11-F176</t>
  </si>
  <si>
    <t>Balaci, Suh &amp; Hwang</t>
  </si>
  <si>
    <t>Systematic Application of Traffic-Signal-Control System Architecture Design and Selection Using Model-Based Systems Engineering and Pareto Frontier Analysis</t>
  </si>
  <si>
    <t>Systems Engineering 27, pp. 931-954 (Wiley; received 15 August 2023, accepted 15 April 2024); DOI 10.1002/sys.21759</t>
  </si>
  <si>
    <t>S11-F177</t>
  </si>
  <si>
    <t>Sun, Xu, Xiao, Huang, Zhou, Wei &amp; Diao</t>
  </si>
  <si>
    <t>A Preliminary Study on the Application of Large Language Models in Power System Simulations</t>
  </si>
  <si>
    <t>ICPET 2024 (6th International Conference on Power and Energy Technology, IEEE), from p. 304; DOI 10.1109/ICPET62369.2024.10941115</t>
  </si>
  <si>
    <t>S11-F178</t>
  </si>
  <si>
    <t>Liang, Liang &amp; Wang</t>
  </si>
  <si>
    <t>UML Class Diagram Evaluation and Repair Strategies based on LLMs</t>
  </si>
  <si>
    <t>arXiv preprint 2608.28800 (v1, 28 August 2026, read; marked 'Preprint submitted to Elsevier'); no published version found</t>
  </si>
  <si>
    <t>S11-F179</t>
  </si>
  <si>
    <t>Blockchain-based Decentralised Management of Digital Passports of Health (DPoH) for Vaccination Records</t>
  </si>
  <si>
    <t>International Journal of Advanced Computer Science and Applications (IJACSA) 15(6), pp. 1440-1448</t>
  </si>
  <si>
    <t>S11-F180</t>
  </si>
  <si>
    <t>Rouabhia &amp; Hadjadj</t>
  </si>
  <si>
    <t>AI as a Co-Engineer: A Case Study of ChatGPT in Software Lifecycle</t>
  </si>
  <si>
    <t>Research Square preprint (v1, posted 28 December 2023); DOI 10.21203/rs.3.rs-3809973/v1; no published version found</t>
  </si>
  <si>
    <t>S11-F181</t>
  </si>
  <si>
    <t>Iftikhar &amp; Rausch</t>
  </si>
  <si>
    <t>Reliability of Large Language Models for Design Synthesis: An Empirical Study of Variance, Prompt Sensitivity, and Method Scaffolding</t>
  </si>
  <si>
    <t>arXiv preprint 2604.00851 (v1, 1 April 2026, read); no venue stated; no published version found</t>
  </si>
  <si>
    <t>S11-F182</t>
  </si>
  <si>
    <t>Boudia &amp; Bengueddach</t>
  </si>
  <si>
    <t>Innovating Higher Education: The Rise of ChatGPT in Collaborative Learning - A Short Review</t>
  </si>
  <si>
    <t>ICRES 2024 (International Conference on Research in Education and Science, Antalya), Proceedings, pp. 1347-1370 (ISTES)</t>
  </si>
  <si>
    <t>S11-F183</t>
  </si>
  <si>
    <t>Systematic Literature Review of Agentic AI and AIOps Across Software Lifecycle</t>
  </si>
  <si>
    <t>Bachelor's thesis (details as sent: title only; author, institution and year not given)</t>
  </si>
  <si>
    <t>S11-F184</t>
  </si>
  <si>
    <t>Vardar &amp; Gumus</t>
  </si>
  <si>
    <t>Evaluation of AI Assisted Problem Solving Based on ChatGPT Accuracy and Effectiveness in Adobe Photoshop User Queries</t>
  </si>
  <si>
    <t>Discover Education 5, article 339 (Springer; received 26 August 2025, accepted 13 March 2026); DOI 10.1007/s44217-026-01373-5</t>
  </si>
  <si>
    <t>S11-F185</t>
  </si>
  <si>
    <t>Fan, Liu, Wang, Bao, Xia &amp; Li</t>
  </si>
  <si>
    <t>FGIT: Fault-Guided Fine-Tuning for Code Generation</t>
  </si>
  <si>
    <t>ASE 2025 (40th IEEE/ACM International Conference on Automated Software Engineering), from p. 1338 (IEEE); DOI 10.1109/ASE63991.2025.00114</t>
  </si>
  <si>
    <t>S11-F186</t>
  </si>
  <si>
    <t>Coding by Design: GPT-4 Empowers Agile Model Driven Development</t>
  </si>
  <si>
    <t>MODELSWARD 2024 (12th International Conference on Model-Based Software and Systems Engineering), pp. 149-156 (SciTePress); DOI 10.5220/0012356100003645</t>
  </si>
  <si>
    <t>S11-F187</t>
  </si>
  <si>
    <t>Xie, Xiao &amp; Li</t>
  </si>
  <si>
    <t>Augmenting the Problem Frames Approach with Explicit Data Descriptions Using ChatGPT</t>
  </si>
  <si>
    <t>REW 2023 (IEEE 31st International Requirements Engineering Conference Workshops), pp. 178-183; DOI 10.1109/REW57809.2023.00036</t>
  </si>
  <si>
    <t>S11-F188</t>
  </si>
  <si>
    <t>Quispe &amp; Grijalba</t>
  </si>
  <si>
    <t>Impact of the Availability of Chat-GPT on Software Development Activity</t>
  </si>
  <si>
    <t>arXiv preprint 2406.11046 (v1, 16 June 2024, read; also listed in RePEc); no venue stated; no published version found</t>
  </si>
  <si>
    <t>S11-F189</t>
  </si>
  <si>
    <t>Geladin</t>
  </si>
  <si>
    <t>Analyzing the Impact of Generative AI Models on IaC Code Quality</t>
  </si>
  <si>
    <t>PhD dissertation, School of Technology and Engineering, National University, San Diego (title page dated June 2024, committee approval August 2025); ProQuest preview read (24 pages, watermarked PREVIEW)</t>
  </si>
  <si>
    <t>S11-F190</t>
  </si>
  <si>
    <t>Pham &amp; Nguyen</t>
  </si>
  <si>
    <t>Accelerating Software Development Cycle with a Multi-agent Generative AI Approach: A Case Study with OpenAI's GPT</t>
  </si>
  <si>
    <t>CITA 2025 (14th Conference on Information Technology and its Applications), LNNS 1581, from p. 187 (Springer, 2026); DOI 10.1007/978-3-032-00972-2_15</t>
  </si>
  <si>
    <t>S11-F191</t>
  </si>
  <si>
    <t>Mishra, Mishra, Barwal &amp; Mishra</t>
  </si>
  <si>
    <t>AI Inclusion in Software Engineering Education and Employability: A Decisive Investigation</t>
  </si>
  <si>
    <t>ICCIKE 2025 (International Conference on Computational Intelligence and Knowledge Economy, Dubai, IEEE); DOI 10.1109/ICCIKE67021.2025.11318202</t>
  </si>
  <si>
    <t>S11-F192</t>
  </si>
  <si>
    <t>Martins &amp; Venson</t>
  </si>
  <si>
    <t>An Empirical Evaluation of Generative AI in Security Requirements Engineering and Threat Modeling</t>
  </si>
  <si>
    <t>FSE Companion '26 (34th ACM International Conference on the Foundations of Software Engineering, Montreal), pp. 294-304 (ACM); DOI 10.1145/3803437.3805203</t>
  </si>
  <si>
    <t>S11-F193</t>
  </si>
  <si>
    <t>Diaz-Pace, Tommasel &amp; Vazquez</t>
  </si>
  <si>
    <t>The JavaScript Package Selection Task: A Comparative Experiment Using an LLM-based Approach</t>
  </si>
  <si>
    <t>CLEI Electronic Journal 27(2), paper 4 (July 2024)</t>
  </si>
  <si>
    <t>S11-F194</t>
  </si>
  <si>
    <t>Alzahrani</t>
  </si>
  <si>
    <t>Artificial Intelligence in Software System Quality Assurance: A Systematic Literature Review of Techniques, Tools, and Challenges (2016–2026)</t>
  </si>
  <si>
    <t>International Journal of Advanced Computer Science and Applications (IJACSA) 17(6), pp. 127-143</t>
  </si>
  <si>
    <t>S11-F195</t>
  </si>
  <si>
    <t>Aljaloud</t>
  </si>
  <si>
    <t>A Framework for Patient-Centric Medical Image Management Using Blockchain Technology</t>
  </si>
  <si>
    <t>International Journal of Advanced Computer Science and Applications (IJACSA) 14(8), pp. 747-757</t>
  </si>
  <si>
    <t>S11-F196</t>
  </si>
  <si>
    <t>AI-SQE '26 (ICSE 2026 workshop), pp. 88-96 (ACM); DOI 10.1145/3786175.3788350 (the PDF sent)</t>
  </si>
  <si>
    <t>S11-F197</t>
  </si>
  <si>
    <t>Marques</t>
  </si>
  <si>
    <t>DevBots can co-design APIs</t>
  </si>
  <si>
    <t>arXiv preprint 2312.05733 (v1, 10 December 2023, read); no venue stated; no published version found</t>
  </si>
  <si>
    <t>S11-F198</t>
  </si>
  <si>
    <t>ICSE-SEIP 2025, from p. 330; DOI 10.1109/ICSE-SEIP66354.2025.00035; version sent: eScholarship copy (UC Irvine); second listing under S11</t>
  </si>
  <si>
    <t>As S11-F68</t>
  </si>
  <si>
    <t>S11-F199</t>
  </si>
  <si>
    <t>ACM Transactions on Autonomous and Adaptive Systems (TAAS), 2026; DOI 10.1145/3807453 (the PDF sent, typeset differently from S11-F75's; second listing under S11)</t>
  </si>
  <si>
    <t>S11-F200</t>
  </si>
  <si>
    <t>Design and Automatic Generation of Safety Cases of ML-Enabled Autonomous Driving Systems</t>
  </si>
  <si>
    <t>Thesis (details as sent: title only; author, institution, degree and year not given)</t>
  </si>
  <si>
    <t>S11-F201</t>
  </si>
  <si>
    <t>IEEE Access 12, pp. 180048-180078; DOI 10.1109/ACCESS.2024.3504815 (the PDF sent; second listing under S11)</t>
  </si>
  <si>
    <t>As S11-F15</t>
  </si>
  <si>
    <t>S11-F202</t>
  </si>
  <si>
    <t>Rethinking Software Engineering Skills in the Age of AI</t>
  </si>
  <si>
    <t>Book chapter (IGI Global, chapter 407859; found by web search); not freely available</t>
  </si>
  <si>
    <t>S11-F203</t>
  </si>
  <si>
    <t>Lau, Koh &amp; Jiang</t>
  </si>
  <si>
    <t>Use of Search Tools in Software Development: A Study of Microservice-Based Team Projects</t>
  </si>
  <si>
    <t>CSEDU 2025 (17th International Conference on Computer Supported Education, Porto), pp. 1-11 as given in the repository citation; version read: the copy in Singapore Management University's repository (InK)</t>
  </si>
  <si>
    <t>S11-F204</t>
  </si>
  <si>
    <t>Rangapur &amp; Wang</t>
  </si>
  <si>
    <t>ChatGPT-Crawler: Find out if ChatGPT Really Knows What It's Talking About</t>
  </si>
  <si>
    <t>arXiv preprint 2304.03325 (2023); no published version found</t>
  </si>
  <si>
    <t>S11-F205</t>
  </si>
  <si>
    <t>An Investigation of Domain-based Social Influence on ChatGPT-Related Twitter Data</t>
  </si>
  <si>
    <t>ICIS 2023 Proceedings (AIS eLibrary; link as sent, aisel.aisnet.org, article 1301 of the icis2023 collection)</t>
  </si>
  <si>
    <t>S11-F206</t>
  </si>
  <si>
    <t>Token Budget Minimisation of Large Language Model based Program Repair</t>
  </si>
  <si>
    <t>Not established (title as sent; a web search on 4 October 2026 found a record in KTH's DiVA repository, diva2:1813420, which could not be opened from our environment)</t>
  </si>
  <si>
    <t>S11-F207</t>
  </si>
  <si>
    <t>Nasution, Bukit, Taqyuddin, Maisarah, Nainggolan &amp; Sagala</t>
  </si>
  <si>
    <t>Human-in-the-Loop ChatGPT-Assisted Design of a Multi-User Team Project Management System with Compliance-by-Design</t>
  </si>
  <si>
    <t>Manuscript under review at the International Journal of Computing and Digital Systems (placeholder DOI and 'Received XX Month 2026' dates in the PDF sent); no published version found</t>
  </si>
  <si>
    <t>S11-F208</t>
  </si>
  <si>
    <t>Bridging Emotional Gaps in Textual Interactions: A Study on the Role of Emotion Analysis Services</t>
  </si>
  <si>
    <t>S11-F209</t>
  </si>
  <si>
    <t>Erten, Yardımcı, Yorgancı, Yılmaz &amp; İnce</t>
  </si>
  <si>
    <t>Scrum-AI LLM Based Software Process Management (Scrum-AI LLM Tabanlı Yazılım Süreç Yönetimi)</t>
  </si>
  <si>
    <t>UBMK 2025 (10th International Conference on Computer Science and Engineering, IEEE), pp. 225-230; DOI 10.1109/UBMK67458.2025.11206875</t>
  </si>
  <si>
    <t>S11-F210</t>
  </si>
  <si>
    <t>Procedural Justice for CS Hiring: Towards Fair and Equitable Resume Matching in AI Era</t>
  </si>
  <si>
    <t>S11-F211</t>
  </si>
  <si>
    <t>Coskun</t>
  </si>
  <si>
    <t>The Power of ChatGPT: The Breakthrough Role of the Language Model in Engineering Education</t>
  </si>
  <si>
    <t>Book chapter (Chapter 5, pp. 101-120) in Innovative Research in Engineering, ed. B. Akdemir (Duvar Publishing, August 2023; ISBN 978-625-6507-47-0); details from the book's front matter at the link sent (KSBU AVESIS); the chapter text could not be read</t>
  </si>
  <si>
    <t>S11-F212</t>
  </si>
  <si>
    <t>Geometric Modeling and Visual Aesthetics in Urban Environments</t>
  </si>
  <si>
    <t>Springer chapter, DOI 10.1007/978-3-032-10289-8_8 (found by web search); not freely available</t>
  </si>
  <si>
    <t>S11-F213</t>
  </si>
  <si>
    <t>ACM Transactions on Software Engineering and Methodology 34(5), article 129 (May 2025); DOI 10.1145/3715111</t>
  </si>
  <si>
    <t>S11-F214</t>
  </si>
  <si>
    <t>Le, Pham, Truong &amp; Vu</t>
  </si>
  <si>
    <t>Towards Architecture-Driven Code Generation with Generative AI: An Empirical Study</t>
  </si>
  <si>
    <t>ICIIT 2026 (11th International Conference on Intelligent Information Technology, Da Nang), pp. 102-108 (ACM); DOI 10.1145/3805862.3805878</t>
  </si>
  <si>
    <t>S11-F215</t>
  </si>
  <si>
    <t>Kop</t>
  </si>
  <si>
    <t>LLM-Supported Generation of Class Diagrams with Test Cases</t>
  </si>
  <si>
    <t>MODELSWARD 2026 (14th International Conference on Model-Based Software and Systems Engineering), pp. 194-201 (SciTePress); DOI 10.5220/0014249300004058</t>
  </si>
  <si>
    <t>S11-F216</t>
  </si>
  <si>
    <t>Understanding and Supporting Software Model Evolution through Edit Operation Mining and AI-based Software Model Completion</t>
  </si>
  <si>
    <t>Thesis, Saarland University (SciDok repository, handle 20.500.11880/40849; link as sent)</t>
  </si>
  <si>
    <t>S11-F217</t>
  </si>
  <si>
    <t>Dryzhakova</t>
  </si>
  <si>
    <t>Legal Regulation of the Concept of 'Bot Farms' as a Response to Manipulation of Internet Users</t>
  </si>
  <si>
    <t>Social &amp; Legal Studios 8(2), pp. 144-154 (received 16 March 2025, accepted 25 June 2025); DOI 10.32518/sals2.2025.144</t>
  </si>
  <si>
    <t>S11-F218</t>
  </si>
  <si>
    <t>Brown &amp; Cusati</t>
  </si>
  <si>
    <t>Exploring the Evidence-Based SE Beliefs of Generative AI Tools</t>
  </si>
  <si>
    <t>ESEM 2025 (ACM/IEEE International Symposium on Empirical Software Engineering and Measurement), pp. 386-392 (IEEE); DOI 10.1109/ESEM64174.2025.00041</t>
  </si>
  <si>
    <t>S11-F219</t>
  </si>
  <si>
    <t>S11-F220</t>
  </si>
  <si>
    <t>Static and Binary Source Code Vulnerability Analysis With Transformer-Based Generative Models</t>
  </si>
  <si>
    <t>Doctoral dissertation (ProQuest Dissertations &amp; Theses; ProQuest link as sent); a web search on 4 October 2026 found it in the repository of the University of Texas at San Antonio (rrpress.utsa.edu)</t>
  </si>
  <si>
    <t>S11-F221</t>
  </si>
  <si>
    <t>From Task Automation to Knowledge Automation: A Systematic Review of RPA Limitations and Prospective Analysis of Generative AI in This Scenario</t>
  </si>
  <si>
    <t>Record in LUME, the repository of the Universidade Federal do Rio Grande do Sul (handle 10183/298643; link as sent); publication type not established</t>
  </si>
  <si>
    <t>S11-F222</t>
  </si>
  <si>
    <t>AI-Assisted and Low-Code Development in Practice: A Case Study of SocialMize on Developer Productivity, Code Quality, and Perceived Trust and Usability</t>
  </si>
  <si>
    <t>Thesis, University of Turku (UTUPub repository; link as sent)</t>
  </si>
  <si>
    <t>S11-F223</t>
  </si>
  <si>
    <t>Google Books entry as sent, titled '...Making: Domain-Driven Context and Prompt Engineering' (link to page 142 of the volume); second listing under S11</t>
  </si>
  <si>
    <t>S11-F224</t>
  </si>
  <si>
    <t>S11-F225</t>
  </si>
  <si>
    <t>Balamurugan, Reddy &amp; Subramanyam</t>
  </si>
  <si>
    <t>Evaluation of Natural Language Used to Software Engineer based on Chatbot</t>
  </si>
  <si>
    <t>ICCAMS 2023 (International Conference on New Frontiers in Communication, Automation, Management and Security, IEEE); DOI 10.1109/ICCAMS60113.2023.10526053</t>
  </si>
  <si>
    <t>S11-F226</t>
  </si>
  <si>
    <t>Sustainability of Chat-Bot Engineered Software Codes</t>
  </si>
  <si>
    <t>Springer chapter, DOI 10.1007/978-3-031-96759-7_38 (found by web search); not freely available</t>
  </si>
  <si>
    <t>S11-F227</t>
  </si>
  <si>
    <t>Lin, Chou &amp; Lin</t>
  </si>
  <si>
    <t>Human-Robot Collaboration with Large Language Model for Model Construction Using Complex Software</t>
  </si>
  <si>
    <t>ICCBE 2025 (IEEE International Conference on Computation, Big-Data and Engineering), pp. 578-583; DOI 10.1109/ICCBE65177.2025.11255927</t>
  </si>
  <si>
    <t>S11-F228</t>
  </si>
  <si>
    <t>Kofahi &amp; Husain</t>
  </si>
  <si>
    <t>ChatGPT for Operating Systems: Higher-Order Thinking in Focus</t>
  </si>
  <si>
    <t>Journal of Information Technology Education: Research 24, article 1, pp. 1-24 (received 29 June 2024, accepted 26 September 2024); DOI 10.28945/5382</t>
  </si>
  <si>
    <t>S11-F229</t>
  </si>
  <si>
    <t>Vazquez, Diaz-Pace &amp; Tommasel</t>
  </si>
  <si>
    <t>The JavaScript Package Selection Task: A Comparative Experiment Using ChatGPT</t>
  </si>
  <si>
    <t>CLEI 2023 (XLIX Latin American Computer Conference, IEEE); DOI 10.1109/CLEI60451.2023.10345786</t>
  </si>
  <si>
    <t>S11-F230</t>
  </si>
  <si>
    <t>Gao, Yin, Li, Ge &amp; Kong</t>
  </si>
  <si>
    <t>Test Case Generation for Context-Aware Large Language Models Based on Deep Semantic Understanding</t>
  </si>
  <si>
    <t>AIHCIR 2025 (4th International Conference on Artificial Intelligence, Human-Computer Interaction and Robotics, IEEE); DOI 10.1109/AIHCIR67580.2025.11404785</t>
  </si>
  <si>
    <t>S11-F231</t>
  </si>
  <si>
    <t>Gomes de Oliveira Neto</t>
  </si>
  <si>
    <t>Unveiling Assumptions: Exploring the Decisions of AI Chatbots and Human Testers</t>
  </si>
  <si>
    <t>AIware '24 (1st ACM International Conference on AI-Powered Software); DOI 10.1145/3664646.3664762 (found by web search); version read: arXiv 2406.11339v1</t>
  </si>
  <si>
    <t>S11-F232</t>
  </si>
  <si>
    <t>Jiao</t>
  </si>
  <si>
    <t>Key Applications and Challenges of Virtual Software Simulation Technology in Data Resource Searching Schemes</t>
  </si>
  <si>
    <t>ICSADL 2025 (4th International Conference on Sentiment Analysis and Deep Learning, IEEE), pp. 124-129; DOI 10.1109/ICSADL65848.2025.10933047</t>
  </si>
  <si>
    <t>S11-F233</t>
  </si>
  <si>
    <t>Version 2 (September 2026) of the self-archived record (Zenodo, doi:10.5281/zenodo.15178844; the PDF sent)</t>
  </si>
  <si>
    <t>S11-F234</t>
  </si>
  <si>
    <t>Document dated 'Publication Date: August 6, 2026', with no venue, publisher or DOI; no record found</t>
  </si>
  <si>
    <t>S11-F235</t>
  </si>
  <si>
    <t>Google Books entry as sent (link to p. 198 of a volume, presumably the Springer CCIS publication); the PDF sent is arXiv 2410.18489v2; second listing under S11</t>
  </si>
  <si>
    <t>As S11-F118</t>
  </si>
  <si>
    <t>S11-F236</t>
  </si>
  <si>
    <t>Generation of Architectural Alternatives Using Retrieval-Augmented Large Language Models</t>
  </si>
  <si>
    <t>Not established (title as sent; link disabled; a web search on 4 October 2026 found no record)</t>
  </si>
  <si>
    <t>S11-F237</t>
  </si>
  <si>
    <t>Geometric Modeling and Visual Aesthetics</t>
  </si>
  <si>
    <t>Book (as sent: Google Books entry, link to p. 101 of the volume); the PDF sent is a different work: Lyu, 'Domain Generalization via Representation Learning', PhD dissertation, Tufts University, 2024 (ProQuest preview)</t>
  </si>
  <si>
    <t>S11-F238</t>
  </si>
  <si>
    <t>Damayanti, Gani, Zhipeng, Gani, Zuhriyah, Nurani, Djabir &amp; Wardani</t>
  </si>
  <si>
    <t>Bibliometric and Content Analysis of Large Language Models Research in Software Engineering: The Potential and Limitation in Software Engineering</t>
  </si>
  <si>
    <t>International Journal of Advanced Computer Science and Applications (IJACSA) 16(4), pp. 344-356; DOI 10.14569/IJACSA.2025.0160436</t>
  </si>
  <si>
    <t>S11-F239</t>
  </si>
  <si>
    <t>di Sabato, Marcos, Rodríguez, Vidal, Pereira, Albuquerque &amp; Perkusich</t>
  </si>
  <si>
    <t>SBCARS '25 (19th Brazilian Symposium on Software Components, Architectures, and Reuse, Recife, ACM)</t>
  </si>
  <si>
    <t>S11-F240</t>
  </si>
  <si>
    <t>Prozesse zur Entwicklung digitaler Produkte</t>
  </si>
  <si>
    <t>Springer chapter, DOI 10.1007/978-3-658-49110-9_4 (link as sent)</t>
  </si>
  <si>
    <t>S11-F241</t>
  </si>
  <si>
    <t>SBCARS 2026 (CBSoft 2026), 11 pp. (the PDF sent)</t>
  </si>
  <si>
    <t>S11-F242</t>
  </si>
  <si>
    <t>Exploring Software Explanation using Retrieval Augmented Generation</t>
  </si>
  <si>
    <t>S11-F243</t>
  </si>
  <si>
    <t>Gunning Fog Index and Automated UML Generation</t>
  </si>
  <si>
    <t>Research Square preprint (v1, posted 15 November 2023); DOI 10.21203/rs.3.rs-3597953/v1; no published version found</t>
  </si>
  <si>
    <t>S11-F244</t>
  </si>
  <si>
    <t>TEMSCON-ASPAC 2024 (IEEE); DOI 10.1109/TEMSCON-ASPAC62480.2024.11024829 (another copy of the PDF; second listing under S11)</t>
  </si>
  <si>
    <t>As S11-F155</t>
  </si>
  <si>
    <t>S11-F245</t>
  </si>
  <si>
    <t>L'impatto degli strumenti GenAI sullo sviluppo software: evoluzione, rischi ed opportunità (The impact of GenAI tools on software development: evolution, risks, and opportunities)</t>
  </si>
  <si>
    <t>Thesis, Politecnico di Torino (webthesis.biblio.polito.it/38671; link as sent)</t>
  </si>
  <si>
    <t>S11-F246</t>
  </si>
  <si>
    <t>Artificial Intelligence in Software Engineering - A Study Case on Data Structures, Algorithms and Unit Testing</t>
  </si>
  <si>
    <t>Document in RCAAP (Portuguese open-access repositories, comum.rcaap.pt; link as sent, pointing to p. 39 of a larger PDF); publication type not established</t>
  </si>
  <si>
    <t>S11-F247</t>
  </si>
  <si>
    <t>Not established (Google Scholar entry titled 'University of Cape Town, Cape Town, South Africa caroline. magunje@ uct. ca. za', an author's affiliation line)</t>
  </si>
  <si>
    <t>Google Books entry as sent (link to p. 347 of a volume); work not identified</t>
  </si>
  <si>
    <t>S11-F248</t>
  </si>
  <si>
    <t>Intelligent Pharmacy, article in press (pagination xxx; received 3 March 2024, accepted 22 March 2024); DOI 10.1016/j.ipha.2024.03.002 (the PDF sent; second listing under S11)</t>
  </si>
  <si>
    <t>As S11-F44</t>
  </si>
  <si>
    <t>S11-F249</t>
  </si>
  <si>
    <t>Ponto, Rahman &amp; Munir</t>
  </si>
  <si>
    <t>Analisis dan Desain User Interface Aplikasi Olah Data Absensi Menggunakan ChatGPT 4.0 (Analysis and user interface design of an attendance data processing application using ChatGPT 4.0)</t>
  </si>
  <si>
    <t>Jurnal KHARISMA Tech 21(2), pp. 69-78 (September 2026)</t>
  </si>
  <si>
    <t>S11-F250</t>
  </si>
  <si>
    <t>Walter</t>
  </si>
  <si>
    <t>AI-Assisted Authoring in the Software Engineering Domain: An Empirical Study on Using ChatGPT</t>
  </si>
  <si>
    <t>Record in OPUS, the University of Stuttgart repository (elib.uni-stuttgart.de, handle 11682/14502; found by web search); publication type not established</t>
  </si>
  <si>
    <t>S11-F252</t>
  </si>
  <si>
    <t>ENASE 2025 (SciTePress), pp. 608-617; DOI 10.5220/0013358000003928; Semantic Scholar listing</t>
  </si>
  <si>
    <t>As S4-F90</t>
  </si>
  <si>
    <t>S11-F253</t>
  </si>
  <si>
    <t>Yousef</t>
  </si>
  <si>
    <t>Utilizing ChatGPT to Create a Riva-Based Business Process Architecture: The Online Teaching Case Study</t>
  </si>
  <si>
    <t>International Journal of Information and Education Technology 14(2), pp. 345-353 (received 28 July 2023, accepted 22 November 2023); DOI 10.18178/ijiet.2024.14.2.2056</t>
  </si>
  <si>
    <t>S11-F254</t>
  </si>
  <si>
    <t>Kuhail, Berengueres, Taher &amp; Khan</t>
  </si>
  <si>
    <t>Integrating Generative AI into the Design Process: A Case Study on Space Engineering</t>
  </si>
  <si>
    <t>IHIET-AI 2024 (Human Interaction and Emerging Technologies: Artificial Intelligence and Future Applications), AHFE Open Access 120, pp. 186-194; DOI 10.54941/ahfe1004568</t>
  </si>
  <si>
    <t>S11-F255</t>
  </si>
  <si>
    <t>Bruhin, Ebel, Mueller &amp; Li</t>
  </si>
  <si>
    <t>GenAI and Software Engineering: Strategies for Shaping the Core of Tomorrow's Software Engineering Practice</t>
  </si>
  <si>
    <t>ICIS 2024 Proceedings, Practitioner-Oriented Research track (AIS eLibrary)</t>
  </si>
  <si>
    <t>S11-F256</t>
  </si>
  <si>
    <t>arXiv preprint 2406.17651 (v1, 25 June 2024), titled "Leveraging Large Language Models for Software Model Completion: Results from Industrial and Public Datasets"; Semantic Scholar listing</t>
  </si>
  <si>
    <t>As S11-F90</t>
  </si>
  <si>
    <t>S11-F257</t>
  </si>
  <si>
    <t>arXiv preprint 2310.13648 (v1, 20 October 2023), titled "Using ChatGPT throughout the Software Development Life Cycle by Novice Developers"; Semantic Scholar listing</t>
  </si>
  <si>
    <t>As S11-F49</t>
  </si>
  <si>
    <t>S11-F258</t>
  </si>
  <si>
    <t>arXiv preprint 2304.01852 (v1, 4 April 2023), titled "Summary of ChatGPT/GPT-4 Research and Perspective Towards the Future of Large Language Models"; Semantic Scholar listing</t>
  </si>
  <si>
    <t>As S11-F01</t>
  </si>
  <si>
    <t>S11-F259</t>
  </si>
  <si>
    <t>Evaluating ChatGPT for Software Testing</t>
  </si>
  <si>
    <t>Not established (title from the Semantic Scholar listing, which gives no venue or year)</t>
  </si>
  <si>
    <t>S11-F260</t>
  </si>
  <si>
    <t>Large language model para geração de prontuários eletrônicos sintéticos</t>
  </si>
  <si>
    <t>Journal of Health Informatics (SBIS), article 1275 (jhi.sbis.org.br; link as sent, the same as for S11-F270); listed again under S11</t>
  </si>
  <si>
    <t>As S11-F270</t>
  </si>
  <si>
    <t>S11-F261</t>
  </si>
  <si>
    <t>Google Books entry as sent, titled 'Check for Using Code from ChatGPT: Finding Patterns in the Developers' Interaction with ChatGPT' (link to p. 137 of the volume); second listing under S11</t>
  </si>
  <si>
    <t>As S11-F171</t>
  </si>
  <si>
    <t>S11-F262</t>
  </si>
  <si>
    <t>Not stated (sent as a thesis, without title or link)</t>
  </si>
  <si>
    <t>Thesis (details as sent: no title, author, institution or year)</t>
  </si>
  <si>
    <t>S11-F263</t>
  </si>
  <si>
    <t>Muller &amp; Weisz</t>
  </si>
  <si>
    <t>Analogies-based Design using a Generative AI Application: A Play in Three Acts</t>
  </si>
  <si>
    <t>Workshop paper, 'Towards a Design (Research) Framework with Generative AI', workshop at ACM DIS 2023 (Pittsburgh, 11 July 2023); PDF on the workshop site (TU Delft); no proceedings or DOI found</t>
  </si>
  <si>
    <t>S11-F264</t>
  </si>
  <si>
    <t>Evaluating LLMs for Software Testing</t>
  </si>
  <si>
    <t>S11-F265</t>
  </si>
  <si>
    <t>Entwicklung und Validierung eines prototypischen IDE-Plugins zur LLM-gestützten Erstellung einer Softwarearchitektur</t>
  </si>
  <si>
    <t>Thesis, HAW Hamburg (REPOSIT, handle 20.500.12738/18367; link as sent)</t>
  </si>
  <si>
    <t>S11-F267</t>
  </si>
  <si>
    <t>Google Books entry as sent (link to p. 201 of the volume); third listing under S11</t>
  </si>
  <si>
    <t>S11-F268</t>
  </si>
  <si>
    <t>Kio, Favour</t>
  </si>
  <si>
    <t>Stepping Up the Prompt Game: Requirements Engineering as a Catalyst for Effective Code Generation</t>
  </si>
  <si>
    <t>Presentation slides (PDF on cs.uwaterloo.ca, D. Berry's ATRE course pages; link as sent)</t>
  </si>
  <si>
    <t>S11-F269</t>
  </si>
  <si>
    <t>Validation of Software Tools According to ISO 26262 Method 1c Using Continuous Practices: Applied to the Software Product TEST-GUIDE</t>
  </si>
  <si>
    <t>Thesis (PDF in an OPUS 4 repository at opus4.kobv.de, HAW collection; link as sent)</t>
  </si>
  <si>
    <t>S11-F270</t>
  </si>
  <si>
    <t>Journal of Health Informatics (SBIS), article 1275 (jhi.sbis.org.br; link as sent)</t>
  </si>
  <si>
    <t>S11-F271</t>
  </si>
  <si>
    <t>Cadernos UniFOA, article 6489 (revistas.unifoa.edu.br; link as sent)</t>
  </si>
  <si>
    <t>S11-F272</t>
  </si>
  <si>
    <t>Decrop</t>
  </si>
  <si>
    <t>Not stated (file sent: master thesis of Alix Decrop, Université de Namur)</t>
  </si>
  <si>
    <t>Master's thesis, Université de Namur (PDF in the UNamur research portal; the Google Scholar title reads only 'THESIS/THÈSE'; link as sent)</t>
  </si>
  <si>
    <t>S11-F273</t>
  </si>
  <si>
    <t>CIbSE 2026, SBC SOL article 42459 (link as sent)</t>
  </si>
  <si>
    <t>S11-F275</t>
  </si>
  <si>
    <t>Voetter</t>
  </si>
  <si>
    <t>Master Computer Science (title as given by Google Scholar; the file is Robin Voetter's MSc thesis, linked from futhark-lang.org)</t>
  </si>
  <si>
    <t>Master's thesis in computer science (PDF on futhark-lang.org, student projects; link as sent)</t>
  </si>
  <si>
    <t>S11-F276</t>
  </si>
  <si>
    <t>Häring, L.</t>
  </si>
  <si>
    <t>Künstliche Intelligenz im Innovationsprozess</t>
  </si>
  <si>
    <t>Document in the ZHAW digital collection (digitalcollection.zhaw.ch; Google Scholar entry as sent)</t>
  </si>
  <si>
    <t>S11-F277</t>
  </si>
  <si>
    <t>Costa, Murilo</t>
  </si>
  <si>
    <t>Geração de Código DSL para Diagramas C4 Model via LLMs</t>
  </si>
  <si>
    <t>Undergraduate final project (TCC), Bacharelado em Engenharia de Software, PUC Minas, dated 23 November 2025 (PDF in the PUC Minas library; Google Scholar entry as sent)</t>
  </si>
  <si>
    <t>S11-F278</t>
  </si>
  <si>
    <t>Wilhelm, Bennet</t>
  </si>
  <si>
    <t>AI-assisted Software Engineering: Potentialanalyse, Nutzungskonzept und Best Practices</t>
  </si>
  <si>
    <t>Master's thesis (Masterarbeit), file dated November 2023 on accso.de (Google Scholar entry as sent)</t>
  </si>
  <si>
    <t>S11-F279</t>
  </si>
  <si>
    <t>Thu, N.</t>
  </si>
  <si>
    <t>Robot hỗ trợ và giáo dục Việt Nam</t>
  </si>
  <si>
    <t>ResearchGate PDF (Google Scholar entry as sent)</t>
  </si>
  <si>
    <t>S11-F280</t>
  </si>
  <si>
    <t>The Effects of Generative AI Tooling on Software Development Productivity</t>
  </si>
  <si>
    <t>Not established (title as sent; link disabled)</t>
  </si>
  <si>
    <t>S12-F01</t>
  </si>
  <si>
    <t>arXiv 2505.16697 (v1, 22 May 2025; the PDF sent)</t>
  </si>
  <si>
    <t>S12-F02</t>
  </si>
  <si>
    <t>Jiang, Lutellier &amp; Tan</t>
  </si>
  <si>
    <t>CURE: Code-Aware Neural Machine Translation for Automatic Program Repair</t>
  </si>
  <si>
    <t>ICSE 2021 (IEEE/ACM 43rd International Conference on Software Engineering), pp. 1161-1173; DOI 10.1109/ICSE43902.2021.00107</t>
  </si>
  <si>
    <t>S12-F03</t>
  </si>
  <si>
    <t>Pauzi &amp; Capiluppi</t>
  </si>
  <si>
    <t>Applications of Natural Language Processing in Software Traceability: A Systematic Mapping Study</t>
  </si>
  <si>
    <t>Journal of Systems and Software 198, article 111616 (received 20 July 2022, accepted 11 January 2023); DOI 10.1016/j.jss.2023.111616</t>
  </si>
  <si>
    <t>S12-F04</t>
  </si>
  <si>
    <t>Fatima, Ghaleb &amp; Briand</t>
  </si>
  <si>
    <t>Flakify: A Black-Box, Language Model-Based Predictor for Flaky Tests</t>
  </si>
  <si>
    <t>IEEE Transactions on Software Engineering 49(4), pp. 1912-1927 (received 23 December 2021)</t>
  </si>
  <si>
    <t>S12-F05</t>
  </si>
  <si>
    <t>ICSA 2025 (IEEE); the PDF sent</t>
  </si>
  <si>
    <t>S4, S7, S8, S9</t>
  </si>
  <si>
    <t>S12-F06</t>
  </si>
  <si>
    <t>Prenner &amp; Robbes</t>
  </si>
  <si>
    <t>Making the Most of Small Software Engineering Datasets With Modern Machine Learning</t>
  </si>
  <si>
    <t>IEEE Transactions on Software Engineering 48(12), pp. 5050-5067 (received 21 June 2021, accepted 4 December 2021); DOI 10.1109/TSE.2021.3135465</t>
  </si>
  <si>
    <t>S12-F07</t>
  </si>
  <si>
    <t>Márquez, Astudillo &amp; Kazman</t>
  </si>
  <si>
    <t>Architectural Tactics in Software Architecture: A Systematic Mapping Study</t>
  </si>
  <si>
    <t>Journal of Systems and Software 197, article 111558 (received 16 September 2021); DOI 10.1016/j.jss.2022.111558</t>
  </si>
  <si>
    <t>S12-F08</t>
  </si>
  <si>
    <t>Imran</t>
  </si>
  <si>
    <t>Emotion Classification in Software Engineering Texts: A Comparative Analysis of Pre-trained Transformers Language Models</t>
  </si>
  <si>
    <t>NLBSE '24 (ACM/IEEE International Workshop on Natural Language-based Software Engineering, Lisbon), pp. 73-80; DOI 10.1145/3643787.3648034</t>
  </si>
  <si>
    <t>S12-F09</t>
  </si>
  <si>
    <t>Mirhosseini, Shojaei &amp; Sabri</t>
  </si>
  <si>
    <t>A Systematic Review of Methods for Interpreting Building Code Regulations in Automated Compliance Systems</t>
  </si>
  <si>
    <t>Building Research &amp; Information (Taylor &amp; Francis; received 17 December 2025, accepted 20 February 2026); DOI 10.1080/09613218.2026.2637965</t>
  </si>
  <si>
    <t>S12-F10</t>
  </si>
  <si>
    <t>Bertolotti &amp; Cazzola</t>
  </si>
  <si>
    <t>Fold2Vec: Towards a Statement-Based Representation of Code for Code Comprehension</t>
  </si>
  <si>
    <t>ACM Transactions on Software Engineering and Methodology 32(1), article 6, 31 pp.; DOI 10.1145/3514232</t>
  </si>
  <si>
    <t>S12-F11</t>
  </si>
  <si>
    <t>Lefever, Xu, Cai, Kazman &amp; Pisch</t>
  </si>
  <si>
    <t>ConcernBERT: Learning Responsibilities Using Class Membership</t>
  </si>
  <si>
    <t>IEEE Transactions on Software Engineering, accepted (author's version; DOI 10.1109/TSE.2026.3707727)</t>
  </si>
  <si>
    <t>S12-F12</t>
  </si>
  <si>
    <t>Hyun &amp; Hurtado</t>
  </si>
  <si>
    <t>Traceability of Architectural Design Decisions and Software Artifacts: A Systematic Mapping Study</t>
  </si>
  <si>
    <t>Foundations of Computing and Decision Sciences 48(4), pp. 401-423 (received 24 February 2022, accepted 6 October 2023); DOI 10.2478/fcds-2023-0018</t>
  </si>
  <si>
    <t>S12-F13</t>
  </si>
  <si>
    <t>Using BERT for the Detection of Architectural Tactics in Code</t>
  </si>
  <si>
    <t>Technical report, Karlsruhe Reports in Informatics 2020,2 (Karlsruhe Institute of Technology)</t>
  </si>
  <si>
    <t>S12-F14</t>
  </si>
  <si>
    <t>Cao, Zhang, Li, Li, Yang, Zhong, Zhou &amp; Xie</t>
  </si>
  <si>
    <t>Enhancing the Accuracy and Comprehensibility in Architectural Tactics Detection via Small Model-Augmented Prompt Engineering</t>
  </si>
  <si>
    <t>arXiv preprint 2503.03609 (v1, 5 March 2025, read; marked 'Preprint submitted to Elsevier'); also on SSRN; no published version found</t>
  </si>
  <si>
    <t>S12-F15</t>
  </si>
  <si>
    <t>Detection, Categorization and Repair of Flaky Tests Using Large Language Models</t>
  </si>
  <si>
    <t>Thesis (details as sent: title only; author, institution and year not given)</t>
  </si>
  <si>
    <t>S12-F16</t>
  </si>
  <si>
    <t>Pauzi, Capiluppi &amp; Sas</t>
  </si>
  <si>
    <t>Understanding and Tracing Semantics of Concepts to Application Domains Emerging from Source Code, Documentation, and Tests</t>
  </si>
  <si>
    <t>Authorea preprint (posted 2 September 2024; DOI 10.22541/au.172527329.98954722/v1), marked as not peer reviewed; no published version found</t>
  </si>
  <si>
    <t>S12-F17</t>
  </si>
  <si>
    <t>Arteaga, Márquez, Muñoz &amp; Pacheco</t>
  </si>
  <si>
    <t>Exploring Security Controls in Health Information Systems Using CodeBERT</t>
  </si>
  <si>
    <t>SCCC 2025 (44th International Conference of the Chilean Computer Science Society, IEEE); DOI 10.1109/SCCC67219.2025.11420648</t>
  </si>
  <si>
    <t>S12-F18</t>
  </si>
  <si>
    <t>Recovering Trace Links in Software Architecture Documentation</t>
  </si>
  <si>
    <t>Documentation (as sent: title only; author, institution and year not given)</t>
  </si>
  <si>
    <t>S12-F19</t>
  </si>
  <si>
    <t>Pauzi, Sas &amp; Capiluppi</t>
  </si>
  <si>
    <t>Embedding-Based Semantic Tracing: Mapping Concepts to Domains in Software Artifacts</t>
  </si>
  <si>
    <t>Authorea preprint (posted 21 November 2025; DOI 10.22541/au.176374712.28513607/v1), marked as not peer reviewed; no published version found</t>
  </si>
  <si>
    <t>S12-F20</t>
  </si>
  <si>
    <t>Towards Achieving Effective Traceability Management Between and Within Software Artifacts</t>
  </si>
  <si>
    <t>S12-F21</t>
  </si>
  <si>
    <t>Concern-based Management of Design Debt</t>
  </si>
  <si>
    <t>S12-F22</t>
  </si>
  <si>
    <t>Sharifi &amp; Abdolahzadeh-Barforoosh</t>
  </si>
  <si>
    <t>Quality Attribute Traceability Based on Clone Microtactics</t>
  </si>
  <si>
    <t>Software Quality Journal 31, pp. 533-573 (Springer; accepted 4 October 2022); DOI 10.1007/s11219-022-09606-0</t>
  </si>
  <si>
    <t>S12-F23</t>
  </si>
  <si>
    <t>Semantic Traceability Across Software Artifacts: A Domain-Centric Approach Using Embedding-Based Mapping</t>
  </si>
  <si>
    <t>Authorea preprint (posted 12 May 2025; DOI 10.22541/au.174704970.03040102/v1; dated 22 September 2025 in the file), marked as not peer reviewed; no published version found</t>
  </si>
  <si>
    <t>S12-F24</t>
  </si>
  <si>
    <t>Documentation (as sent: title only); second listing under S12</t>
  </si>
  <si>
    <t>As S12-F18</t>
  </si>
  <si>
    <t>S12-F25</t>
  </si>
  <si>
    <t>Kaplan &amp; Keim</t>
  </si>
  <si>
    <t>Towards an Automated Classification Approach for Software Engineering Research</t>
  </si>
  <si>
    <t>EASE 2021 (Evaluation and Assessment in Software Engineering, Trondheim), pp. 347-352 (ACM); DOI 10.1145/3463274.3463358</t>
  </si>
  <si>
    <t>S12-F26</t>
  </si>
  <si>
    <t>Journal of Systems and Software 198, article 111616; DOI 10.1016/j.jss.2023.111616 (another copy of the PDF; second listing under S12)</t>
  </si>
  <si>
    <t>As S12-F03</t>
  </si>
  <si>
    <t>S12-F27</t>
  </si>
  <si>
    <t>Architectural Tactics Identification in Source Code Based on a Semantic Approach</t>
  </si>
  <si>
    <t>Video (as sent: a vlog; title only)</t>
  </si>
  <si>
    <t>S13-F01</t>
  </si>
  <si>
    <t>Wang, Zhou, Liang, Zhou, Wang, Zhao &amp; Wang</t>
  </si>
  <si>
    <t>Optimization of Urban Service Facility Allocation for the SDGs: Current Status, Innovations, and Prospects</t>
  </si>
  <si>
    <t>Sustainable Cities and Society 142, article 107291 (Elsevier; received 13 November 2025, accepted 7 March 2026, online 10 March 2026); DOI 10.1016/j.scs.2026.107291</t>
  </si>
  <si>
    <t>S13-F02</t>
  </si>
  <si>
    <t>Talebi</t>
  </si>
  <si>
    <t>Large Language Model-Based Automatic Formulation for Stochastic Optimization Models</t>
  </si>
  <si>
    <t>arXiv preprint 2508.17200 (v3, 14 January 2026, the version sent); no published version found</t>
  </si>
  <si>
    <t>S13-F03</t>
  </si>
  <si>
    <t>Brandas, Albu, Mariutac, Reychav, McHaney, Sharma &amp; Debons</t>
  </si>
  <si>
    <t>Thinking Slow, Deciding Better? LRM versus LLM Performance on Organisational Decision Tasks</t>
  </si>
  <si>
    <t>Procedia Computer Science 287, pp. 1104-1113 (ITQM 2026, 13th International Conference on Information Technology and Quantitative Management; Elsevier)</t>
  </si>
  <si>
    <t>S13-F04</t>
  </si>
  <si>
    <t>Kamel, Azerine, Golabi &amp; Idoumghar</t>
  </si>
  <si>
    <t>The Potential and Limits of LLMs as Evolutionary Operators for Electric Vehicle Charging Scheduling</t>
  </si>
  <si>
    <t>CoDIT 2026 (12th International Conference on Control, Decision and Information Technologies, Bari, 13-16 July 2026; IEEE); DOI 10.1109/CoDIT70676.2026.11631224</t>
  </si>
  <si>
    <t>S13-F05</t>
  </si>
  <si>
    <t>Wang, Kuang, Deng, Kong &amp; Cheng</t>
  </si>
  <si>
    <t>A Large Language Model-Embedded Evolutionary Framework for Wideband Pixelized Patch Antenna Design</t>
  </si>
  <si>
    <t>iWAT 2026 (IEEE International Workshop on Antenna Technology); DOI 10.1109/IWAT66946.2026.11501907</t>
  </si>
  <si>
    <t>S13-F06</t>
  </si>
  <si>
    <t>Sabitha</t>
  </si>
  <si>
    <t>An Adaptive Red-Blue Team Framework for Robust and Governance-Aligned Large Language Model Evaluation</t>
  </si>
  <si>
    <t>ICCNCT 2026 (International Conference on Computer Networks and Inventive Communication Technologies; IEEE); DOI 10.1109/ICCNCT68477.2026.11590417</t>
  </si>
  <si>
    <t>S13-F07</t>
  </si>
  <si>
    <t>Abbas &amp; Shahzadi</t>
  </si>
  <si>
    <t>Large Language Models for Software Architecture Design Support in Self-Adaptive Systems: Early Insights from an Exploratory Systematic Review</t>
  </si>
  <si>
    <t>WiPiEC Journal 12(2), 8 pp. (special issue on the DSD/SEAA 2026 Works in Progress session, Krakow; received 14 July 2026, accepted 17 July 2026, published 25 August 2026); DOI 10.64552/wipiec.v12i2.149</t>
  </si>
  <si>
    <t>Out of scope (own review)</t>
  </si>
  <si>
    <t>S15, S16, S21</t>
  </si>
  <si>
    <t>S13-F08</t>
  </si>
  <si>
    <t>Hussain, Usman, Jamil, Amjad, Imran, Ahmad, Mansab, Akbar &amp; Waqas</t>
  </si>
  <si>
    <t>LLM-Based Transformer Frameworks for Scalable and Trustworthy Intelligent Systems</t>
  </si>
  <si>
    <t>Spectrum of Engineering Sciences (thesesjournal.com), pp. 703-718 (volume and issue not given in the text; article history as printed: received 25 January 2025, accepted 7 March 2025, published 20 March 2025); DOI 10.5281/zenodo.18051082</t>
  </si>
  <si>
    <t>S13-F09</t>
  </si>
  <si>
    <t>Sayed &amp; Sayed</t>
  </si>
  <si>
    <t>Systems and Methods for Predictive Failure Intelligence and Autonomous Self-Healing of Distributed Computing Infrastructure Supporting Critical Supply Chains</t>
  </si>
  <si>
    <t>IOSR Journal of Computer Engineering (IOSR-JCE) 28(5), Ser. I, pp. 26-41 (submitted 28 August 2026, accepted 7 September 2026); DOI 10.9790/0661-2805012641</t>
  </si>
  <si>
    <t>S13-F10</t>
  </si>
  <si>
    <t>Kang, Yang, Kwak, Lee &amp; Kim</t>
  </si>
  <si>
    <t>LLM 기반 다중 로봇 경로계획 시뮬레이터 개발 (LLM-based Multi-Robot Path Planning Simulator Development)</t>
  </si>
  <si>
    <t>Journal of the Korea Defense Robot Society 5(2), pp. 22-30 (April 2026; DBpia record NODE12737925, link as sent)</t>
  </si>
  <si>
    <t>S14-F01</t>
  </si>
  <si>
    <t>He, Sun, Shi, Jia, Bian, Yang &amp; Sun</t>
  </si>
  <si>
    <t>DeepDiscovery: A Location-Inference Framework for Task-Level Repository Understanding</t>
  </si>
  <si>
    <t>arXiv preprint 2606.22906 (v2, 14 September 2026, the version sent; v1 titled 'From Fragments to Paths: Task-Level Context Recovery for Large Industrial Codebases'); no published version found</t>
  </si>
  <si>
    <t>S14-F02</t>
  </si>
  <si>
    <t>Sreeji &amp; Vijayarani</t>
  </si>
  <si>
    <t>Architecture Mismatch-based Refactoring Recommendations: A Literature Review</t>
  </si>
  <si>
    <t>International Journal of Computer Information Systems and Industrial Management Applications (IJCISIM) 18(10s), pp. 1099-1111; DOI 10.70917/ijcisim-2026-3701</t>
  </si>
  <si>
    <t>S15-F01</t>
  </si>
  <si>
    <t>Njei, Al-Ajlouni, Kanmounye, Boateng, Nguefang, Njei, Hamouri &amp; Al-Ajlouni</t>
  </si>
  <si>
    <t>Artificial Intelligence Agents in Healthcare Research: A Scoping Review</t>
  </si>
  <si>
    <t>PLOS One 21(2), e0342182 (received 12 November 2025, accepted 19 January 2026, published 10 February 2026); DOI 10.1371/journal.pone.0342182</t>
  </si>
  <si>
    <t>S15-F02</t>
  </si>
  <si>
    <t>Omar, Simsekler, Salah &amp; Omar</t>
  </si>
  <si>
    <t>Bridging the Detection-to-Action Gap with CLARITY: A Scoping Review and Safety Architecture for Medication Safety Clinical Decision Support Systems</t>
  </si>
  <si>
    <t>Safety Science 205, article 107458 (volume dated 2027; received 4 June 2026, revised 20 August 2026, accepted 9 September 2026, online 16 September 2026)</t>
  </si>
  <si>
    <t>S15-F03</t>
  </si>
  <si>
    <t>Hu, Qian, Yu et al. (26 authors)</t>
  </si>
  <si>
    <t>The Landscape of Medical Agents: A Survey</t>
  </si>
  <si>
    <t>TechRxiv preprint (posted 15 December 2025, marked as not peer reviewed); DOI 10.36227/techrxiv.176581395.56964766/v1; no published version found</t>
  </si>
  <si>
    <t>S15-F04</t>
  </si>
  <si>
    <t>Zhang, Zhu, Tong, Hua, Wang, Zhang &amp; Zhong</t>
  </si>
  <si>
    <t>KFS-RAG: Mitigating Database Leakage in RAG Systems with Keyword-Grounded Fact Substitution</t>
  </si>
  <si>
    <t>arXiv preprint 2608.21656 (v1, 21 August 2026, the version sent); no published version found</t>
  </si>
  <si>
    <t>S15-F05</t>
  </si>
  <si>
    <t>Kara &amp; Karcioglu</t>
  </si>
  <si>
    <t>LLMs, RAG, and Agentic Workflow in Clinical Decision Support Systems: Bibliometric and Systematic Analysis</t>
  </si>
  <si>
    <t>Neural Computing and Applications 38, article 509 (received 8 December 2025, accepted 11 May 2026, online 16 June 2026); DOI 10.1007/s00521-026-12279-6</t>
  </si>
  <si>
    <t>S15-F06</t>
  </si>
  <si>
    <t>Alotaibi</t>
  </si>
  <si>
    <t>Agentic AI in Healthcare: Current Applications, Challenges, and Future Directions</t>
  </si>
  <si>
    <t>IEEE Access 14, pp. 131632-131654 (received 11 July 2026, accepted 17 August 2026, published 20 August 2026); DOI 10.1109/ACCESS.2026.3725858</t>
  </si>
  <si>
    <t>S15-F07</t>
  </si>
  <si>
    <t>Valdez-Cantú, Cantoral-Ceballos &amp; Alvarado-Uribe</t>
  </si>
  <si>
    <t>The Governance Gap in Contemporary LLM-Based Agentic Systems: A Structural Diagnostic Review</t>
  </si>
  <si>
    <t>AI (MDPI) 7(8), article 322 (received 1 June 2026, revised 10 July 2026, accepted 10 July 2026, published 20 August 2026); DOI 10.3390/ai7080322</t>
  </si>
  <si>
    <t>S15-F08</t>
  </si>
  <si>
    <t>Kaur &amp; Singh</t>
  </si>
  <si>
    <t>A Large Language Model Framework for Knowledge Graph Construction of Randomized Controlled Trials for Evidence Synthesis and Querying</t>
  </si>
  <si>
    <t>IISE Transactions on Healthcare Systems Engineering 16(2), pp. 131-147 (Taylor &amp; Francis; published online 11 February 2026); DOI 10.1080/24725579.2026.2619123</t>
  </si>
  <si>
    <t>S15-F09</t>
  </si>
  <si>
    <t>Ou, Chen &amp; Wang</t>
  </si>
  <si>
    <t>MedFusion-Agent: A Multi-Agent Framework for Conflict-Aware Clinical Pharmacotherapy Planning in Multimorbidity</t>
  </si>
  <si>
    <t>IEEE Access 14, pp. 93913-93934 (received 13 May 2026, accepted 8 June 2026, published 17 June 2026); DOI 10.1109/ACCESS.2026.3704838</t>
  </si>
  <si>
    <t>S15-F10</t>
  </si>
  <si>
    <t>Xenochristou, Joshi, Vatanparvar et al. (13 authors)</t>
  </si>
  <si>
    <t>IMCBench: A Benchmark for Multimodal LLMs in Image-grounded Medical Conversations</t>
  </si>
  <si>
    <t>arXiv preprint 2606.28556 (v1, 26 June 2026, the version sent); no published version found</t>
  </si>
  <si>
    <t>S15-F11</t>
  </si>
  <si>
    <t>Lim &amp; Park</t>
  </si>
  <si>
    <t>Agentic RAG for Legal Question Answering in Civil Law: Evidence From the Korean Bar Examination</t>
  </si>
  <si>
    <t>IEEE Access 14, pp. 124441-124458 (received 9 July 2026, accepted 4 August 2026, published 11 August 2026); DOI 10.1109/ACCESS.2026.3722717</t>
  </si>
  <si>
    <t>S15-F12</t>
  </si>
  <si>
    <t>Gencer</t>
  </si>
  <si>
    <t>RAG-Augmented Explainable Early Warning System for Acute Kidney Injury in the ICU: A KDIGO-Aligned XGBoost Pipeline With SHAP-Driven Evidence Retrieval on MIMIC-IV</t>
  </si>
  <si>
    <t>IEEE Access 14, pp. 93893-93903 (received 23 March 2026, accepted 12 May 2026, published 18 May 2026); DOI 10.1109/ACCESS.2026.3694260</t>
  </si>
  <si>
    <t>S15-F13</t>
  </si>
  <si>
    <t>Dhulipala, Ombase, Wang &amp; Nguyen</t>
  </si>
  <si>
    <t>W-RAG: Source-Aware Retrieval for Enterprise Document Generation from Heterogeneous Knowledge Bases</t>
  </si>
  <si>
    <t>arXiv preprint 2608.22081 (v1, 22 August 2026, the version sent); no published version found</t>
  </si>
  <si>
    <t>S15-F14</t>
  </si>
  <si>
    <t>Lu, Jiang, Wang &amp; Zhu</t>
  </si>
  <si>
    <t>Enhancing Medical Question Answering via a Multi-Agent Debate Framework</t>
  </si>
  <si>
    <t>CCWC 2026 (IEEE 16th Annual Computing and Communication Workshop and Conference); DOI 10.1109/CCWC67433.2026.11393824</t>
  </si>
  <si>
    <t>S15-F15</t>
  </si>
  <si>
    <t>Koppel, Kalvet &amp; Tammet</t>
  </si>
  <si>
    <t>Enhancing ChatGPT with a Decision Support Framework to Resolve Management Decision Scenarios</t>
  </si>
  <si>
    <t>BIS 2026 (Business Information Systems), LNBIP 584, pp. 114-127 (Springer; details from the Springer page found by web search; full text not obtained)</t>
  </si>
  <si>
    <t>S15-F16</t>
  </si>
  <si>
    <t>Sharma, Srivastava, Sahrawat &amp; Singhal</t>
  </si>
  <si>
    <t>An Evidence-Grounded Multi-Stage Retrieval-Augmented Framework for Multimodal Medical Question Answering</t>
  </si>
  <si>
    <t>AIEI 2026 (IEEE International Conference on AI Engineering and Innovations); DOI 10.1109/AIEI69164.2026.11497629</t>
  </si>
  <si>
    <t>S15-F17</t>
  </si>
  <si>
    <t>Shi, Shugg, Eadon, Su, Chen &amp; Song</t>
  </si>
  <si>
    <t>PHO-Agents: A Large Language Model-Powered Multi-Agent System for Predicting Health Outcomes</t>
  </si>
  <si>
    <t>medRxiv preprint (version posted 29 June 2026, the version sent; not certified by peer review); DOI 10.64898/2026.06.19.26355815; no journal version found</t>
  </si>
  <si>
    <t>S15-F18</t>
  </si>
  <si>
    <t>Priyadarshini &amp; Narayan</t>
  </si>
  <si>
    <t>IoT-Enabled Healthcare Informatics Real-Time Data Integration for Personalized Clinical Decision Support Systems</t>
  </si>
  <si>
    <t>ICESC 2026 (7th International Conference on Electronics and Sustainable Communication Systems; IEEE); DOI 10.1109/ICESC70182.2026.11686974</t>
  </si>
  <si>
    <t>S15-F19</t>
  </si>
  <si>
    <t>Shichkina &amp; Stepanov</t>
  </si>
  <si>
    <t>Generating Personalized MRI Reports from Key Phrases with Multiple LLM Agents and RAG Technique</t>
  </si>
  <si>
    <t>Journal of Advanced Computational Intelligence and Intelligent Informatics (JACIII) 30(4), from p. 1279 (received 23 November 2025, accepted 16 March 2026); DOI 10.20965/jaciii.2026.p1279</t>
  </si>
  <si>
    <t>S15-F20</t>
  </si>
  <si>
    <t>Mounika, Rani &amp; Srinivas</t>
  </si>
  <si>
    <t>Secure and Interpretable Clinical Decision Systems Through Hybrid Privacy-Preserving Fairness Control and Adversarial Robustness</t>
  </si>
  <si>
    <t>ICSSAS 2026 (4th International Conference on Self Sustainable Artificial Intelligence Systems; IEEE); DOI 10.1109/ICSSAS68835.2026.11559318</t>
  </si>
  <si>
    <t>S15-F21</t>
  </si>
  <si>
    <t>Roopavathi &amp; Priya</t>
  </si>
  <si>
    <t>A Multi-User Retrieval-Augmented Documentation Chatbot using LangChain, Ollama and ChromaDB</t>
  </si>
  <si>
    <t>ICICV 2026 (7th International Conference on Intelligent Communication Technologies and Virtual Mobile Networks; IEEE); DOI 10.1109/ICICV68925.2026.11554835</t>
  </si>
  <si>
    <t>S15-F22</t>
  </si>
  <si>
    <t>Jeeballah, Al Zaabi, El Keraby &amp; Al Abdulsalam</t>
  </si>
  <si>
    <t>A Multi-Agent Open-Source LLM for Structured Cancer Registry Information Extraction from Pathology and Medical Reports</t>
  </si>
  <si>
    <t>BioNLP 2026 (25th Workshop on Biomedical Language Processing), pp. 531-551 (ACL proceedings)</t>
  </si>
  <si>
    <t>S15-F23</t>
  </si>
  <si>
    <t>Not accessible as sent (title as sent, truncated: 'Enhancing ChatGPT with a Decision Support Framework to Resolve Management Decision'); second listing under S15</t>
  </si>
  <si>
    <t>As S15-F15</t>
  </si>
  <si>
    <t>S15-F24</t>
  </si>
  <si>
    <t>WiPiEC Journal 12(2), 2026 (the PDF sent, byte-identical to S13-F07)</t>
  </si>
  <si>
    <t>As S13-F07</t>
  </si>
  <si>
    <t>S15-F25</t>
  </si>
  <si>
    <t>Chaithanya &amp; Sanaboina</t>
  </si>
  <si>
    <t>Calibrated Multi-Evidence Fusion Framework for Clinical Decision Support Systems</t>
  </si>
  <si>
    <t>International Journal of Innovative Research in Engineering (IJIRE) 7(3), pp. 59-68 (May-June 2026); DOI 10.59256/ijire.20260703007</t>
  </si>
  <si>
    <t>S15-F26</t>
  </si>
  <si>
    <t>Ontology-Grounded Detection of Inter-Agent Contradiction in Multi-Agent Clinical Hand-off Pipelines</t>
  </si>
  <si>
    <t>Not established (sent as not peer reviewed, title only)</t>
  </si>
  <si>
    <t>S15-F27</t>
  </si>
  <si>
    <t>Orzechowski, Zaniboni, Sobieranski, von Wangenheim &amp; Pinto</t>
  </si>
  <si>
    <t>Systematic Literature Review on Resource-Augmented Generation Techniques applied to Medical Data (rev.1)</t>
  </si>
  <si>
    <t>Technical report INCoD/LAPIX.01.2026.E.rev.1, Instituto Nacional para Convergência Digital, Universidade Federal de Santa Catarina (ISSN 2236-5281; version 2.0 rev. 1, April 2026)</t>
  </si>
  <si>
    <t>S15-F28</t>
  </si>
  <si>
    <t>Usean tekoälyagentin yhteistyö kliinisen päätöksenteon tukijärjestelmien apuna (Cooperation of multiple AI agents to support clinical decision support systems)</t>
  </si>
  <si>
    <t>Not established (title as sent, in Finnish)</t>
  </si>
  <si>
    <t>S16-F01</t>
  </si>
  <si>
    <t>Le, Kannan, Govindan &amp; Nguyen</t>
  </si>
  <si>
    <t>Integrated Large Language Models and Digital Twin-Based Decision Support in Closed-Loop Supply Chain Operations: Green Steel Transition Case Study</t>
  </si>
  <si>
    <t>International Journal of Production Research (Taylor &amp; Francis; received 3 November 2025, accepted 16 June 2026, published online 21 July 2026); DOI 10.1080/00207543.2026.2702057</t>
  </si>
  <si>
    <t>S16-F02</t>
  </si>
  <si>
    <t>Hasan, Ghanta, Sarkar &amp; Guin</t>
  </si>
  <si>
    <t>AgenticTwin: An Agentic LLM Framework Integrated with Digital Twin for Anomaly Detection</t>
  </si>
  <si>
    <t>arXiv preprint 2608.11679 (v1, 12 August 2026, the version sent); no published version found</t>
  </si>
  <si>
    <t>S16-F03</t>
  </si>
  <si>
    <t>Somma &amp; Bucaioni</t>
  </si>
  <si>
    <t>Toward Federated Cognitive Digital Twins over the Edge-to-Cloud Continuum</t>
  </si>
  <si>
    <t>arXiv preprint 2607.21357 (v1, 23 July 2026, the version sent); no published version found</t>
  </si>
  <si>
    <t>S16-F04</t>
  </si>
  <si>
    <t>Ebert &amp; Weyrich</t>
  </si>
  <si>
    <t>Agentic AI in Software-Defined Systems</t>
  </si>
  <si>
    <t>Computer (IEEE Computer Society), August 2026, pp. 156-160, 'Industry Insights' column; DOI 10.1109/MC.2026.3703606</t>
  </si>
  <si>
    <t>S16-F05</t>
  </si>
  <si>
    <t>Markaj, Höfer &amp; Gehlhoff</t>
  </si>
  <si>
    <t>Towards an Intention Abstraction Layer for Autonomous Industrial Systems</t>
  </si>
  <si>
    <t>arXiv preprint 2607.14553 (v1, 16 July 2026, the version sent, with an IEEE copyright notice but no venue named); no published version found</t>
  </si>
  <si>
    <t>S16-F06</t>
  </si>
  <si>
    <t>Wang, Yu, Zhou, Li, Song &amp; Li</t>
  </si>
  <si>
    <t>Agent4CAPP: A LLMs-based Agent Framework for CAPP</t>
  </si>
  <si>
    <t>E-CARGO 2026 (2nd IEEE International Symposium on E-CARGO and Applications, Meizhou, 13-15 July 2026); DOI 10.1109/E-CARGO70110.2026.11670797</t>
  </si>
  <si>
    <t>S16-F07</t>
  </si>
  <si>
    <t>Wang</t>
  </si>
  <si>
    <t>A Digital Twin and Large Language Model based Intelligent Decision-Making Architecture for Enterprises</t>
  </si>
  <si>
    <t>ICDCECE 2026 (5th International Conference on Distributed Computing and Electrical Circuits and Electronics; IEEE); DOI 10.1109/ICDCECE68961.2026.11645891</t>
  </si>
  <si>
    <t>S16-F08</t>
  </si>
  <si>
    <t>WiPiEC Journal 12(2), 2026 (the PDF sent, byte-identical to S13-F07 and S15-F24)</t>
  </si>
  <si>
    <t>S20-F01</t>
  </si>
  <si>
    <t>Liu, Fuchß, Corallo, Hummel, Keim &amp; Hey</t>
  </si>
  <si>
    <t>Architecture in the Cradle: Early Warning of Architectural Decay with ArchGuard</t>
  </si>
  <si>
    <t>ICSA 2026 (23rd IEEE International Conference on Software Architecture), pp. 44-55; DOI 10.1109/ICSA66085.2026.00011; IEEE Xplore version read</t>
  </si>
  <si>
    <t>S20-F02</t>
  </si>
  <si>
    <t>Sebe, Ferret, Névéol, Esmailoghli, Leser &amp; Cohen-Boulakia</t>
  </si>
  <si>
    <t>Supporting Workflow Reproducibility by Linking Bioinformatics Tools Across Papers and Executable Code</t>
  </si>
  <si>
    <t>Bioinformatics 42(8), btag565 (Oxford University Press; published 30 July 2026); DOI 10.1093/bioinformatics/btag565</t>
  </si>
  <si>
    <t>S20-F03</t>
  </si>
  <si>
    <t>Franze, Fuchß, Wattenberg, Fuchs, Keim &amp; Hey</t>
  </si>
  <si>
    <t>Automated Generation of SysML Activity Diagrams from Industrial Requirements Using LLMs</t>
  </si>
  <si>
    <t>RE 2026 (IEEE 34th International Requirements Engineering Conference), pp. 328-338; DOI 10.1109/RE68928.2026.00034</t>
  </si>
  <si>
    <t>S20-F04</t>
  </si>
  <si>
    <t>Keim, Fuchß, Corallo, Hey, Winter &amp; Feichtinger</t>
  </si>
  <si>
    <t>The ARDoCo Tool Landscape: REST API, TraceView, and TraceViz for Architecture Traceability</t>
  </si>
  <si>
    <t>arXiv preprint 2606.28064 (v1, 26 June 2026, the version sent), formatted for ASE '26 (IEEE/ACM Automated Software Engineering, Munich) with a placeholder DOI</t>
  </si>
  <si>
    <t>S20-F05</t>
  </si>
  <si>
    <t>North, Bencomo &amp; Atapour-Abarghouei</t>
  </si>
  <si>
    <t>Preserving Model-to-Code Traceability During LLM-Based Code Generation</t>
  </si>
  <si>
    <t>MODELS 2026 (ACM/IEEE 29th International Conference on Model Driven Engineering Languages and Systems, Málaga, 4-9 October 2026), 7 pp.; DOI 10.1145/3822455.3838762</t>
  </si>
  <si>
    <t>S20-F06</t>
  </si>
  <si>
    <t>Milev &amp; Kanagala</t>
  </si>
  <si>
    <t>Sentinel: Autonomous Architectural Governance Through Commit Intelligence Across Multi-Repository Systems</t>
  </si>
  <si>
    <t>CAIS '26 (ACM Conference on AI and Agentic Systems, San Jose, 26-29 May 2026), four-page paper with a demonstration scenario, pp. 1332-1335; DOI 10.1145/3786335.3813195</t>
  </si>
  <si>
    <t>S20-F07</t>
  </si>
  <si>
    <t>Continuous Software Traceability: LLM-Based Knowledge Graph Enrichment for Supporting Agile Software Evolution Activities</t>
  </si>
  <si>
    <t>Master's thesis, Utrecht University (studenttheses.uu.nl record 5dcce32f-ea08-4e55-b8cb-f10868cf676c; link as sent)</t>
  </si>
  <si>
    <t>S21-F01</t>
  </si>
  <si>
    <t>Fang, Peng, Zhang et al. (15 authors)</t>
  </si>
  <si>
    <t>A Comprehensive Survey of Self-Evolving AI Agents: A New Paradigm Bridging Foundation Models and Lifelong Agentic Systems</t>
  </si>
  <si>
    <t>arXiv preprint 2508.07407 (v2, 31 August 2025, the version sent); no published version found</t>
  </si>
  <si>
    <t>S21-F02</t>
  </si>
  <si>
    <t>Xu &amp; Sankar</t>
  </si>
  <si>
    <t>Large Language Model Agents for Biomedicine: A Comprehensive Review of Methods, Evaluations, Challenges, and Future Directions</t>
  </si>
  <si>
    <t>Information (MDPI) 16(10), article 894 (received 17 September 2025, accepted 12 October 2025, published 14 October 2025); DOI 10.3390/info16100894</t>
  </si>
  <si>
    <t>S21-F03</t>
  </si>
  <si>
    <t>Gao, Geng, Hua et al. (27 authors)</t>
  </si>
  <si>
    <t>A Survey of Self-Evolving Agents: What, When, How, and Where to Evolve on the Path to Artificial Super Intelligence</t>
  </si>
  <si>
    <t>Transactions on Machine Learning Research (TMLR), 01/2026, reviewed on OpenReview; arXiv 2507.21046 (v4, 16 January 2026, the version sent)</t>
  </si>
  <si>
    <t>S21-F04</t>
  </si>
  <si>
    <t>TechRxiv preprint (the PDF sent has the same text as S15-F03, in a different file)</t>
  </si>
  <si>
    <t>As S15-F03</t>
  </si>
  <si>
    <t>S21-F05</t>
  </si>
  <si>
    <t>Peng, Li, Huang et al. (13 authors)</t>
  </si>
  <si>
    <t>Aligning Clinical Needs and AI Capabilities: A Survey on LLMs for Medical Reasoning</t>
  </si>
  <si>
    <t>Machine Intelligence Research 23(5), pp. 1084-1121 (October 2026; received 22 November 2025, accepted 18 March 2026, online 31 July 2026); DOI 10.1007/s11633-026-1659-4</t>
  </si>
  <si>
    <t>S21-F06</t>
  </si>
  <si>
    <t>Not stated (anonymous submission)</t>
  </si>
  <si>
    <t>A Survey of LLM-based Multi-Agent Systems in Medicine</t>
  </si>
  <si>
    <t>ICLR 2026 submission, version under double-blind review (the version sent; OpenReview forum MvlBFwAwK8); also posted on TechRxiv and Preprints.org; no published version found</t>
  </si>
  <si>
    <t>S21-F07</t>
  </si>
  <si>
    <t>Gao, Zhang, Luo et al. (12 authors)</t>
  </si>
  <si>
    <t>CubeBench: Diagnosing Interactive, Long-Horizon Spatial Reasoning under Partial Observations</t>
  </si>
  <si>
    <t>arXiv preprint 2512.23328 (v3, 1 January 2026, the version sent)</t>
  </si>
  <si>
    <t>As S21-F10</t>
  </si>
  <si>
    <t>S21-F08</t>
  </si>
  <si>
    <t>Tippani, Durusoju, Mergoju &amp; Reddy</t>
  </si>
  <si>
    <t>MedicAI: AI-Powered System for Enhanced Medical Information Access</t>
  </si>
  <si>
    <t>ICISC 2025 (9th International Conference on Inventive Systems and Control; IEEE); DOI 10.1109/ICISC65841.2025.11188019</t>
  </si>
  <si>
    <t>S21-F09</t>
  </si>
  <si>
    <t>Vatsal, Dubey &amp; Bajaj</t>
  </si>
  <si>
    <t>Beyond Static Agents: A Six-Dimensional Taxonomy and Survey of Self-Evolving LLM Agents for Healthcare</t>
  </si>
  <si>
    <t>IEEE Access 14, pp. 121451-121478 (received 25 May 2026, accepted 25 July 2026, published 4 August 2026); DOI 10.1109/ACCESS.2026.3720396</t>
  </si>
  <si>
    <t>S21-F10</t>
  </si>
  <si>
    <t>ICLR 2026 (International Conference on Learning Representations), conference paper (the version sent)</t>
  </si>
  <si>
    <t>S21-F11</t>
  </si>
  <si>
    <t>Lin, Xiao, Pu et al. (11 authors)</t>
  </si>
  <si>
    <t>A Survey of LLM Reasoning in Healthcare and Medicine: from Individual Modeling to Collaborative Agents</t>
  </si>
  <si>
    <t>TechRxiv preprint (posted 16 February 2026, marked as not peer reviewed); DOI 10.36227/techrxiv.177127364.46765828/v1; no published version found</t>
  </si>
  <si>
    <t>S21-F12</t>
  </si>
  <si>
    <t>Chen, Liu, Jiang &amp; Cai</t>
  </si>
  <si>
    <t>The Landscape of Computational Pathology Agents: From Static Analysis to Autonomous Diagnostic Workflows</t>
  </si>
  <si>
    <t>TechRxiv preprint (posted 6 January 2026, marked as not peer reviewed); DOI 10.36227/techrxiv.176773877.76155111/v1; no published version found</t>
  </si>
  <si>
    <t>S21-F13</t>
  </si>
  <si>
    <t>Sheikh &amp; Househ</t>
  </si>
  <si>
    <t>Longitudinal Treatment-Aware Multimodal AI for Dermatology: A Scoping Review</t>
  </si>
  <si>
    <t>MIE 2026 proceedings, Studies in Health Technology and Informatics (IOS Press), from p. 763; DOI 10.3233/SHTI260949</t>
  </si>
  <si>
    <t>S21-F14</t>
  </si>
  <si>
    <t>The Evolving Blueprint: A Survey on Automated Optimization of LLM-Based Multi-Agent Systems</t>
  </si>
  <si>
    <t>Preprints.org manuscript 202605.2011 (link as sent)</t>
  </si>
  <si>
    <t>S21-F15</t>
  </si>
  <si>
    <t>Wong, Heesen, Janetzky, Bendszus &amp; Feuerriegel</t>
  </si>
  <si>
    <t>MedClarify: An Information-Seeking AI Agent for Medical Diagnosis with Case-Specific Follow-up Questions</t>
  </si>
  <si>
    <t>Research Square preprint (posted 24 March 2026); DOI 10.21203/rs.3.rs-8917237/v1; also arXiv 2602.17308; no published version found</t>
  </si>
  <si>
    <t>S21-F16</t>
  </si>
  <si>
    <t>S21-F17</t>
  </si>
  <si>
    <t>Yang, Cheng &amp; Li</t>
  </si>
  <si>
    <t>DenseNetWithMFA: Enhancing Skin Disease Diagnosis with Multi-Feature Fusion</t>
  </si>
  <si>
    <t>ACAIB 2025 (5th International Conference on Automation Control, Algorithm and Intelligent Bionics, Nanjing, 6-8 June 2025; ACM), 11 pp.; DOI 10.1145/3760269.3760352</t>
  </si>
  <si>
    <t>S21-F18</t>
  </si>
  <si>
    <t>TechRxiv preprint (the PDF sent has the same text as S21-F12, in a different file); second listing under S21</t>
  </si>
  <si>
    <t>As S21-F12</t>
  </si>
  <si>
    <t>S22-F01</t>
  </si>
  <si>
    <t>ICSA-C 2026 (IEEE), pp. 114-117; DOI 10.1109/ICSA-C68850.2026.00029 (the IEEE Xplore PDF sent)</t>
  </si>
  <si>
    <t>As S7-F35</t>
  </si>
  <si>
    <t>S23-F01</t>
  </si>
  <si>
    <t>Huang, Poskitt &amp; Shar</t>
  </si>
  <si>
    <t>From Incomplete Architecture to Quantified Risk: Multimodal LLM-Driven Security Assessment for Cyber-Physical Systems</t>
  </si>
  <si>
    <t>arXiv preprint 2604.05674 (v1, 7 April 2026, the version sent), ACM template marked 'Manuscript submitted to ACM'; no published version found</t>
  </si>
  <si>
    <t>S23-F02</t>
  </si>
  <si>
    <t>Jafari, Sharma, Naim, Gerking &amp; Reussner</t>
  </si>
  <si>
    <t>Towards Leveraging LLMs to Generate Abstract Penetration Test Cases from Software Architecture</t>
  </si>
  <si>
    <t>arXiv preprint 2603.23698 (v1, 24 March 2026, the version sent); no venue stated and no published version found</t>
  </si>
  <si>
    <t>S23-F03</t>
  </si>
  <si>
    <t>Jafari, Weber, Chebbi, Gerking &amp; Reussner</t>
  </si>
  <si>
    <t>Using Architectural Zones to Generate Information-Flow-Aware Abstract Penetration Test Cases</t>
  </si>
  <si>
    <t>SEAA 2026 (Euromicro Conference on Software Engineering and Advanced Applications), LNCS 16863, pp. 43-60 (Springer; volume dated 2027)</t>
  </si>
  <si>
    <t>Sr</t>
  </si>
  <si>
    <t>ID</t>
  </si>
  <si>
    <t>Found via</t>
  </si>
  <si>
    <t>Contribution type</t>
  </si>
  <si>
    <t>LLM / Gen AI used</t>
  </si>
  <si>
    <t>Architectural task addressed</t>
  </si>
  <si>
    <t>Evaluation type</t>
  </si>
  <si>
    <t>Family</t>
  </si>
  <si>
    <t>Coverage and independence</t>
  </si>
  <si>
    <t>FS01</t>
  </si>
  <si>
    <t>S1-F01, S1-F11, S4-F09, S4-F73, S8-F01, S8-F36; cites S1, S4, S8</t>
  </si>
  <si>
    <t>Software (MDPI), vol. 4, article 6; DOI 10.3390/software4010006</t>
  </si>
  <si>
    <t>Secondary study: systematic literature review following PRISMA, 43 studies published 2018-2024 on AI techniques in microservices design. Five research questions: techniques used, challenges, benefits, emerging trends, and the artefacts used as input.</t>
  </si>
  <si>
    <t>None run. The reviewed studies use machine learning (53.5%; clustering such as k-Means and word embeddings), NLP (32.6%), BERT-based models, deep and reinforcement learning and LSTM networks. Language models and generative AI appear as an emerging trend, supported by a few cited works (refs. [27], [38]-[41]).</t>
  </si>
  <si>
    <t>Microservice design: service identification from requirements in greenfield projects, decomposition of existing monoliths, architectural decision-making and decision documentation. Runtime autoscaling, fault tolerance and monitoring are also covered, which the authors include for completeness.</t>
  </si>
  <si>
    <t>Systematic literature review: IEEE Xplore, ACM Digital Library and Google Scholar; 2018-2024; 97 full texts read (20 more not accessible), 43 included; screening by two authors; no formal quality assessment of the included studies.</t>
  </si>
  <si>
    <t>SF1</t>
  </si>
  <si>
    <t>FS02</t>
  </si>
  <si>
    <t>S1-F03, S3-F01, S4-F03, S5-F02, S7-F01, S8-F03, S9-F01, S10-F02, S11-F11; cites S1, S3, S4, S5, S7, S8, S9, S10, S11</t>
  </si>
  <si>
    <t>The Journal of Systems and Software, vol. 231, article 112607 (online 17 Sep 2025); DOI 10.1016/j.jss.2025.112607</t>
  </si>
  <si>
    <t>Secondary study: multivocal literature review of 36 peer-reviewed and 10 grey sources (search February 2025) on generative AI in software architecture. Research questions on purposes, models and techniques (RQ1), life-cycle phases, architectural styles, quality tasks, validation methods and use cases (RQ2), and challenges (RQ3); themes extracted by open coding.</t>
  </si>
  <si>
    <t>None run. Reports model use across its sources: OpenAI GPT models 62% of the model uses counted in Table 12, Google models 9%, LLaMA 8%, with DeepSeek and Qwen appearing in 2024-2025; cloud-hosted models preferred over on-premises ones.</t>
  </si>
  <si>
    <t>As reported across its sources: architectural decision support (38%), reverse engineering and reconstruction (19%), architecture generation (19%), quality assessment (9%), comprehension, requirements, migration and traceability. Life-cycle transitions: requirements to architecture 40%, architecture to code 32%, code to architecture 13%, requirements to architecture to code 12%, architecture to architecture 3%.</t>
  </si>
  <si>
    <t>Multivocal literature review following Garousi et al.: four digital libraries and five search engines, 1053 unique records screened to 46; two authors per decision with a third for disagreements and Cohen’s kappa reported; snowballing; quality assessment (Dybå and Dingsøyr checklist for peer-reviewed sources, Garousi criteria for grey); replication package on Zenodo.</t>
  </si>
  <si>
    <t>SF2</t>
  </si>
  <si>
    <t>FS03</t>
  </si>
  <si>
    <t>S1-F06, S4-F41, S5-F10, S7-F17, S8-F21; cites S1, S4, S5, S7, S8</t>
  </si>
  <si>
    <t>ICSE ’26, pp. 1687-1699; DOI 10.1145/3744916.3773114</t>
  </si>
  <si>
    <t>Technique with quantitative evaluation. SemRef refines the output of existing architecture recovery tools by combining dependency analysis with a language model’s semantic judgement, in four stages: resizing modules (split and merge), file-level regrouping, hierarchy construction and iterative top-down refinement with module summaries.</t>
  </si>
  <si>
    <t>GPT-4o-mini (gpt-4o-mini-2024-07-18) by default, temperature 0, seed 1. Compared with GPT-4o (2024-08-06), Gemini-2.0-flash-001, Llama 3.3 (70B) and DeepSeek-V3-0324. All off the shelf; no fine-tuning.</t>
  </si>
  <si>
    <t>Architecture recovery, module view: correcting the file-to-module grouping recovered from source code and turning it into a named module hierarchy with a summary per module. The direction is from code to architecture.</t>
  </si>
  <si>
    <t>Quantitative evaluation on 9 open-source projects with published ground-truth architectures (25.7K to 11.7M lines), 10 recovery-tool implementations giving 90 inputs, five similarity metrics plus reduction in distance to perfect, ANOVA across tools and projects, an ablation of the five stages, token-cost analysis, a comparison of five models, and a case study on Bash.</t>
  </si>
  <si>
    <t>SF3</t>
  </si>
  <si>
    <t>FS04</t>
  </si>
  <si>
    <t>S1-F08, S7-F25, S9-F17; cites S1, S7, S9</t>
  </si>
  <si>
    <t>JAWs 2026, Journal Ahead Workshop at ICSE 2026 (13-14 April 2026); version read: arXiv:2609.20308v1</t>
  </si>
  <si>
    <t>Exploratory empirical study. Characterises, rather than judges, the microservice architectures language models produce when asked to decompose a modular monolith from its textual architecture documentation, adapting the M2MDF decomposition framework so that model inference replaces clustering. Framed as a baseline for a research agenda on architecture-to-architecture transformation.</t>
  </si>
  <si>
    <t>"GPT-based models from OpenAI" and "models from DeepSeek"; no model name, version, temperature or other setting is reported. Zero-shot and few-shot prompting. No fine-tuning.</t>
  </si>
  <si>
    <t>Architecture-to-architecture transformation: deriving a microservice architecture (service boundaries, responsibilities, communications) from the architecture documentation of an existing modular monolith, for early-stage modernisation.</t>
  </si>
  <si>
    <t>Two systems (MediaStore, TeaStore), two providers, two prompting strategies, one run per configuration. No ground truth; outputs in CSV are characterised by eight structural and textual metrics (service count, communications, density, isolated services, responsibility length, vocabulary, redundancy).</t>
  </si>
  <si>
    <t>SF4</t>
  </si>
  <si>
    <t>FS05</t>
  </si>
  <si>
    <t>S1-F10, S4-F71, S4-F108, S10-F52, S10-F69; cites S1, S4, S8, S10</t>
  </si>
  <si>
    <t>IDEA-ARCH 2026, Intelligent &amp; Data-driven Engineering for Software Architecture workshop at ECSA 2026 (Bolzano), full paper, presented 7 Sep 2026; published in ECSA 2026, LNCS 16991, pp. 208-215 (Springer, 2027), DOI 10.1007/978-3-032-39143-8_19; arXiv:2609.03721v1 read and checked against the published chapter (S4-F108)</t>
  </si>
  <si>
    <t>Exploratory empirical study (eight-page workshop paper). Tests whether language models can recover architectural design decisions from source code commits alone, comparing zero-shot and few-shot prompting across four models.</t>
  </si>
  <si>
    <t>Gemini 3 Pro (parameters not disclosed), DeepSeek R1 (685B), Kimi K2 Thinking (1T, 32B active), Qwen3 (32B), chosen from the Arena leaderboard. Zero-shot prompting, and few-shot prompting with examples retrieved by embedding similarity. No fine-tuning. Temperature, runs, embedding model and number of examples not reported.</t>
  </si>
  <si>
    <t>Architectural knowledge recovery: extracting the architectural design decision behind a single commit from its message and git diff, for architectural knowledge management.</t>
  </si>
  <si>
    <t>30 developer-written decisions from Apache Cassandra, Hadoop and Tajo (Maestro dataset, linked to commits by Jira ID); four models by two prompting strategies. Automated comparison with the documented decision (ROUGE-L, BLEU, METEOR, BERTScore) and single-author inspection of the 60 Gemini outputs on a rubric fixed in advance (abstraction level, verbosity, rationale).</t>
  </si>
  <si>
    <t>F3</t>
  </si>
  <si>
    <t>FS06</t>
  </si>
  <si>
    <t>S1-F13, S4-F83, S5-F24, S10-F58; cites S1, S4, S5, S10</t>
  </si>
  <si>
    <t>ISE 2025, International Workshop on Intelligent Software Engineering at ASE 2025 (Seoul, 16 Nov 2025); ASE 2025 Workshops proceedings (IEEE), pp. 276-283; DOI 10.1109/ASEW67777.2025.00057</t>
  </si>
  <si>
    <t>Empirical evaluation in three experiments of off-the-shelf models on architectural pattern recommendation: direct prompting (naive and improved prompts), decision-tree-guided recommendation through the authors’ CAPI method, and mapping patterns to implementation tools.</t>
  </si>
  <si>
    <t>Six models through the GWDG Chat AI service: ChatGPT-4o (closed; "ChatGPT-o4" in the text), DeepSeek-R1, Meta-Llama-3.1-8B-Instruct, Mistral-Large-Instruct, Codestral-22B, Qwen2.5-VL-72B-Instruct; temperature 0.5, top-p 0.5. Naive and improved prompts, decision-tree-guided prompting, JSON-structured output. No fine-tuning.</t>
  </si>
  <si>
    <t>Design decision support: choosing an architectural style (monolithic, client-server, microservices) and recommending architectural patterns for a described system, then mapping the patterns to implementation tools chosen from a supplied list (CNCF Landscape).</t>
  </si>
  <si>
    <t>Four scenarios from the authors’ CAPI user study. Exp. 1: 480 prompts (6 models, 2 prompts, 4 scenarios, 10 runs) rated on three-point ordinal scales (reasonable, variance, patterns). Exp. 2: one CAPI traversal per model and scenario, compared with 10 human participants by number of patterns and a penalty-based distance to the authors’ must/could/must-not lists. Exp. 3: JSON compliance and reasonableness of the tools.</t>
  </si>
  <si>
    <t>SF5</t>
  </si>
  <si>
    <t>FS07</t>
  </si>
  <si>
    <t>S1-F14, S7-F45, S8-F48; cites S1, S7, S8</t>
  </si>
  <si>
    <t>E-TEMS 2025, IEEE European Technology and Engineering Management Summit (Bruges, 26-28 May 2025), pp. 92-97; DOI 10.1109/E-TEMS64751.2025.11239087</t>
  </si>
  <si>
    <t>Method proposal with an exploratory test: a four-step prompting method that makes a language model act as a tutor for novice architects, tried out with simulated student questions on one dataset.</t>
  </si>
  <si>
    <t>ChatGPT-4o (cloud) and Llama 3.1 Tulu 3 70B (AllenAI community model, run locally). Role prompting in four steps, with a relevance check and a self-check against the role instructions. No model fine-tuning ("fine-tune the prompts" in the paper means revising the prompts).</t>
  </si>
  <si>
    <t>Generating several reference architectures with decision records from requirements, and evaluating students’ architectures (component diagrams, a domain model) and requirement summaries against them, as a tutor for novice architects.</t>
  </si>
  <si>
    <t>Exploratory test on the MobSTr dataset (requirements, assumptions, hazards and a component diagram of an automotive driver assistance system): the authors send example student questions to both models and report their behaviour qualitatively. No students, metrics, number of questions or runs reported.</t>
  </si>
  <si>
    <t>SF6</t>
  </si>
  <si>
    <t>FS08</t>
  </si>
  <si>
    <t>S3-F03, S4-F51, S5-F08, S7-F12, S7-F15, S8-F26, S9-F15, S10-F36; cites S1, S3, S4, S5, S7, S8, S9, S10</t>
  </si>
  <si>
    <t>IEEE Transactions on Software Engineering (early access, 2026); DOI 10.1109/TSE.2026.3706446; author's version read</t>
  </si>
  <si>
    <t>Method with empirical evaluation: a model follows Attribute-Driven Design (ADD) with an architect persona, an iteration plan and a single architecture document refined across iterations; evaluated on two case studies and against zero-shot design.</t>
  </si>
  <si>
    <t>Claude Sonnet 3.7 (first experiment, May 2025); Claude Opus 4.5 Thinking, GPT-5.2 High and Gemini 3 Pro (second experiment, January 2026), run in the Cursor and Antigravity IDEs with privacy mode enabled; a style-stability check with Grok Code, Gemini 3 Pro, Opus 4.5 and ChatGPT 5.1-Codex. No fine-tuning; model settings such as temperature are not reported.</t>
  </si>
  <si>
    <t>Architecture design from prioritised drivers: iteration planning, selection and instantiation of design concepts (patterns, tactics, frameworks), and documentation of the resulting architecture (views, interfaces, design decisions).</t>
  </si>
  <si>
    <t>Hotel Pricing System (book case with a proven, deployed solution): the authors compared the LLM design across eleven aspects. Warehouse Management System (unpublished): three models designed it, and Claude Opus 4.5's design was rated by four professional architects on seven drivers (1-5 scale). Completeness compared with zero-shot designs and the Kiro agentic IDE; style stability over eight rounds with four models.</t>
  </si>
  <si>
    <t>SF7</t>
  </si>
  <si>
    <t>FS09</t>
  </si>
  <si>
    <t>S3-F04, S3-F11, S4-F42, S4-F106, S5-F11, S5-F29, S8-F23, S8-F54, S9-F13, S9-F23; cites S3, S4, S5, S8, S9</t>
  </si>
  <si>
    <t>Journal of Systems and Software 240 (2026), art. 112966, special issue "AI for SA"; DOI 10.1016/j.jss.2026.112966; open access</t>
  </si>
  <si>
    <t>Approach with controlled experiment: a layer of LLM agents added to the FLRA reference architecture switches architectural patterns on and off at runtime; three coordination strategies compared with three baselines.</t>
  </si>
  <si>
    <t>Llama 3.2 (3B), DeepSeek-r1 (8B) and gpt-oss (20B), open models at temperature 1.0, zero-shot and few-shot; DeepSeek-r1 with few-shot prompting used for the coordination experiments. Retrieval over a system configuration file and a metrics report; no fine-tuning.</t>
  </si>
  <si>
    <t>Runtime architectural decision-making: after every training round of a federated-learning system, deciding which of three architectural patterns (Client Selector, Heterogeneous Data Handler, Message Compressor) to activate or deactivate, with a rationale, from the system configuration and the metric history.</t>
  </si>
  <si>
    <t>Emulated federation (Docker Compose; five clients with two hardware profiles, IID and non-IID data, one-shot and batched data inflow, stable and unstable network), image (CNN, FashionMNIST) and text (MLP, AG_NEWS) classification, 10 rounds, 10 repetitions; voting, role-based and debate coordination against Never, Random and rule-based Expert-Driven baselines; Mann-Whitney U and Vargha-Delaney A12.</t>
  </si>
  <si>
    <t>SF8</t>
  </si>
  <si>
    <t>FS10</t>
  </si>
  <si>
    <t>S3-F05; cites S3, S4</t>
  </si>
  <si>
    <t>AGENT 2026, International Workshop on Agentic Engineering (ICSE 2026), ACM; DOI 10.1145/3786167.3788416 as printed on the paper; arXiv version (2602.04445) read</t>
  </si>
  <si>
    <t>Approach (a multi-agent architecture for architecture knowledge management) with an initial instantiation for ADR generation, evaluated in a blind user study; short workshop paper.</t>
  </si>
  <si>
    <t>GPT-5 and Gemini 2.5 Pro (top of the LMArena leaderboard on 5 October 2025), each in the agentic workflow and in a single-prompt baseline; no fine-tuning; prompts and settings not given in the paper.</t>
  </si>
  <si>
    <t>Architecture knowledge recovery and documentation: summarising a code repository and generating Architecture Decision Records (title, context, decision, consequences) for its significant decisions. Diagram and specification generation and retrieval of existing knowledge are proposed, not implemented.</t>
  </si>
  <si>
    <t>Blind comparative user study: 13 participants (students and professionals, 0-6 years of industry experience) rated four anonymised ADR sets (single prompt and agentic, each with two models) for 29 repositories they knew (17 Python, 12 JavaScript; 1,000-350,000 lines), 1-5 on relevance, coherence, completeness, conciseness and overall quality, with written comments; averages reported.</t>
  </si>
  <si>
    <t>FS11</t>
  </si>
  <si>
    <t>S3-F06, S4-F72, S5-F20; cites S3, S4, S5, S14</t>
  </si>
  <si>
    <t>ICSA 2026 Companion (IEEE), pp. 534-541; DOI 10.1109/ICSA-C68850.2026.00097; Stage-1 registered report</t>
  </si>
  <si>
    <t>Study protocol (Stage-1 registered report, no results): a preregistered staged experiment and an industrial expert study, with a specified multi-agent recovery pipeline.</t>
  </si>
  <si>
    <t>LLM agents (Architecture Reasoner, Component Assembler, Architectural Validator) and LLM-based semantic similarity, plus an LLM-as-a-judge proxy; no model is named.</t>
  </si>
  <si>
    <t>Architecture documentation recovery from repositories: a hierarchical component view (C4 level 3) with responsibilities, arc42-aligned sections and traceability links to evidence, under four levels of injected architectural knowledge.</t>
  </si>
  <si>
    <t>Planned: reproduction of SARIF and SemArc baselines on seven benchmark projects, pipeline comparability check, tests of project-specific facts and bounded architect interaction on four arc42-by-Example projects (paired tests, effect sizes), and an industrial expert assessment; results omitted by design.</t>
  </si>
  <si>
    <t>SF9</t>
  </si>
  <si>
    <t>FS12</t>
  </si>
  <si>
    <t>S3-F07, S4-F95, S11-F150, S11-F223; cites S3, S4, S11</t>
  </si>
  <si>
    <t>IDEA-ARCH 2026, Intelligent and Data-driven Engineering for Software Architecture (ECSA 2026 workshop), short paper; published in ECSA 2026, LNCS 16991, pp. 143-151 (Springer, 2027), DOI 10.1007/978-3-032-39143-8_14; author version read and checked against the published chapter (S4-F95)</t>
  </si>
  <si>
    <t>Vision paper: use cases and architecturally significant requirements for AI decision assistance, a Domain-Driven Design context map and component architecture, and an example ADR-review prompt.</t>
  </si>
  <si>
    <t>An ADR-review prompt was run with six LLMs whose responses are published (Zenodo record: Claude Sonnet, Gemini Flash, ChatGPT, DeepSeek, Llama, Qwen); the paper names no model versions or settings.</t>
  </si>
  <si>
    <t>Architectural decision making: identifying and elaborating decision drivers, exploring options, and creating, reviewing and recovering ADRs; the worked example reviews an existing ADR against five criteria.</t>
  </si>
  <si>
    <t>Design-science vision: requirements from practicing architects (number not stated) and action research; one example ADR (Apache James) reviewed by six LLMs, with early results described as mostly positive; systematic evaluation in progress.</t>
  </si>
  <si>
    <t>SF10</t>
  </si>
  <si>
    <t>FS13</t>
  </si>
  <si>
    <t>S4-F13, S5-F03, S8-F06; cites S4, S5, S8</t>
  </si>
  <si>
    <t>ACM Transactions on Software Engineering and Methodology (TOSEM) 35(8), art. 225, July 2026; DOI 10.1145/3785010</t>
  </si>
  <si>
    <t>Primary study: empirical evaluation of LLM-generated design rationale for architecture decisions with three prompting strategies (zero-shot, chain-of-thought, and a five-agent system built on MetaGPT), a new dataset of 100 architecture problems, decisions and expert rationale, and semi-structured interviews with practitioners.</t>
  </si>
  <si>
    <t>gpt-3.5-turbo, gpt-4-0613, gemini-1.0-pro, llama3-8B and mistral-7B, chosen so that all data postdate their knowledge cut-off (April 2023 at the latest); no fine-tuning; temperature and number of runs not reported.</t>
  </si>
  <si>
    <t>Generating (recovering) the design rationale of a given architecture decision from the architecture problem and the decision: the arguments for and against it (advantages, disadvantages, trade-offs). The decisions are mostly implementation (25%), technology (15%) and integration (14%) decisions, followed by architecture pattern and data (12% each), component (11%), design pattern (6%) and deployment (5%) decisions.</t>
  </si>
  <si>
    <t>Experiment against expert rationale: 100 decisions (50 Stack Overflow posts, 25 GitHub issues, 25 GitHub discussions, created from 1 May 2023 and collected on 18 June 2024); each generated argument compared with the expert's (weighted precision, recall and F1) and classified as insightful, helpful, uncertain or misleading (IHUM); pilot kappa 0.834 (labelling), 0.863 (accuracy) and 0.738 (IHUM), with the formal evaluation by the first author reviewed by four authors. Semi-structured interviews (25-30 minutes) with six practitioners (2-25 years in software development, 2-10 in architecture design) on trust and applicability.</t>
  </si>
  <si>
    <t>SF12</t>
  </si>
  <si>
    <t>FS14</t>
  </si>
  <si>
    <t>S4-F15; cites S4</t>
  </si>
  <si>
    <t>FSE Companion ’25, Companion Proceedings of the 33rd ACM International Conference on the Foundations of Software Engineering, pp. 530-534; DOI 10.1145/3696630.3728493</t>
  </si>
  <si>
    <t>Vision paper: the MAAD framework, in which four LLM-based agents (Analyst, Modeler, Designer, Evaluator) design a system architecture from a software requirements specification, with proposed ways of extracting architectural knowledge for the agents from existing projects, authoritative literature and architecture experts, and a discussion of challenges and opportunities.</t>
  </si>
  <si>
    <t>None run or named; the agents are specified as LLM-based, with no model, agent framework or settings given.</t>
  </si>
  <si>
    <t>Architecture design from requirements: extracting, filtering and classifying architecturally significant requirements; making architectural decisions (technology stack, styles, patterns) and producing conceptual logical and physical views; refining them into class, sequence and deployment diagrams; and evaluating the artefacts against the requirements, with root-cause analysis of mismatches and refinement suggestions.</t>
  </si>
  <si>
    <t>None: the framework is illustrated with an online-bookstore example (Fig. 2); no model is run and no evaluation is described or planned.</t>
  </si>
  <si>
    <t>SF13</t>
  </si>
  <si>
    <t>FS15</t>
  </si>
  <si>
    <t>S4-F16, S7-F03, S8-F08, S11-F57; cites S4, S7, S8, S11</t>
  </si>
  <si>
    <t>ICSA 2025, 22nd IEEE International Conference on Software Architecture; DOI 10.1109/ICSA65012.2025.00011; IEEE Xplore version read</t>
  </si>
  <si>
    <t>Technique with quantitative evaluation: LLMs extract architecture component names from architecture documentation, from source-code package structure or from both, as a simple software architecture model for transitive trace-link recovery with TransArC. Conference version of S20, where the approach is extended as ExArch.</t>
  </si>
  <si>
    <t>GPT-4o mini, GPT-4o, GPT-4 Turbo, GPT-4 and GPT-3.5 Turbo (OpenAI), and Codellama 13b, Llama 3.1 8b and Llama 3.1 70b (locally deployed); temperature 0 and a fixed seed; no fine-tuning.</t>
  </si>
  <si>
    <t>Architecture recovery for traceability: extracting the high-level component names of a system (a simple software architecture model) from its architecture documentation and/or package structure, used as the intermediate model for recovering trace links between the documentation and the code.</t>
  </si>
  <si>
    <t>Benchmark experiment on TransArC's dataset (five open-source projects: MediaStore, TeaStore, TEAMMATES, BigBlueButton, JabRef) and its gold-standard trace links; precision, recall and F1 as macro and link-weighted averages; four modes (documentation, code, both merged by prompt or by name similarity); five baselines (TAROT, FTLR, CodeBERT, ArDoCode, TransArC with manual models) with results taken from Keim et al.; one-sided Wilcoxon signed-rank tests for GPT-4o; error analysis of generated against manual models for selected projects.</t>
  </si>
  <si>
    <t>F20</t>
  </si>
  <si>
    <t>FS16</t>
  </si>
  <si>
    <t>S4-F19, S9-F06; cites S4, S9</t>
  </si>
  <si>
    <t>ICSA 2026, 23rd IEEE International Conference on Software Architecture; DOI 10.1109/ICSA66085.2026.00007; IEEE Xplore version read</t>
  </si>
  <si>
    <t>Primary empirical study: evaluation of LLMs for detecting violations of architecture decision records in open-source code, with a multi-model pipeline (one detector, three validators), human validation of a sample, and a taxonomy of the decision types and errors behind misjudgements.</t>
  </si>
  <si>
    <t>Marco-o1 (7.6B reasoning model) as detector; Mistral-Nemo-Instruct-2407 (12.2B), Qwen3-14B-Base (14.8B) and Llama-3.1-8B-Instruct as validators; all open, unquantised and run locally with vLLM (temperature 0.1, top-p 0.9, fixed seed, up to 4,096 new tokens); no fine-tuning.</t>
  </si>
  <si>
    <t>Architecture conformance checking: deciding for each decision recorded in an ADR whether the retrieved code complies with it, does not comply, or cannot settle it (organisational, process or cost decisions), with a stated reason; the detector also splits ADRs into single decisions and reads their status.</t>
  </si>
  <si>
    <t>Empirical study on an existing ADR dataset: 980 ADR files in a recognised template from 109 GitHub projects (top quartile of code size, above the first quartile of commits), 1,317 accepted decisions; agreement among the four models (Fleiss' kappa, agreement per label, pairwise Jaccard); accuracy, MCC and macro- and micro-averaged precision, recall and F1 against 305 decisions labelled by three authors (Cochran's formula, 95% confidence, 5% margin); thematic and axial coding of the 92 misjudged cases.</t>
  </si>
  <si>
    <t>SF14</t>
  </si>
  <si>
    <t>FS17</t>
  </si>
  <si>
    <t>S4-F24, S10-F08; cites S4, S10</t>
  </si>
  <si>
    <t>IEEE Transactions on Software Engineering 52(1), pp. 338-359, January 2026 (online 14 October 2025); DOI 10.1109/TSE.2025.3620670</t>
  </si>
  <si>
    <t>Technique with quantitative evaluation: SemArc, an architecture recovery method in which an LLM supplies code semantics (file summaries) and architectural semantics (inferred patterns and component indicators) that, with explicit and implicit dependencies, guide an anchor-based clustering into modules and components.</t>
  </si>
  <si>
    <t>gpt-3.5-turbo-0125 with default parameters; DeepSeek-V2 (16B), Llama3 (8B) and CodeT5 compared; all-MiniLM-L6-v2 for sentence embeddings; no fine-tuning.</t>
  </si>
  <si>
    <t>Architecture recovery (module view): grouping source files into modules and components, with the LLM summarising files, inferring the system's architectural patterns and components from a pattern knowledge base, describing each component (functionality, non-functional properties, interactions) and naming the recovered modules.</t>
  </si>
  <si>
    <t>15 projects (5 C/C++, 5 Java, 5 Python; 8 ground truths from earlier studies, 7 annotated by the authors) against seven baselines (SARIF, ACDC, Bunch, LIMBO, WCA in two variants, FCA, RELAX) on MoJoFM, a2a, ARI, a2a_adj and c2c_cvg; ablation of four factors; generic, project-specific and manual component descriptions; four models; 30 further projects annotated by the authors; a Bash case study; processing time with a local model.</t>
  </si>
  <si>
    <t>FS18</t>
  </si>
  <si>
    <t>S4-F29, S5-F07, S8-F13, S9-F08; cites S4, S5, S8, S9</t>
  </si>
  <si>
    <t>ECSA 2025, 19th European Conference on Software Architecture, LNCS 15929, pp. 99-115 (Springer, 2026); DOI 10.1007/978-3-032-02138-0_7</t>
  </si>
  <si>
    <t>Primary empirical study: comparison of seven LLMs answering questions about the architectural knowledge of an existing open-source system, for accuracy against ground truth and for the similarity of their responses; extends S5 from GPT-3.5 to seven models.</t>
  </si>
  <si>
    <t>Qwen2-Instruct (72B), DeepSeek-R1-Distill-Llama (70B), gpt-4o, gpt-4o-mini, Llama-3.3-Instruct (70B), TinyLlama-Chat-v1.0 (1.1B) and Mistral-Large-Instruct-2407 (123B); open models run locally in 4-bit quantisation, OpenAI models through their API; sampling settings not reported; no fine-tuning.</t>
  </si>
  <si>
    <t>Answering questions about the architectural knowledge of an existing system (Hadoop HDFS) from the models' embedded knowledge: its components and connectors, its quality attribute solutions (patterns, tactics) and the rationale of its design decisions.</t>
  </si>
  <si>
    <t>229 zero-shot questions written by software engineers, with ground truth, reused from S5; 1,603 responses; answers extracted by script, matched to the ground truth by fuzzy matching (threshold 0.65, precision 0.92 on 400 responses) and false positives checked by two authors; precision and recall with t-tests or Mann-Whitney U tests between model pairs; response similarity with BERTScore and shared true and false answers.</t>
  </si>
  <si>
    <t>F4</t>
  </si>
  <si>
    <t>FS19</t>
  </si>
  <si>
    <t>S4-F32, S11-F107; cites S4, S11</t>
  </si>
  <si>
    <t>ECSA 2025, 19th European Conference on Software Architecture, LNCS 15929, pp. 116-123 (Springer, 2026); DOI 10.1007/978-3-032-02138-0_8</t>
  </si>
  <si>
    <t>Primary empirical study (short paper): a structured prompt for assessing the quality of architecture diagrams with their textual descriptions, applied with one LLM to four open-source projects and compared with a human expert, with guidelines for practitioners.</t>
  </si>
  <si>
    <t>ChatGPT-4o (multimodal), used through its web interface in late 2024; model version and sampling settings not reported; one run per diagram; no fine-tuning.</t>
  </si>
  <si>
    <t>Quality assessment of architecture documentation: rating an existing system's architecture diagram, together with its textual description, on clarity, consistency, completeness, accuracy and level of detail, with a justification and suggestions for improvement per criterion.</t>
  </si>
  <si>
    <t>Preliminary study: one diagram and its description from each of four open-source projects (Readium, HyperTrack Live App, FHIR Reference Client, Integration Service) taken from an existing dataset of architectural views; one software architecture expert reviewed the model's assessments per criterion (agrees, partially agrees, disagrees), with the expert's judgement taken as ground truth; results shown per project and criterion, with one project discussed in detail; no quantitative agreement measure.</t>
  </si>
  <si>
    <t>SF15</t>
  </si>
  <si>
    <t>FS20</t>
  </si>
  <si>
    <t>S4-F33, S8-F16; cites S4, S8</t>
  </si>
  <si>
    <t>ICSA-C 2025, Companion of the 22nd IEEE International Conference on Software Architecture, pp. 404-409; DOI 10.1109/ICSA-C65153.2025.00063; IEEE Xplore version read</t>
  </si>
  <si>
    <t>Primary study (six pages): an LLM-based recommender added to the authors' model-driven conformance tool (AssistRA) that proposes resolutions for violations of a reference architecture, with an exploratory evaluation of two LLMs on mutated architectures.</t>
  </si>
  <si>
    <t>Gemini 1.5 and ChatGPT-4o, used as they are with default temperatures; access mode, model versions beyond these names and number of runs not reported; no fine-tuning.</t>
  </si>
  <si>
    <t>Resolving architectural conformance violations: given a reference architecture, a concrete architecture that conforms to it, both written in a Flexmi-based modelling language, and a violation reported by the conformance checker (illegal link, missing connection target, missing implementation of a reference component, or a combination), proposing a corrected architecture with a short description of the changes.</t>
  </si>
  <si>
    <t>Exploratory experiment: one IoT reference architecture and four platform architectures (AWS IoT, Azure IoT Hub, FIWARE, SmartThings) from Guth et al., mutated into 16 faulty architectures with four violation types (20 suggestions per model, the combined violation scored twice); each suggestion compared by hand with the original architecture and classed as a correct match, a wrong match or an undesired action; success rate as the share of correct matches.</t>
  </si>
  <si>
    <t>SF16</t>
  </si>
  <si>
    <t>FS21</t>
  </si>
  <si>
    <t>S4-F34, S9-F10, S10-F15; cites S4, S9, S10</t>
  </si>
  <si>
    <t>ICSA 2026, 23rd IEEE International Conference on Software Architecture, pp. 245-256; DOI 10.1109/ICSA66085.2026.00031; IEEE Xplore version read</t>
  </si>
  <si>
    <t>Primary empirical study: large-scale evaluation of LLM prompting, a general-purpose coding agent and a custom multi-agent approach (ArchView) for generating architecture views from source code, with a pilot on code summarisation and a replication package.</t>
  </si>
  <si>
    <t>Gemini 2.0 Flash for code summarisation; DeepSeek-V2.5, Claude 3.5 Sonnet and GPT-4o for view generation with zero-, one- and few-shot prompts and inside ArchView; Claude Code (Claude 3.5 Sonnet) as the general-purpose agent; GPT-4o and Gemini 2.0 Flash in the pilot; default configurations; the LLM used as judge is not named; no fine-tuning.</t>
  </si>
  <si>
    <t>Generating architecture views (component or sequence diagrams in PlantUML, or notation-agnostic views in ArchView) of an existing system from hierarchical summaries of its source code, given the architectural concern and behaviour the view must address.</t>
  </si>
  <si>
    <t>FS22</t>
  </si>
  <si>
    <t>S4-F36; cites S4</t>
  </si>
  <si>
    <t>ICSA 2026, Software Architecture Showcase track (accepted, per the arXiv comment); arXiv 2603.17833v1 (18 March 2026) read</t>
  </si>
  <si>
    <t>Tool and benchmark paper (five pages): a platform for benchmarking LLMs and LLM-based agents on software architecture tasks, with a command-line pipeline, a public leaderboard and five tasks drawn from published studies; no model is run and no results are reported.</t>
  </si>
  <si>
    <t>None run in the paper; the pipeline sends task prompts to any provider (OpenAI, Anthropic and others) through a uniform interface, and the example command names gpt-4.</t>
  </si>
  <si>
    <t>Specified benchmark tasks: generating an ADR from a decision's context, and recovering trace links between software architecture documentation and code files; three further tasks generate code (serverless functions, IoT services, microservice implementations).</t>
  </si>
  <si>
    <t>None: the platform is described and a walkthrough given. Tasks are scored against the ground truth of their source datasets (ROUGE, BLEU, METEOR and BERTScore for ADRs; precision, recall and F1 for trace links; test pass rates and code metrics for code), and the leaderboard shows results from the original studies; two tasks have automated evaluation in the tool so far.</t>
  </si>
  <si>
    <t>FS23</t>
  </si>
  <si>
    <t>S4-F38, S5-F09, S8-F20; cites S4, S5, S8</t>
  </si>
  <si>
    <t>EASE 2026, 30th International Conference on Evaluation and Assessment in Software Engineering (ACM); arXiv 2604.21699v1 read, with the EASE 2026 ACM reference block and a placeholder DOI</t>
  </si>
  <si>
    <t>Primary empirical study: controlled experiment on LLMs answering architecture comprehension questions about ROS2 systems from their computation graphs, with an algorithm that generates the questions and their answers from a graph.</t>
  </si>
  <si>
    <t>gemini-2.5-pro, o3, chatgpt-4o, claude-opus-4, gemini-2.5-flash, gpt-4.1, grok-3, claude-sonnet-4 and o4-mini (the top ten of LMArena on 16 June 2025, less a deprecated model), through the providers' APIs at default settings, each question asked once, 30 June to 16 July 2025; GPT-2 to compute perplexity; no fine-tuning.</t>
  </si>
  <si>
    <t>Architecture comprehension: answering factual questions about the architecture of a ROS2 system (its entities, which nodes publish or subscribe to which topics, which provide or use which services, communication paths between nodes, interface types) from its computation graph, extracted from the running system and given to the model as JSON.</t>
  </si>
  <si>
    <t>Controlled experiment with a repeated-measures design: 29,406 questions generated with answers from the computation graphs of three ROS2 systems of increasing size (pubsub, turtlebot, panda), 1,230 sampled and put to nine LLMs (11,070 prompts); answers extracted by regex and compared with the ground truth, all 300 marked incorrect and a sample of 273 correct ones checked by hand; output tokens, accuracy, perplexity of explanations under GPT-2, and topics in explanations by BERTopic.</t>
  </si>
  <si>
    <t>SF17</t>
  </si>
  <si>
    <t>FS24</t>
  </si>
  <si>
    <t>S4-F40, S4-F113, S7-F16, S7-F53; cites S4, S7</t>
  </si>
  <si>
    <t>ICL 2024, International Conference on Interactive Collaborative Learning, in Futureproofing Engineering Education for Global Responsibility, LNNS 1280, pp. 375-386 (Springer, 2025); DOI 10.1007/978-3-031-83523-0_35; author's version read (pages cited as pp. 1-12 of that version)</t>
  </si>
  <si>
    <t>Primary study: a framework of seven design steps derived from 18 software engineers, a Socratic LLM mentor (ArchiGuide) built on it, and a between-groups study with first-year students.</t>
  </si>
  <si>
    <t>Mistral-7B-Instruct-v0.2 hosted on Hugging Face, chosen over Llama-2-7b-chat in a pre-evaluation; accessed through the Vercel AI SDK; settings not reported; no fine-tuning.</t>
  </si>
  <si>
    <t>Guided architecture design for teaching: from a textual project description and requirements, the model leads a student through a conceptual architecture, its essential components, their relationships, additional components and a textual summary, asking questions and suggesting components.</t>
  </si>
  <si>
    <t>Between-groups study with 39 first-year students (19 with the mentor, 20 without), randomly assigned; final architectures scored by five raters on eleven rubric categories (0-2 each, Kendall's W above 0.6 after calibration), compared by Mann-Whitney U tests and a t-test on totals; questionnaires, time and messages, and a qualitative analysis of chat protocols.</t>
  </si>
  <si>
    <t>SF18</t>
  </si>
  <si>
    <t>FS25</t>
  </si>
  <si>
    <t>S4-F45, S7-F18, S11-F136; cites S4, S7, S11</t>
  </si>
  <si>
    <t>CASCON 2025, IEEE International Conference on Collaborative Advances in Software and Computing, pp. 399-408; DOI 10.1109/CASCON66301.2025.00069; IEEE Xplore version read</t>
  </si>
  <si>
    <t>Primary empirical study (exploratory): three LLMs with three prompting strategies generate high-level architectures from textual system descriptions, alone and in two-model drafter-refiner chains, compared with documented architectures.</t>
  </si>
  <si>
    <t>OpenAI o3, Gemini 2.0 Flash and Llama 4 Maverick through their APIs (LangChain, Groq for Llama); temperature 0.5, top-p 0.8, at most 2,048 output tokens; no fine-tuning or retrieval.</t>
  </si>
  <si>
    <t>Architecture generation from requirements: from a natural-language description of a system (functional and non-functional requirements, domain entities, interactions), producing a high-level UML component diagram in PlantUML with components, connectors and an architectural style; in the two-pass setting a second model diagnoses and fixes the first model's diagram.</t>
  </si>
  <si>
    <t>Two open-source systems (Online Boutique, a modular Meetings System) selected from 25 GitHub repositories, with their documented architectures recreated as reference PlantUML diagrams; 9 single-pass model-prompt settings and 81 drafter-refiner pairs; true and false positives and false negatives for components and connections (names matched by hand), precision, recall and F1, and tree edit distance between diagrams converted to XMI.</t>
  </si>
  <si>
    <t>SF19</t>
  </si>
  <si>
    <t>FS26</t>
  </si>
  <si>
    <t>S4-F47, S8-F24; cites S4, S8</t>
  </si>
  <si>
    <t>FSE Companion '26, 34th ACM Joint European Software Engineering Conference and Symposium on the Foundations of Software Engineering, pp. 1783-1792; DOI 10.1145/3803437.3806702</t>
  </si>
  <si>
    <t>Primary empirical study (exploratory lab study): how pairs of software professionals use an LLM while designing an application together, with collaboration patterns, roles given to the LLM, types of assistance and perceptions.</t>
  </si>
  <si>
    <t>GPT-3.5 Turbo through a custom chat wrapper that logged prompts and responses and mirrored a commercial chat interface; one instance per participant; settings not reported; sessions from September 2023 to February 2024.</t>
  </si>
  <si>
    <t>Software design with an LLM as assistant: from a product requirements document for a campus bicycle-parking app, pairs produce a design document covering requirements, user flows, architecture and data design; depending on the pair, the LLM answers design questions, generates artifacts (data models, APIs, deployment and sequence diagrams, a C4 model), lays out architectural options and trade-offs, or produces the whole design.</t>
  </si>
  <si>
    <t>Exploratory laboratory study with 18 pairs (36 professionals, average 11 years of experience) in 90-minute remote sessions; LLM logs coded abductively, session videos analysed with memos, exit interviews analysed thematically by two researchers with a third reviewing; design quality not assessed.</t>
  </si>
  <si>
    <t>SF20</t>
  </si>
  <si>
    <t>FS27</t>
  </si>
  <si>
    <t>S4-F52, S4-F91, S5-F12, S5-F26, S8-F27, S8-F42; cites S4, S5, S8</t>
  </si>
  <si>
    <t>IEEE Software 43(4), pp. 87-95 (July/August 2026); DOI 10.1109/MS.2026.3663353; IEEE Xplore version read</t>
  </si>
  <si>
    <t>Primary study (magazine feature): LLMs generating and selecting design-concept alternatives for quality-attribute design problems, compared with the choices of human architects at a workshop.</t>
  </si>
  <si>
    <t>ChatGPT 4o to generate the problems and alternatives (March 2025); ChatGPT 4o, DeepSeek R1, Claude 3.7 and Gemini 2.5 Pro, through their web interfaces, to choose among the alternatives; settings not reported; no fine-tuning.</t>
  </si>
  <si>
    <t>Design concept selection, a step of Attribute-Driven Design: generating four alternative design concepts (patterns, tactics, technologies) with pros and cons for a design problem with specific quality-attribute requirements, and choosing the most appropriate one.</t>
  </si>
  <si>
    <t>14 generated design problems covering 12 quality attributes, whose 56 alternatives the authors reviewed for appropriateness; agreement among the models' choices; 23 participants of the Designing 2025 workshop (industry professionals, researchers and graduate students) answered five of the problems and discussed the model answers in four groups; comparison of human and model choices without statistical tests.</t>
  </si>
  <si>
    <t>FS28</t>
  </si>
  <si>
    <t>S4-F53; cites S4, S11</t>
  </si>
  <si>
    <t>ISoLA 2024, Leveraging Applications of Formal Methods, Verification and Validation, LNCS 15220, pp. 208-223 (Springer, 2025); DOI 10.1007/978-3-031-75107-3_13</t>
  </si>
  <si>
    <t>Primary study (exploratory): how well a generic LLM understands ensemble-based component architectures of collective adaptive systems specified in three DEECo DSLs, and which representation works best.</t>
  </si>
  <si>
    <t>GPT-4 Turbo (gpt-4-turbo-2024-04-09), zero-shot, through a non-interactive framework with file-system access to the application files; questions asked sequentially in one chat; settings not reported; no fine-tuning.</t>
  </si>
  <si>
    <t>Architecture comprehension for ensemble-based component architectures: identifying components and ensembles, the overall functionality, which components take roles in an ensemble and under which conditions, and which ensembles are instantiated in a given state of the components.</t>
  </si>
  <si>
    <t>Exploratory: three example applications from the authors' earlier work in three DSLs (EDL, TCOOF-ADL in Scala, ML-DEECo in Python); questions in three steps along structural/functional and qualitative/quantitative dimensions, each as plain, hinted or with-paper variants; answers judged by the authors, with ensemble instantiation checked against a modified ML-DEECo runtime for one application; an anonymised version to test for guessing from names; results reported descriptively without counts.</t>
  </si>
  <si>
    <t>SF21</t>
  </si>
  <si>
    <t>FS29</t>
  </si>
  <si>
    <t>S4-F54, S5-F13, S10-F38; cites S4, S5, S10</t>
  </si>
  <si>
    <t>ICSA 2026, 23rd IEEE International Conference on Software Architecture, pp. 268-279; DOI 10.1109/ICSA66085.2026.00033; IEEE Xplore version read</t>
  </si>
  <si>
    <t>Primary empirical study (exploratory): a three-phase LLM pipeline (repository summarisation, architectural view generation, service decomposition) for decomposing monoliths into microservices, evaluated against reference decompositions and published tool results.</t>
  </si>
  <si>
    <t>GPT-5, Gemini 2.5 Pro, GLM-4.6 and DeepSeek 3.2 Terminus at default inference settings, each run once per configuration; no fine-tuning.</t>
  </si>
  <si>
    <t>Architectural refactoring from monolith to microservices: from a summary of the monolith's code, inferring five architectural views (component diagram, component overview, API endpoints, technology map, dynamic interactions) and, together with a statically extracted dependency and call graph, partitioning the classes into services with responsibilities and inter-service dependencies.</t>
  </si>
  <si>
    <t>Four Java systems from Wang et al.'s decomposition benchmark with paired monolithic and microservice versions or published reference decompositions (service reference models); 4 models x 7 summarisation strategies per system (112 decompositions); MoJoFM, cyclic independence, TurboMQ modularity, business context purity, domain independence, team contribution and token counts; comparison with the benchmark's tool results using Mann-Whitney U and Kruskal-Wallis tests with Cliff's delta; no human assessment.</t>
  </si>
  <si>
    <t>SF22</t>
  </si>
  <si>
    <t>FS30</t>
  </si>
  <si>
    <t>S4-F59, S10-F43; cites S4, S10</t>
  </si>
  <si>
    <t>SBCARS 2025, 19th Brazilian Symposium on Software Components, Architectures, and Reuse (Recife, 22-26 September 2025), pp. 79-89; DOI 10.5753/sbcars.2025.14591</t>
  </si>
  <si>
    <t>Primary empirical study (initial, exploratory): an OpenAI reasoning model generates microservice architectures from textual requirements under zero-shot and one-shot prompting, compared with reference architectures extracted from the implemented systems and rated by experts.</t>
  </si>
  <si>
    <t>One model, called 'GPT-4 o3' and linked to OpenAI's o3 model page, used through the OpenAI API in May and June 2025; a fixed temperature and deterministic decoding are stated, without the value; no fine-tuning.</t>
  </si>
  <si>
    <t>Architecture generation from requirements: from the natural-language functional requirements of a system, proposing microservices with names and responsibilities and the interactions between them.</t>
  </si>
  <si>
    <t>Two systems (Bookstore, PetClinic) from a curated microservice dataset, requirements refined by the authors, reference decompositions extracted from the source code with static analysis tools; zero-shot and one-shot prompting; counts of correct, missing and extra services and links with precision, recall and F1; blind review by experienced architects (four in the results, six in the method) on a 5-point scale for correctness, completeness, modularity and plausibility, and 48 open comments analysed by the authors.</t>
  </si>
  <si>
    <t>FS31</t>
  </si>
  <si>
    <t>S4-F61; cites S4</t>
  </si>
  <si>
    <t>Overview of the authors' research programme on architecting ML- and RL-based systems for Industry 4.0 cyber-physical production systems (six contributions, mostly published elsewhere, placed in a CI/CD pipeline), with proposals for LLM support of architecting and four open challenges; included under rule 3's proposed-task clause by our decision.</t>
  </si>
  <si>
    <t>None run in this paper and none named for the proposed tasks; earlier or forthcoming work of the authors is summarised in which LLMs check RL training code for practices and, with a low-code approach, generate MLOps/RLOps pipelines (seven LLMs, not named here).</t>
  </si>
  <si>
    <t>Proposed: an LLM writes Python code against the authors' CodeableModels metamodel to generate the formal architecture model of an ML/RL-based system from its source code and architectural schematics, and an LLM checks such models for conformance to catalogued architectural design decisions and decision options, replacing hand-coded detectors.</t>
  </si>
  <si>
    <t>None for the proposed tasks; the earlier contributions' validations (grounded theory studies, an industry case study, controlled experiments, statistical validation, open-source projects) are summarised without figures and deferred to their papers.</t>
  </si>
  <si>
    <t>SF23</t>
  </si>
  <si>
    <t>FS32</t>
  </si>
  <si>
    <t>S4-F66, S5-F17, S7-F26, S8-F34, S9-F18, S10-F47; cites S4, S5, S7, S8, S9, S10</t>
  </si>
  <si>
    <t>EASE 2026, 30th International Conference on Evaluation and Assessment in Software Engineering (ACM), Research Papers track; arXiv 2604.03826v2 read, with the EASE 2026 ACM reference block and a placeholder DOI</t>
  </si>
  <si>
    <t>Primary empirical study: comparison of context strategies (none, all prior ADRs, first K, last K, K retrieved by similarity) for generating the next architecture decision record of a repository, with a curated sequential ADR dataset.</t>
  </si>
  <si>
    <t>Gemini-2.5-Pro, Qwen3-235B-A22B-Instruct-2507, GLM-4.6 and Gemma-3-4B-it, chosen from the LMArena text leaderboard (snapshot of 15 October 2025) and by licence, size and openness; all-MiniLM-L6-v2 embeddings for retrieval; no sampling settings reported; no fine-tuning.</t>
  </si>
  <si>
    <t>Architecture decision documentation: generating an ADR (context, decision, consequences) from its title and a selection of the repository's earlier ADRs.</t>
  </si>
  <si>
    <t>Over 4,500 ADRs from 750 open-source repositories (from Buchgeher et al.'s MSR corpus, filtered and sequenced by the first author); four models x eight context conditions (80,000+ generations); BERTScore, BLEU, ROUGE-1/L and METEOR against the human-written ADRs, and output token counts; informal manual review of samples by two authors; no statistical tests reported.</t>
  </si>
  <si>
    <t>FS33</t>
  </si>
  <si>
    <t>S4-F68, S7-F29, S10-F50; cites S4, S7, S10</t>
  </si>
  <si>
    <t>AI (MDPI) 7(6), article 195 (received 18 March, accepted 23 May, published 27 May 2026); DOI 10.3390/ai7060195</t>
  </si>
  <si>
    <t>Primary empirical study (controlled experiments): LLMs generate architectures in explicitly requested patterns from requirements in different representations, with and without RAG, rated by the authors with a rubric; plus a reusable experimental workflow.</t>
  </si>
  <si>
    <t>Phase 1: local Llama 3.1 8B, DeepSeek-R1 70B, Command-R, Gemma2 27B, Mixtral 8x7B, Phi-3 Medium (Ollama, Q4_0 quantisation) and online Claude Sonnet 3.7, DeepSeek-R1, Gemini 2.0 Flash, GPT-4o and OpenAI o-series models; Phase 2 adds Llama 3.3, Mixtral 8x22B, Mistral and Grok. Embeddings nomic-embed-text-v1.5 and text-embedding-3-large for RAG. One execution per configuration; no sampling settings reported; no fine-tuning.</t>
  </si>
  <si>
    <t>Architecture generation in a requested style: from functional and non-functional requirements (lists or SRS documents), producing a client-server, three-tier, MVC or microservice architecture as a UML class diagram in PlantUML; in Phase 2 also computing microservice metrics from the generated diagram.</t>
  </si>
  <si>
    <t>Phase 1: a small coordinate-converter application, three patterns, two requirement bundles and two SRS variants, local and online models, three RAG sources, two embedding models and two chunking strategies (about 500 scenarios); Phase 2: a chart-making web service in microservices. Reference implementations and diagrams made by the authors; generated diagrams scored 0-5 by the four authors on four (Phase 1) or seven (Phase 2) rubric dimensions, with inter-rater agreement mostly above 0.7; model-computed metrics compared with the authors' own calculations; no repeated runs or statistical tests.</t>
  </si>
  <si>
    <t>SF24</t>
  </si>
  <si>
    <t>FS34</t>
  </si>
  <si>
    <t>S4-F70, S10-F51; cites S4, S10</t>
  </si>
  <si>
    <t>Future Generation Computer Systems 185, article 108683 (Elsevier, 2026; received 20 June 2025, revised 12 May 2026, accepted 20 June 2026); DOI 10.1016/j.future.2026.108683</t>
  </si>
  <si>
    <t>Primary study (approach with experimental evaluation): two ways of using LLMs for runtime architecture adaptation of ensemble-based collective adaptive systems, online (the LLM inside the adaptation manager) and offline (the LLM writes the adaptation manager), with prompts generated from an architecture specification DSL and a constraint check with retry; a generic open-source framework.</t>
  </si>
  <si>
    <t>GPT-4o mini, GPT-4o, OpenAI o3-mini, Gemini 2.0 Flash and Claude 3.7 Sonnet through their APIs (versions and context windows listed); for offline prompting GPT-4o and o3-mini through the ChatGPT web interface; no fine-tuning.</t>
  </si>
  <si>
    <t>Runtime architecture adaptation: periodically deciding which components form which ensembles (ensemble resolution), which changes the runtime architecture of the collective adaptive system; alternatively, generating the Python adaptation manager that makes this decision.</t>
  </si>
  <si>
    <t>Simulations of a smart-farm drone system (running example) and a Dragon Hunt game designed to be outside training data; online variants run 5 times and offline 3 times; baselines a hand-coded rule-based manager by a domain expert (10 runs) and DQN and PPO reinforcement learning, with and without reward shaping; itemised variation of strategy and prompt facets; scalability up to 881 (GPT-4o mini) and 1,388 (o3-mini) drones; damage rate, steps to goal, constraint violations and retries, assigned and utilised drones, reasoning tokens, response time and cost.</t>
  </si>
  <si>
    <t>FS35</t>
  </si>
  <si>
    <t>S4-F76; cites S4</t>
  </si>
  <si>
    <t>SBES 2026, 40th Brazilian Symposium on Software Engineering (São Paulo), Insightful Ideas and Emerging Results track, presented 9 September 2026; arXiv 2608.17694v1 read</t>
  </si>
  <si>
    <t>Tool with feasibility study: a multi-agent, self-correcting workflow that extracts architectural decisions from raw meeting transcripts and drafts ADRs, compared with zero-shot and few-shot prompting and evaluated by participants and senior architects.</t>
  </si>
  <si>
    <t>Gemini 3.1 Pro through the Gemini API, orchestrated with LangGraph; ChromaDB retrieval over an ADR corpus and Tavily web search; no sampling settings reported; no fine-tuning.</t>
  </si>
  <si>
    <t>Architecture decision documentation: identifying the architectural decisions, rationale and rejected alternatives discussed in design meetings and writing them as Nygard-format ADR drafts.</t>
  </si>
  <si>
    <t>Five meeting transcripts (four student teams in an architecture course, one team of senior researchers), each processed three times with zero-shot, few-shot and the agentic workflow; questionnaire of 15 participants (55 decision-level ratings); four senior architects listed 23 reference decisions, mapped against the 17 generated ADRs; ethics approval.</t>
  </si>
  <si>
    <t>SF25</t>
  </si>
  <si>
    <t>FS36</t>
  </si>
  <si>
    <t>S4-F78, S10-F55; cites S4, S10</t>
  </si>
  <si>
    <t>SAC '26, 41st ACM/SIGAPP Symposium on Applied Computing (Thessaloniki, 23-27 March 2026), 8 pp.; DOI 10.1145/3748522.3780005</t>
  </si>
  <si>
    <t>Primary empirical study (comparative): three LLMs generate microservice architectures from textual requirements under zero-shot and one-shot prompting, compared with reference decompositions of two systems.</t>
  </si>
  <si>
    <t>OpenAI o3, DeepSeek-V3 and Claude 3.5 Sonnet with deterministic decoding (temperature 0, top-p 1) and identical token budgets; each configuration run once (August-September 2025); no fine-tuning.</t>
  </si>
  <si>
    <t>Architecture generation from requirements: proposing microservices with names and responsibilities and directed inter-service links from the natural-language requirements of a system.</t>
  </si>
  <si>
    <t>Bookstore and PetClinic from a curated microservice dataset (requirements revised by the authors, references extracted from code by static analysis and from deployments); 3 models x 2 prompting conditions x 2 systems; counts of correct, missing and extra services and directed links after name normalisation and one-to-one matching, with precision, recall and F1; qualitative inspection of graph shapes; no human rating and no statistical tests.</t>
  </si>
  <si>
    <t>FS37</t>
  </si>
  <si>
    <t>S4-F81, S10-F57, S11-F196; cites S4, S10, S11</t>
  </si>
  <si>
    <t>AI-SQE '26, 1st International Workshop on AI for Software Quality Evaluation, at ICSE 2026 (Rio de Janeiro, 12-18 April 2026), pp. 88-96 (ACM); DOI 10.1145/3786175.3788350</t>
  </si>
  <si>
    <t>Primary empirical study (exploratory, qualitative): a multimodal LLM assesses the architecture diagrams of four tool papers against five quality criteria, and an expert reviews its assessments.</t>
  </si>
  <si>
    <t>ChatGPT-4o through the ChatGPT web interface with default settings (late 2024); one pass per case; no fine-tuning.</t>
  </si>
  <si>
    <t>Architecture documentation assessment: rating architecture diagrams and their textual descriptions on clarity, consistency, completeness, accuracy and level of detail, with justifications and improvement suggestions.</t>
  </si>
  <si>
    <t>Four SBES 2024 Tools Track papers (PoP-ARE, Exception Miner, Helius, AutomTest 3.0), selected from 15 for having an architecture diagram and a textual description of it; 20 criterion-level judgements, each classified by one expert (an author) as agrees, partially agrees or disagrees; counts and qualitative failure patterns; no statistics.</t>
  </si>
  <si>
    <t>FS38</t>
  </si>
  <si>
    <t>S4-F84; cites S4</t>
  </si>
  <si>
    <t>DoCEIS 2026 (17th Doctoral Conference on Computing, Electrical and Industrial Systems, Lisbon, 17-19 June 2026), in Technological Innovation to Tackle Societal Challenges, IFIP AICT 790 (Springer; first online 17 June 2026, volume dated 2027); DOI 10.1007/978-3-032-28939-1_1; authors' preprint read</t>
  </si>
  <si>
    <t>Framework proposal with a feasibility prototype (design science): an artefact-centric human-AI agentic framework for architecture design of industrial software systems, aligned with the Design Science Methodology.</t>
  </si>
  <si>
    <t>A single agent built with the OpenAI Agents SDK; the model and its settings are not named; Mermaid and PlantUML for rendering.</t>
  </si>
  <si>
    <t>Architecture design support: structuring requirements, generating candidate designs, views and an architecture-as-code specification, checking consistency against constraints and keeping traceable artefacts such as ADRs, under a human validation gate.</t>
  </si>
  <si>
    <t>Feasibility illustration only: one screen capture of the prototype consolidating requirements for a shop-floor monitoring and predictive maintenance system and rendering a generated architecture-as-code specification as a UML class diagram; no evaluation, metrics or participants.</t>
  </si>
  <si>
    <t>SF26</t>
  </si>
  <si>
    <t>FS39</t>
  </si>
  <si>
    <t>S4-F88, S5-F25, S8-F41; cites S4, S5, S8</t>
  </si>
  <si>
    <t>COMPSAC 2026, 2026 IEEE 50th Annual Computers, Software, and Applications Conference, pp. 493-502; DOI 10.1109/COMPSAC69091.2026.00070; IEEE Xplore version read</t>
  </si>
  <si>
    <t>Primary study (technique with evaluation): an iterative LLM-based architecture recovery method over a knowledge graph built from source code, applied to three open-source C systems.</t>
  </si>
  <si>
    <t>One LLM, not named, prompted through role prompts with memory, dynamic graph context and a dual free-form and formatting prompt; settings not reported; no fine-tuning.</t>
  </si>
  <si>
    <t>Architecture recovery: decomposing a code base recursively into a tree of named components by exploring a Neo4j knowledge graph with generated Cypher queries (Explore), assigning functions to components (Allocate) and reassigning coupling candidates found by Graph Max Shift (Shift); output as a UML component diagram in PlantUML.</t>
  </si>
  <si>
    <t>cJSON (3K SLOC), Bash 4.2 (115K) and SQLite 3.42.1 (150K); cJSON checked manually, SQLite compared in prose with the architecture on its website, Bash compared with a published file-level decomposition through a function-count matrix; run times reported; no baseline technique, recovery metric or repeated runs.</t>
  </si>
  <si>
    <t>SF27</t>
  </si>
  <si>
    <t>FS40</t>
  </si>
  <si>
    <t>S4-F90, S11-F252; cites S4, S11</t>
  </si>
  <si>
    <t>ENASE 2025, 20th International Conference on Evaluation of Novel Approaches to Software Engineering, pp. 608-617 (SciTePress); DOI 10.5220/0013358000003928</t>
  </si>
  <si>
    <t>Primary study (methodology with initial evaluation): parametrised test patterns and metrics for checking whether an LLM correctly interprets workflow architectures written in an ADL, applied to the ExtremeXP workflow language.</t>
  </si>
  <si>
    <t>GPT-4o (gpt-4o-2024-05-13) and GPT-4 Turbo (gpt-4-0125-preview) through the OpenAI API with LangChain; step-by-step instructions; agent mode with function calls and an up-front mode; each instance prompted five times; sampling settings not reported; no fine-tuning.</t>
  </si>
  <si>
    <t>Architecture comprehension for workflow architectures: answering questions about the tasks, flow links, conditional control flow and functionality of workflows specified in an ADL, including detecting inconsistencies between names and descriptions.</t>
  </si>
  <si>
    <t>Twenty-five test instances from 8 test patterns on ExtremeXP workflows, in three variants of the ADL (with imports, inlined, no sub-workflows), two models and two modes; reference answers per instance; Jaccard index, binary correctness and ROUGE-1 recall (BERTScore also tried), means of five runs, and manual inspection of answers; no statistics.</t>
  </si>
  <si>
    <t>FS41</t>
  </si>
  <si>
    <t>S4-F97, S8-F46; cites S4, S8</t>
  </si>
  <si>
    <t>SBES 2026 (40th Brazilian Symposium on Software Engineering, São Paulo, 8-11 September 2026), Innovative Ideas and Emerging Results track, 7 pp.; version from the CBSoft 2026 site read</t>
  </si>
  <si>
    <t>Primary study (exploratory, with a proposal): general-purpose LLMs and a corpus-grounded RAG tool recommend architectural security patterns for design problems, motivating a planned RAG assistant built on a corpus from a systematic mapping.</t>
  </si>
  <si>
    <t>Gemini 2.5 Flash and DeepSeek V4 Flash through their web interfaces (basic subscriptions, no hyperparameters set); NotebookLM Pro with the curated corpus as the RAG condition; zero-shot prompts; no fine-tuning.</t>
  </si>
  <si>
    <t>Design decision support: recommending an architectural security pattern for a system of a given technical and application domain with a stated security requirement and problem, with supporting references.</t>
  </si>
  <si>
    <t>Exploratory study: five treatments built from five security patterns selected at random (control group); two prompt templates for the two general models and one for NotebookLM with a corpus of 98 security patterns from a mapping of 112 studies; outputs coded qualitatively against the expected pattern and its sources by the authors; no counts, metrics or statistics.</t>
  </si>
  <si>
    <t>SF28</t>
  </si>
  <si>
    <t>FS42</t>
  </si>
  <si>
    <t>S4-F105, S8-F52; cites S4, S8</t>
  </si>
  <si>
    <t>CIbSE 2026, XXIX Ibero-American Conference on Software Engineering (Recife), Emerging Ideas track, pp. 365-372 (SBC); DOI 10.5753/cibse.2026.42461</t>
  </si>
  <si>
    <t>Primary study (approach with exploratory evaluation): a neuro-symbolic evolutionary framework in which an LLM generates microservice decompositions from user stories, a Lean 4 kernel validates them and structural proxies rank them.</t>
  </si>
  <si>
    <t>GPT-4o-mini as the generator (temperature 0.5), with a Lean 4 executable as validation kernel; five generations, population 10, elite 5; no fine-tuning.</t>
  </si>
  <si>
    <t>Architecture generation from requirements: proposing microservices with operations, parameters and directed inter-service calls from user stories, refined over generations under formal validation.</t>
  </si>
  <si>
    <t>The 22 user-story datasets of the Dalpiaz corpus; share of Lean-valid candidates, an LCOM-inspired cohesion proxy, granularity, parameter dispersion and fan-out per generation, and run time of generation and validation; internal improvement only, without baselines, expert judgement or statistics.</t>
  </si>
  <si>
    <t>FS43</t>
  </si>
  <si>
    <t>S4-F110, S5-F30, S10-F70, S11-F241; cites S4, S5, S10, S11</t>
  </si>
  <si>
    <t>SBCARS 2026, Brazilian Symposium on Software Components, Architectures, and Reuse (CBSoft 2026, São Paulo, 8-11 September 2026), 11 pp.; version from the accepted-papers listing read</t>
  </si>
  <si>
    <t>Primary empirical study: a guideline-level framework for LLM evaluation of architecture diagrams, applied with two multimodal models to six open-source microservice systems and audited by software engineers.</t>
  </si>
  <si>
    <t>GPT-5 (OpenAI API) and Claude Sonnet 4.6 (Anthropic API); criterion-specific zero-shot prompts with strict JSON output; two trials, the last one analysed; settings not reported; no fine-tuning.</t>
  </si>
  <si>
    <t>Architecture documentation assessment: scoring microservice architecture diagrams (rendered PNG or SVG/draw.io XML source, with the project description) on 15 guideline-level checks under accuracy, clarity, completeness, consistency and level of detail, with a justification per check.</t>
  </si>
  <si>
    <t>Six open-source microservice systems from a curated dataset; 2 models x 2 representations x 5 criteria (120 calls, 360 guideline scores); human reference scores from 12 of 16 software engineers (two per diagram, split labels resolved by the researchers); 253 pairwise preferences between justifications; precision, recall, F1, quadratic weighted kappa, bootstrap intervals, chi-square test.</t>
  </si>
  <si>
    <t>SF29</t>
  </si>
  <si>
    <t>FS44</t>
  </si>
  <si>
    <t>S5-F04; cites S5</t>
  </si>
  <si>
    <t>ICSE-Companion '26, 2026 IEEE/ACM 48th International Conference on Software Engineering: Companion (Rio de Janeiro, 12-18 April 2026), pp. 487-491 (ACM); DOI 10.1145/3774748.3795871</t>
  </si>
  <si>
    <t>Vision paper: an envisioned pipeline, with planned steps and challenges, for extracting architectural knowledge from heterogeneous artefacts, linking and checking it for consistency, keeping it in a knowledge base and answering questions over it.</t>
  </si>
  <si>
    <t>None run; LLMs are planned for knowledge extraction, inconsistency detection, an agent that monitors artefacts, and retrieval-augmented question answering.</t>
  </si>
  <si>
    <t>Architectural knowledge management (proposed): extracting architectural elements, decisions and rationale from requirements, documentation, code and diagrams, detecting mismatches between documented and implemented structures, and keeping a structured architecture knowledge base current.</t>
  </si>
  <si>
    <t>None; each planned step is to be evaluated empirically, starting with a literature review and a taxonomy of architectural knowledge types.</t>
  </si>
  <si>
    <t>F9</t>
  </si>
  <si>
    <t>FS45</t>
  </si>
  <si>
    <t>S7-F04, S8-F09, S9-F07, S10-F07; cites S7, S8, S9, S10</t>
  </si>
  <si>
    <t>ICSA-C 2025, 2025 IEEE 22nd International Conference on Software Architecture Companion (IEEE), pp. 291-299; DOI 10.1109/ICSA-C65153.2025.00049; IEEE Xplore version read</t>
  </si>
  <si>
    <t>Primary empirical study: a prompting pipeline that generates UML component diagrams from informal specifications, a graph-based formal characterisation of component diagrams, and quantitative indicators derived from it, applied to 12 course exam traces.</t>
  </si>
  <si>
    <t>GPT-4o through ChatGPT (December 2024 version) in the pipeline; Meta-Llama-3-8B-Instruct, Llama-3-13B-Instruct and NeuralHermes 2.5 Mistral 7B (quantised, run locally) only in preliminary trials; one system prompt with one worked example; no fine-tuning.</t>
  </si>
  <si>
    <t>Architecture generation: drafting a UML component diagram (components, interfaces, exposes and requires relations, and interface methods, in PlantUML) from an informal natural-language description of a system.</t>
  </si>
  <si>
    <t>12 exam traces (plus one used in the prompt) from an M.Sc. software engineering course at Politecnico di Milano (2020-2024), with ground-truth diagrams from the course professors; 21 indicators of topology, syntactic correctness, semantic correctness and complexity against the ground truth, reported per trace and in aggregate; no statistics or baselines.</t>
  </si>
  <si>
    <t>SF30</t>
  </si>
  <si>
    <t>FS46</t>
  </si>
  <si>
    <t>S7-F27, S10-F48; cites S7, S10</t>
  </si>
  <si>
    <t>AISM '26, 2nd International Workshop on AI for Software Modernization (ASE 2026, Munich, 12-16 October 2026), ACM, 9 pp.; DOI 10.1145/3843775.3844549; received 11 August, accepted 23 August 2026; arXiv 2608.28403v1 (28 August 2026) read, with the ACM reference block</t>
  </si>
  <si>
    <t>Primary empirical study (industrial case study, mixed methods): a five-step LLM pipeline that recovers C4 System Context and Container diagrams from historical agile work items, evaluated by expert interviews, a traceability analysis and a stability analysis over repeated runs.</t>
  </si>
  <si>
    <t>GPT-5.1 (version 2025-11-13) on a private EU-hosted Azure OpenAI instance; temperature 0.01, top_p 1.0, fixed seed 42; a two-step prompt chain with a JSON schema, structured chain-of-thought, a one-shot C4 example and negative constraints; no fine-tuning.</t>
  </si>
  <si>
    <t>Architecture recovery and documentation: deriving a system's C4 System Context (Level 1) and Container (Level 2) diagrams, with trace links to the source tickets, from Azure DevOps epics, features, user stories and tasks rather than from code.</t>
  </si>
  <si>
    <t>Two internal projects of a European technology and consulting company (89 and 193 work items), with a third project used only for calibration; semi-structured interviews with three senior practitioners analysed by thematic synthesis; a traceability analysis of four discrepancies they flagged; 10 runs per project (40 diagrams) measuring node and edge counts (mean, median, mode, SD, coefficient of variation).</t>
  </si>
  <si>
    <t>F6</t>
  </si>
  <si>
    <t>FS47</t>
  </si>
  <si>
    <t>S7-F35, S22-F01; cites S7, S22</t>
  </si>
  <si>
    <t>ICSA-C 2026, 2026 IEEE 23rd International Conference on Software Architecture Companion (IEEE), pp. 114-117; DOI 10.1109/ICSA-C68850.2026.00029; IEEE Xplore version read</t>
  </si>
  <si>
    <t>Short paper (framework with a case study): LLM-built, provenance-aware knowledge graph of requirement-architecture relations and a human-on-the-loop, LLM-driven trade-off analysis over it, demonstrated on one automotive decision.</t>
  </si>
  <si>
    <t>GPT-4o (temperature 0.7) for knowledge-graph construction and agentic exploration; OpenAI text-embedding-3-small for embeddings; staged extraction prompts and template-constrained queries; no fine-tuning.</t>
  </si>
  <si>
    <t>Design decision support: compiling an evidence-backed trade-off table (explanations and +/0/- impact labels per requirement) for architectural alternatives, here centralized versus decentralized automotive ECU architectures, from requirement-architecture relations extracted from research papers.</t>
  </si>
  <si>
    <t>One case study, centralized versus decentralized ECU architectures, over three paper sets retrieved from OpenAlex (4, 36 and 43 papers; title, abstract and introduction only); an expert working from papers as baseline, an expert with the knowledge graph only, and non-experts with the full loop, plus runs constrained to the baseline comparison points; time, coverage, new points, impact-label agreement and cited nodes; no statistics; number of participants and runs not stated.</t>
  </si>
  <si>
    <t>SF31</t>
  </si>
  <si>
    <t>FS48</t>
  </si>
  <si>
    <t>S7-F52, S7-F30; cites S7</t>
  </si>
  <si>
    <t>ECSA 2026, European Conference on Software Architecture, LNCS 16991, pp. 99-114 (Springer, dated 2027); DOI 10.1007/978-3-032-39143-8_11; published version read; earlier arXiv version 2605.20055 (S7-F30)</t>
  </si>
  <si>
    <t>Primary study (approach with a case study): a staged, blueprint-guided pipeline of LLM agents that recovers hierarchical structural architecture models of ROS 2 systems, extending the authors' earlier preprint.</t>
  </si>
  <si>
    <t>An external LLM, not named, called by agents (NodeAnalyzer, LaunchFileAnalyzer, ComponentArchitectureTeam, SystemArchitectureTeam) through role-based prompt templates; settings not reported; no fine-tuning.</t>
  </si>
  <si>
    <t>Architecture recovery: reconstructing component-level models of atomic ROS 2 nodes with typed ports and a system-level model of launch-induced node instances and composed subsystems, in PlantUML, from source code and launch files.</t>
  </si>
  <si>
    <t>One open-source ROS 2 repository (BrickByBrick, about 1,500 lines of Python, 4 packages, 10 node classes, 1 launch file, 20 topics); recovered models compared element-wise with a reference model the authors built by hand; precision, recall and F1 macro-averaged over element types; number of runs not stated; no baseline in this paper.</t>
  </si>
  <si>
    <t>FS49</t>
  </si>
  <si>
    <t>S8-F22; cites S8</t>
  </si>
  <si>
    <t>Position paper (industrial experience with a preliminary evaluation): challenges of architecture work at Volvo Construction Equipment and four use cases for AI support, one of them evaluated.</t>
  </si>
  <si>
    <t>meta-llama-3-3-70b-instruct, used through prompting; settings, prompts and runs not reported; no fine-tuning reported.</t>
  </si>
  <si>
    <t>Allocating functional requirements to the modules of a product-line reference architecture that should realise them (evaluated); generating ADRs from development data, deriving architectural concerns from requirements and proposing component designs (planned).</t>
  </si>
  <si>
    <t>Preliminary evaluation: five functional requirements of an articulated hauler (emergency stop, acceleration control, headlight, dump body, wiper) mapped to 40 reference-architecture modules; ground truth from past feature development; classification accuracy per requirement and mean accuracy; no baseline; number of runs not stated.</t>
  </si>
  <si>
    <t>SF32</t>
  </si>
  <si>
    <t>FS50</t>
  </si>
  <si>
    <t>S8-F30, S10-F40; cites S8, S10</t>
  </si>
  <si>
    <t>SWQD 2026 (Software Quality Days), in 'Software Architecture as the Backbone of Software Quality', LNBIP 581, pp. 65-81 (Springer, 2026; first online 22 April 2026); DOI 10.1007/978-3-032-24216-7_4; version read: the PDF sent, an earlier version with 13 references (the published list has 17)</t>
  </si>
  <si>
    <t>Primary study (tool with an exploratory evaluation): Quasar, an LLM-based tool that scores the architecture documentation of open-source solutions on a digital marketplace, compared with software architects.</t>
  </si>
  <si>
    <t>Qwen2 (multimodal, text and images) and Llama 3.1 (text), hosted locally on three NVIDIA Tesla V100 GPUs; sizes and settings not reported; one prompt per evaluation criterion; no retrieval-augmented generation; no fine-tuning.</t>
  </si>
  <si>
    <t>Architecture documentation evaluation: rating the architecture documentation of a system against 25 criteria (introduction and goals, requirements, constraints, stakeholders, context, solution concepts, design decisions, decomposition, data flow, deployment, technologies, modules, data model) on a 0-4 agreement scale.</t>
  </si>
  <si>
    <t>Exploratory comparison on two open-source projects from the marketplace (one with comprehensive, one with basic documentation): three Quasar runs per project against the ratings of two software architects on the same 25 statements; run-to-run consistency, average deviation from the human rating and processing time; no official reference evaluation.</t>
  </si>
  <si>
    <t>SF33</t>
  </si>
  <si>
    <t>FS51</t>
  </si>
  <si>
    <t>S8-F38; cites S8</t>
  </si>
  <si>
    <t>ECSA 2026, European Conference on Software Architecture, Research track (accepted; listed in the conference programme); version read: arXiv 2609.07375v1 (7 September 2026); published chapter not found</t>
  </si>
  <si>
    <t>Primary study (repository mining with an LLM-based analysis pipeline): topic modelling, LLM-based classification of ADRs by decision taxonomies and LLM-as-a-judge checks against the MADR template, applied to ADRs from open-source projects.</t>
  </si>
  <si>
    <t>GPT-4.1-mini through LangChain at temperature 0, each ADR processed independently; zero-shot, static few-shot with chain-of-thought-style instructions, and dynamic few-shot prompting; BERTopic and all-MiniLM-L6-v2 embeddings for topics and the baseline; no fine-tuning.</t>
  </si>
  <si>
    <t>Architecture decision analysis: classifying ADRs by Kruchten's decision types, Zimmermann's concern categories and quality attributes, and checking the presence, content quality and purpose consistency of five MADR sections.</t>
  </si>
  <si>
    <t>Classifier calibrated on a 200-ADR ground truth labelled by two authors (50 double-labelled), against an embedding-based XGBoost baseline; 100 LLM-as-a-judge assessments reviewed by two authors; then applied to 4,316 ADRs from 547 GitHub projects (Buchgeher et al. dataset, 2013-2020); agreement given as a range (46-66%).</t>
  </si>
  <si>
    <t>F2</t>
  </si>
  <si>
    <t>FS52</t>
  </si>
  <si>
    <t>S8-F57; cites S8</t>
  </si>
  <si>
    <t>AISecDev 2026 (Secure Software Development in the Age of AI), workshop co-located with CBSoft 2026, São Paulo, 8 September 2026; 4 pp.; PDF sent read; where the workshop papers are published is not stated</t>
  </si>
  <si>
    <t>ArchSec.AI built with LangChain over a vector store of a curated security-pattern corpus; its generating model is not named (temperature 0.1, top_p 0.2, maximum 2,048 tokens, top-k 6 chunks); zero-shot chain-of-thought prompt template; judge: OpenAI GPT-4 ("GPT 4.0") at temperature 0 with text-embedding-ada-002, through RAGAs 0.4.3; no fine-tuning.</t>
  </si>
  <si>
    <t>Design decision support: recommending security architectural patterns for a system with stated domain, security attribute, requirements and security problem, grounded in a corpus of patterns from a systematic mapping.</t>
  </si>
  <si>
    <t>Exploratory study: five questions built from five security patterns selected at random from the corpus, with reference answers summarised from the pattern descriptions; faithfulness, answer relevance, context precision and context recall scored by an LLM judge with RAGAs against a 0.85 threshold; one run per question as far as reported; no statistical test.</t>
  </si>
  <si>
    <t>FS53</t>
  </si>
  <si>
    <t>S10-F18; cites S10</t>
  </si>
  <si>
    <t>Primary study: an LLM-based process and open-source tool (CIAO) for generating system-level architecture documentation from repositories, with a user study.</t>
  </si>
  <si>
    <t>GPT-5 (default), chosen in a qualitative pilot over Claude Sonnet 4.5, Gemini 2.5 and Mistral Large 2; the repository is flattened with Repomix and appended to each section prompt; role and instruction prompting with few-shot Markdown and PlantUML skeletons; model settings not reported; no fine-tuning or retrieval.</t>
  </si>
  <si>
    <t>Architecture recovery and documentation: writing system-level architecture documentation of an existing system (context, containers, components, code-level mapping, cross-cutting concerns, quality attributes and rationale, deployment, with PlantUML diagrams) from its source code and configuration.</t>
  </si>
  <si>
    <t>User study: 22 participants each rated the documentation generated for a repository they had contributed to, on 25 five-point Likert items and five open questions (thematic analysis by two coders); generation time and API cost per repository; no baseline or ground truth; preceded by a qualitative model-selection pilot on three repositories.</t>
  </si>
  <si>
    <t>FS54</t>
  </si>
  <si>
    <t>S10-F19; cites S10</t>
  </si>
  <si>
    <t>Primary study (short workshop paper, preliminary results): a Bloom's-taxonomy question set for assessing an LLM's knowledge of a front-end (VIPER) architecture, applied to one model.</t>
  </si>
  <si>
    <t>ChatGPT 4 Turbo (2024-04-09) through the OpenAI API; GPT-3.5 Turbo used only to pilot the wording of the questions; one fixed prompt template with the project tree and no code; settings not reported; no fine-tuning or retrieval.</t>
  </si>
  <si>
    <t>Architecture comprehension, conformance checking and design for an existing iOS app built on VIPER: identifying the role of files in modules, explaining their purpose, describing data flows between VIPER elements, detecting deviations from VIPER, critiquing the architecture and proposing new feature modules.</t>
  </si>
  <si>
    <t>Exploratory evaluation: 42 open-ended questions (43 in the text) across six Bloom levels on one small Swift project, answered once and graded correct (1), partially correct (0.5) or incorrect (0), with the mean per level; no baseline, no second rater, no statistics.</t>
  </si>
  <si>
    <t>SF34</t>
  </si>
  <si>
    <t>FS55</t>
  </si>
  <si>
    <t>S10-F22; cites S10</t>
  </si>
  <si>
    <t>Primary study (early-career paper on ongoing PhD research): research plan, a prototype tool (MicroPAD) and early experiments.</t>
  </si>
  <si>
    <t>OpenAI GPT-4o mini through the ChatGPT API, chosen for cost after informal trials of GPT-4o, Gemini variants and small local models; pattern catalogue and instructions sent with chunked IaC files; settings and prompt text not reported; no fine-tuning or retrieval.</t>
  </si>
  <si>
    <t>Architecture recovery: detecting which microservice architecture patterns (24 from Richardson's catalogue, mainly deployment, discovery, communication, observability and data patterns) a system implements, from its infrastructure-as-code artefacts, with evidence snippets, justification and certainty.</t>
  </si>
  <si>
    <t>Early experiment: 22 GitHub repositories (top-starred with the microservices tag, after exclusions), three runs each; precision of high-certainty detections judged by one researcher (83% reported); recall not assessed; cost recorded; no baseline.</t>
  </si>
  <si>
    <t>SF35</t>
  </si>
  <si>
    <t>FS56</t>
  </si>
  <si>
    <t>S10-F32, S11-F145; cites S4, S10, S11</t>
  </si>
  <si>
    <t>GPT-4o mini (2024-07-18) and o3-mini (2025-01-31) through the OpenAI API; Llama 3.3 70B, Qwen2.5 72B, Qwen2.5-Coder 32B and DeepSeek-R1 70B run locally without Internet access; zero-shot; source code given through a file-reading tool (function calling) or inlined; settings not reported; no fine-tuning or retrieval.</t>
  </si>
  <si>
    <t>Architecture comprehension of existing ensemble-based collective adaptive systems: identifying components and ensembles, describing overall functionality, ensemble roles and membership conditions, and predicting which ensembles form in a given state, from DEECo specifications in three DSLs.</t>
  </si>
  <si>
    <t>Exploratory evaluation: six questions in three steps on three DEECo applications (EDL/Java, TCOOF-ADL/Scala, ML-DEECo/Python) with plain, hinted and paper-supported variants, two access approaches and an anonymised application; answers judged by the authors and reported descriptively; ensemble instantiation checked against a modified ML-DEECo runtime.</t>
  </si>
  <si>
    <t>FS57</t>
  </si>
  <si>
    <t>S11-F35; cites S11</t>
  </si>
  <si>
    <t>JMIR Human Factors 11, e52885 (submitted 18 September 2023, accepted 15 December 2023, published 6 March 2024); DOI 10.2196/52885</t>
  </si>
  <si>
    <t>Primary study (case study): ChatGPT-4 recreates a previously built digital health intervention across the life cycle, with expert ratings of its outputs against the human-made ones.</t>
  </si>
  <si>
    <t>ChatGPT-4 with the available plugins, through the chat interface; role prompting (researcher, architect, developer, software engineer) with iterative re-prompting; version and settings not reported; no fine-tuning or retrieval.</t>
  </si>
  <si>
    <t>Generating the architectural diagram of a personalised automatic messaging system for a digital diabetes prevention programme from ChatGPT-generated requirements and stated constraints (AWS, a microservice approach, REDCap, Twilio).</t>
  </si>
  <si>
    <t>Single case with expert rating: 11 evaluators (clinicians, behavioural scientists, programmers, research staff; 2 with computer-science backgrounds) rated ChatGPT's outputs against the team's own on Likert scales (understandability, novelty, usability, relevance, efficiency, bias, overall), followed by a group debrief; the architecture diagram and code were rated together; results reported narratively without numbers.</t>
  </si>
  <si>
    <t>SF36</t>
  </si>
  <si>
    <t>FS58</t>
  </si>
  <si>
    <t>S11-F49, S11-F257; cites S11</t>
  </si>
  <si>
    <t>ENASE 2024 (19th International Conference on Evaluation of Novel Approaches to Software Engineering, SciTePress), pp. 406-413; DOI 10.5220/0012631600003687; arXiv 2310.13648v2 read</t>
  </si>
  <si>
    <t>Primary study (project-based study with entry and exit surveys) by the authors of S11.</t>
  </si>
  <si>
    <t>ChatGPT (GPT-3.5 and GPT-4), used freely by students as a development bot; prompts, settings and conversations not reported.</t>
  </si>
  <si>
    <t>Students used ChatGPT in the design and architecture phase of three real projects; the survey reports their agreement that it produced clearer, scalable architectures, aligned architectural decisions with constraints and supported architecture representation and decision-making.</t>
  </si>
  <si>
    <t>Project-based study: 7 novice undergraduates in two teams, three projects over three months; entry survey (53 questions) and exit survey (114 Likert questions); descriptive statistics and open coding of a few open answers; no artefacts or conversations analysed.</t>
  </si>
  <si>
    <t>F8</t>
  </si>
  <si>
    <t>FS59</t>
  </si>
  <si>
    <t>S11-F54; cites S11</t>
  </si>
  <si>
    <t>MODELSWARD 2024 (12th International Conference on Model-Based Software and Systems Engineering, SciTePress), pp. 27-38; DOI 10.5220/0012320100003645; HAL author version read</t>
  </si>
  <si>
    <t>Primary study: approach (TTool-AI) with an evaluation against students.</t>
  </si>
  <si>
    <t>GPT-3.5 Turbo (16k context) through the OpenAI API, with knowledge injected as input-answer pairs and an automated feedback loop; no fine-tuning; settings not reported.</t>
  </si>
  <si>
    <t>Generating SysML block diagrams (blocks, attributes, signals, ports, connections) and block state machines from natural-language specifications of embedded and cyber-physical systems.</t>
  </si>
  <si>
    <t>Comparison on three systems from European projects (platooning, space-based system, automated braking) with about 15 master's students, graded out of 100 with the same criteria (adequacy to the specification, simulated behaviour, exchanges between blocks, readability, naming, syntax), plus generation time; models and results shared publicly.</t>
  </si>
  <si>
    <t>SF37</t>
  </si>
  <si>
    <t>FS60</t>
  </si>
  <si>
    <t>S11-F64; cites S11</t>
  </si>
  <si>
    <t>MODELS '24 (ACM/IEEE 27th International Conference on Model Driven Engineering Languages and Systems), 11 pp.; DOI 10.1145/3640310.3674079</t>
  </si>
  <si>
    <t>GPT-3.5 for diagram generation in two systems and GPT-4 for the third and for detection and correction (Section 4 names GPT-4-turbo and GPT-4o); through the OpenAI API; settings not reported.</t>
  </si>
  <si>
    <t>Generating SysML block diagrams and use case diagrams from specifications, then detecting and correcting inconsistencies within each and between the block diagram (the logical architecture) and the use cases.</t>
  </si>
  <si>
    <t>Three systems (automated braking, space-based system, dynamic positioning), two block and two use case diagrams each, checked in all pairings (24 diagram checks); counts of internal and cross-diagram inconsistencies detected, erroneous detections and corrections; classification by the authors; models in a Zenodo archive.</t>
  </si>
  <si>
    <t>FS61</t>
  </si>
  <si>
    <t>S11-F62; cites S11</t>
  </si>
  <si>
    <t>Information (MDPI) 16, article 565; DOI 10.3390/info16070565</t>
  </si>
  <si>
    <t>Primary study: empirical evaluation (student survey) of LLM-generated UML diagrams, with a rule-based prompt framework.</t>
  </si>
  <si>
    <t>GPT-4-turbo only, one zero-shot prompt per diagram; access route, settings and number of runs not reported.</t>
  </si>
  <si>
    <t>Generating a UML deployment diagram (nodes, execution environments, artefacts and communication paths across client, application and database tiers) for a textbook system as PlantUML code; the class, use case and sequence diagrams generated alongside are not architectural.</t>
  </si>
  <si>
    <t>Survey of 121 students (80 undergraduate, 41 graduate) at three U.S. universities rating element by element the completeness and correctness of four generated and four textbook diagrams for one system, with paired t-tests, Wilcoxon signed-rank tests and Cohen's d; plus the authors' rule-based completeness and constraint-satisfaction check of each diagram (appendices).</t>
  </si>
  <si>
    <t>SF38</t>
  </si>
  <si>
    <t>FS62</t>
  </si>
  <si>
    <t>S11-F88; cites S11</t>
  </si>
  <si>
    <t>SN Computer Science 6, article 886 (Springer); DOI 10.1007/s42979-025-04444-w</t>
  </si>
  <si>
    <t>Generating SysML block diagrams (the structure of the system to be built) from textual specifications and updating them incrementally from textual change requests through generated mutation scripts; requirements, use case diagrams, state machines and safety properties are generated alongside.</t>
  </si>
  <si>
    <t>FS63</t>
  </si>
  <si>
    <t>S11-F89; cites S11</t>
  </si>
  <si>
    <t>SN Computer Science 5, article 422 (Springer); DOI 10.1007/s42979-024-02664-0</t>
  </si>
  <si>
    <t>Primary study: experiment on architecture question answering with three knowledge bases.</t>
  </si>
  <si>
    <t>gpt-3.5-turbo-16k through the OpenAI API, unmodified; role, context and task prompts; temperature not reported.</t>
  </si>
  <si>
    <t>Answering questions about a microservice system's service view (endpoint details) and service-interaction view (remote calls, call chains, dependencies) from source code, a reconstructed persistence-aware component call graph (PO-CCG) in natural language, or both.</t>
  </si>
  <si>
    <t>Experiment on the TrainTicket benchmark (41 microservices) with 33 questions in three categories, each run three times per knowledge base; F1 from correct, spurious and missing items against answers taken from the code; Friedman tests with Nemenyi and Conover post-hoc tests; questions and answers on Zenodo.</t>
  </si>
  <si>
    <t>SF39</t>
  </si>
  <si>
    <t>FS64</t>
  </si>
  <si>
    <t>S11-F119; cites S11</t>
  </si>
  <si>
    <t>Ital-IA 2024 (4th National Conference on Artificial Intelligence, CINI, Naples), CEUR Workshop Proceedings, 6 pp.</t>
  </si>
  <si>
    <t>Primary study: preliminary case study.</t>
  </si>
  <si>
    <t>ChatGPT with GPT-3.5, one chat per project with a role prompt; settings not reported.</t>
  </si>
  <si>
    <t>Generating a web platform's System Design Document (design goals, subsystem division, software/hardware mapping, boundary conditions) from the problem statement and earlier artefacts; the rest of the waterfall documentation is generated alongside.</t>
  </si>
  <si>
    <t>One student project (Rojina Review) as oracle; three authors compare each generated artefact with the project's own until it is acceptable and rate the effort (number of prompts and manual corrections) as low, medium or high.</t>
  </si>
  <si>
    <t>SF40</t>
  </si>
  <si>
    <t>FS65</t>
  </si>
  <si>
    <t>S11-F133; cites S11</t>
  </si>
  <si>
    <t>Vision paper with a preliminary experiment and research directions.</t>
  </si>
  <si>
    <t>GPT-4, prompted in four formats (plain text, structured text, JSON configuration, code templates); access route and settings not reported.</t>
  </si>
  <si>
    <t>Selecting the architectural pattern of serverless (FaaS) applications from their requirements and, as proposed, translating it into functions, events and resources; code and deployment instructions are generated alongside.</t>
  </si>
  <si>
    <t>Preliminary experiment on three serverless scenarios deployed to Azure Functions, with observations reported without data; proposed research directions.</t>
  </si>
  <si>
    <t>SF41</t>
  </si>
  <si>
    <t>FS66</t>
  </si>
  <si>
    <t>S11-F165; cites S11</t>
  </si>
  <si>
    <t>Software and Systems Modeling (Springer, 2026), special section paper, 41 pp.; DOI 10.1007/s10270-026-01388-4</t>
  </si>
  <si>
    <t>OpenAI GPT: in the evaluation GPT 3.5 generated the diagrams of two systems and GPT 4 those of the third and performed detection and correction; GPT-5.1 was used once in the walkthrough to compare a use case diagram with a full design model; settings not reported.</t>
  </si>
  <si>
    <t>Detecting and correcting inconsistencies within and between a SysML block diagram (the structure of the system under design, with its state machines) and a use case diagram: the LLM lists inconsistencies, with optional cross-view rules, and TTool-AI's LLM+rule-based generation regenerates the diagrams to correct them; a method without an LLM checks the design model's logical dependencies against the use cases through dependency graphs.</t>
  </si>
  <si>
    <t>FS67</t>
  </si>
  <si>
    <t>S11-F147; cites S11</t>
  </si>
  <si>
    <t>Primary study: experiment comparing ChatGPT with the rule-based tool Archie in detecting architectural patterns and tactics in the source code of open-source systems</t>
  </si>
  <si>
    <t>ChatGPT through its chat interface with file upload, unmodified; the version is not named (GPT-4o is cited where ChatGPT is introduced); settings and runs not reported</t>
  </si>
  <si>
    <t>Architecture recovery from code: identifying the architectural patterns and tactics a system implements, from its whole zipped source code or from code snippets, and listing them in a table</t>
  </si>
  <si>
    <t>Comparison with Archie on five open-source systems (Apache Storm, Flink and Spark, Gradle, Maven), with results reported for Apache Flink only; true and false positives and false negatives judged by the authors without a stated reference set for each system (domain experts said to have been consulted on the patterns and tactics considered); precision, recall and accuracy</t>
  </si>
  <si>
    <t>SF42</t>
  </si>
  <si>
    <t>FS68</t>
  </si>
  <si>
    <t>S20-F01; cites S20</t>
  </si>
  <si>
    <t>ICSA 2026, 23rd IEEE International Conference on Software Architecture, pp. 44-55; DOI 10.1109/ICSA66085.2026.00011; IEEE Xplore version read</t>
  </si>
  <si>
    <t>Primary study: approach (ArchGuard) with an empirical evaluation on three open-source projects, built on a traceability method that links architectural smells to the issues that induced them</t>
  </si>
  <si>
    <t>OpenAI text-embedding-3-small embeddings with seven classical classifiers (best with SVM); RoBERTa fine-tuned for binary classification with issue chunking; GPT-5-mini prompted zero-shot; Sentence-BERT (paraphrase-mpnet-base-v2) and TF-IDF as further representations; sampling settings not reported</t>
  </si>
  <si>
    <t>Architecture analysis: predicting from an issue's title and description, when the issue is created, whether resolving it will introduce or expand an architectural smell (dependency cycle or hub-like component), as an early warning of architectural decay</t>
  </si>
  <si>
    <t>Within-project evaluation (two runs of five-fold cross-validation) on three GitLab projects (Inkscape, StackGres, Shepard; 37 releases, 7,715 issues), with labels from Arcade and Arcan smell evolution linked through issue-commit links; precision, recall and F1 on the smell-inducing class; Wilcoxon signed-rank tests against a random baseline; issue text alone against added pre-implementation comments; leave-one-project-out transfer</t>
  </si>
  <si>
    <t>FS69</t>
  </si>
  <si>
    <t>S20-F06; cites S20</t>
  </si>
  <si>
    <t>CAIS '26, ACM Conference on AI and Agentic Systems (San Jose, 26-29 May 2026), four-page paper with a demonstration scenario, pp. 1332-1335; DOI 10.1145/3786335.3813195</t>
  </si>
  <si>
    <t>Primary study: system (Sentinel) with a production deployment evaluation and a demonstration scenario; four-page paper</t>
  </si>
  <si>
    <t>Not named: two agents built on the AWS Strands agent framework with AWS AgentCore two-tier memory and MCP tool servers for GitHub, Confluence and Jira; a Claude Code skill provides the conversational query interface; no settings or fine-tuning reported</t>
  </si>
  <si>
    <t>Architecture conformance checking and drift detection: grouping commits across repositories into development initiatives, matching them to technical design documents and epics, and judging whether they conform to the TDDs and to ADR-prescribed patterns (for example event-bus communication or extracting a service), with violations flagged on pull requests before merge</t>
  </si>
  <si>
    <t>Production deployment over eight weeks (120+ microservices, 20 teams, 2,400+ commits): counts of initiatives and drift flags, the true-positive rate of 18 flags judged by automated trace-rule checks and architects, and average time to flag; no recall; demonstration on six LangChain repositories with 100 pull requests and synthetic TDDs and ADRs</t>
  </si>
  <si>
    <t>SF43</t>
  </si>
  <si>
    <t>Study</t>
  </si>
  <si>
    <t>Meaning unit</t>
  </si>
  <si>
    <t>Code</t>
  </si>
  <si>
    <t>Sub-theme</t>
  </si>
  <si>
    <t>Theme</t>
  </si>
  <si>
    <t>Source</t>
  </si>
  <si>
    <t>Row type</t>
  </si>
  <si>
    <t>Approach/Type</t>
  </si>
  <si>
    <t>For greenfield projects the review reports tools that derive microservice boundaries from requirements artefacts: SEMGROMI groups user stories by NLP semantic similarity, GTMicro clusters use cases with a BERT-based model, and GreenMicro clusters use cases with their database entities, which the review notes is not itself an AI technique.</t>
  </si>
  <si>
    <t>Service identification from user stories and use cases in greenfield design</t>
  </si>
  <si>
    <t>1.1 Architecture generation and synthesis from requirements</t>
  </si>
  <si>
    <t>T1. LLMs Application / Usage for Architecture Design</t>
  </si>
  <si>
    <t>Sections 1, 2 and 5.2 (Q1, Q5), pp. 2, 4-5, 11, 13</t>
  </si>
  <si>
    <t>Evidenced</t>
  </si>
  <si>
    <t>T1: design production (1.1-1.3)</t>
  </si>
  <si>
    <t>Architecture generation is the purpose of 19% (9) of the sources, and requirements to architecture is the most targeted life-cycle transition (40%, 24), with models mapping textual specifications into architectural representations, for example microservice names from functional requirements, UML component diagrams from informal specifications and SysML system architectures in model-based systems engineering.</t>
  </si>
  <si>
    <t>Requirements-to-architecture is the most targeted transition</t>
  </si>
  <si>
    <t>Sections 4.2.1, 4.3.1 and 4.3.4; Tables 11 and 14, pp. 7, 9, 11, 13</t>
  </si>
  <si>
    <t>The model helps produce an architecture, a named module hierarchy, but from source code and the output of recovery tools, not from requirements; it reconstructs what is implemented rather than synthesising a design.</t>
  </si>
  <si>
    <t>Architecture produced from code, not from requirements</t>
  </si>
  <si>
    <t>Abstract; Sections 1 and 3, pp. 1687-1690</t>
  </si>
  <si>
    <t>Related activity</t>
  </si>
  <si>
    <t>Models generate a microservice architecture (services, their responsibilities and the communications between them, as CSV) from natural-language documentation of a modular monolith, aimed at early modernisation when source code and runtime traces are unavailable.</t>
  </si>
  <si>
    <t>Microservice architecture generated from textual documentation</t>
  </si>
  <si>
    <t>Abstract; Sections 1 and 3, pp. 1-4</t>
  </si>
  <si>
    <t>Taking the role of an expert architect, the model generates several software architectures that meet the supplied requirements, to serve as references against which students' proposals are compared; teachers can inspect and refine them.</t>
  </si>
  <si>
    <t>Reference architectures generated from requirements</t>
  </si>
  <si>
    <t>Section III-C, p. 94; Section IV, pp. 95-96</t>
  </si>
  <si>
    <t>Following Attribute-Driven Design, the model turns prioritised architectural drivers (primary functional requirements, quality attribute scenarios, concerns, constraints) into an iteration plan and a complete architecture: domain model, container, component and sequence diagrams, interfaces and design decisions.</t>
  </si>
  <si>
    <t>Complete architecture designed from prioritised drivers</t>
  </si>
  <si>
    <t>Abstract; Sections III-IV, pp. 1, 3-7</t>
  </si>
  <si>
    <t>On a published case (hotel pricing) the generated design resembled the book's proven, deployed solution (CQRS, microservices behind an API gateway, event-driven communication) while being more detailed; on an unpublished warehouse management system, four professional architects gave average ratings of 4 or above (1-5 scale) for four of seven drivers and at least 3.25 for the rest.</t>
  </si>
  <si>
    <t>Designs comparable to a proven solution and rated as satisfying drivers</t>
  </si>
  <si>
    <t>Section VI-A; Tables IV-V, pp. 10-12</t>
  </si>
  <si>
    <t>The model does not produce an architecture: the reference architecture (FLRA) and its three patterns are fixed in advance, and the model only chooses which combination of them is active in the next round.</t>
  </si>
  <si>
    <t>Configuration chosen, no architecture produced</t>
  </si>
  <si>
    <t>Sections 4.2-4.4, pp. 5-7</t>
  </si>
  <si>
    <t>The pipeline recovers an architecture from a repository rather than designing one from requirements; the authors set forward-design agent systems (MASC4, ReArch) apart from recovery.</t>
  </si>
  <si>
    <t>Architecture recovered from code, not designed</t>
  </si>
  <si>
    <t>Section II-D, p. 536</t>
  </si>
  <si>
    <t>Four LLM-based agents are specified to design a system's architecture from its software requirements specification: an Analyst extracts, filters and classifies the architecturally significant requirements, a Modeler makes the high-level decisions and produces conceptual logical and physical views, a Designer refines them into class, sequence and deployment diagrams, and an Evaluator checks the artefacts against the specification; the design ends when the Evaluator confirms them.</t>
  </si>
  <si>
    <t>Agents specified to design an architecture from requirements</t>
  </si>
  <si>
    <t>Abstract; Sections 1 and 2.1, pp. 530-531; Figs. 1-2</t>
  </si>
  <si>
    <t>Three of the five benchmark tasks generate implementations from specifications, requirements or runtime context (serverless functions, IoT services, microservices with controllers, services, data models and configuration), next to architecture rather than architecture itself, although the selection follows a taxonomy that includes requirements-to-architecture transformation.</t>
  </si>
  <si>
    <t>Code-generation tasks beside the architectural ones</t>
  </si>
  <si>
    <t>Section II; Table I, pp. 2-3</t>
  </si>
  <si>
    <t>From a textual project description and requirements, the mentor leads a student through seven steps distilled from 18 software engineers: project idea, user needs and requirements, a basic conceptual architecture, essential components, their relationships, additional components and a textual summary of the architecture.</t>
  </si>
  <si>
    <t>Guided design from description and requirements in seven steps</t>
  </si>
  <si>
    <t>Sections 3.3 and 4, pp. 4-5</t>
  </si>
  <si>
    <t>Three LLMs generate a high-level UML component architecture in PlantUML from the natural-language description of each of two open-source systems, stripped of implementation detail, and the result is compared with the architecture documented in the repository.</t>
  </si>
  <si>
    <t>Component architecture generated from a textual description</t>
  </si>
  <si>
    <t>Abstract; Sections I, III and IV-A, pp. 399-402</t>
  </si>
  <si>
    <t>Pairs designed a mobile campus bicycle-parking app from a requirements document; three pairs had the LLM produce the whole design document, two of them as overviews of the core architectural components and their interactions and one with class and deployment diagrams, and generator pairs had it draft parts such as a deployment diagram, a data model and API definitions.</t>
  </si>
  <si>
    <t>Whole designs or parts drafted by the model from requirements</t>
  </si>
  <si>
    <t>Sections 3.1 and 4.2.1, pp. 1784-1787</t>
  </si>
  <si>
    <t>From the natural-language requirements of two systems (Bookstore and PetClinic, at least ten functional requirements each), the model proposes microservices with names and responsibilities and the interactions between them, and the proposals are compared with the implemented architectures of the systems.</t>
  </si>
  <si>
    <t>Microservice architecture generated from textual requirements</t>
  </si>
  <si>
    <t>Abstract; Sections 3-4, pp. 79, 81-84</t>
  </si>
  <si>
    <t>Zero-shot, the model matched 11 of 14 expected services, missing services mentioned only once in the requirements, and 32 of 38 expected links with 34 extra ones; with one example it matched all 14 services with one extra, and 36 of 38 links with 12 extra ones.</t>
  </si>
  <si>
    <t>Most services and links recovered; one example closes most gaps</t>
  </si>
  <si>
    <t>Sections 4.1-4.2; Tables 1-2, pp. 83-84</t>
  </si>
  <si>
    <t>The authors' forthcoming low-code, template-based approach uses LLMs with a human in the loop to generate, validate and deploy MLOps and RLOps pipeline configurations, reported as evaluated with seven LLMs and 'very low error rates'; the object is the pipeline configuration, not the architecture of the system.</t>
  </si>
  <si>
    <t>Pipeline configurations generated, not system architecture</t>
  </si>
  <si>
    <t>Sections 3 and 3.1, pp. 160-161</t>
  </si>
  <si>
    <t>Models generate an architecture as a UML class diagram in PlantUML from a system's requirements, in an explicitly requested style: client-server, three-tier or MVC for a small coordinate converter (about 500 scenarios) and microservices for a chart-making web service, each configuration from one self-contained prompt executed once.</t>
  </si>
  <si>
    <t>Architecture generated in a requested style from requirements</t>
  </si>
  <si>
    <t>Abstract; Sections 1 and 3.2-3.3, pp. 1-2, 7-10</t>
  </si>
  <si>
    <t>Most models applied the simpler patterns in recognisable form, but with misplaced responsibilities, unnecessary tiers and unclear separation of concerns; for microservices only larger models kept service-level data ownership, loose coupling and clear boundaries, while smaller ones fell back to central data storage and blurred services.</t>
  </si>
  <si>
    <t>Simple patterns mostly applied; microservices only by large models</t>
  </si>
  <si>
    <t>Section 4.2, RQ1; Fig. 9, p. 15</t>
  </si>
  <si>
    <t>In offline prompting the model writes the Python adaptation manager before the system runs, from the same specification; the output is code for the adaptation logic rather than an architecture, and of the first 18 managers only two kept damage below 25%.</t>
  </si>
  <si>
    <t>Adaptation manager code generated offline; mostly poor</t>
  </si>
  <si>
    <t>Sections 3, 5 and 6.5, pp. 2, 5, 8</t>
  </si>
  <si>
    <t>Three models (OpenAI o3, DeepSeek-V3, Claude 3.5 Sonnet) propose microservices with responsibilities and directed inter-service links from the requirements of Bookstore and PetClinic, zero-shot and with one example, and are compared with reference decompositions.</t>
  </si>
  <si>
    <t>Microservices and links generated by three models from requirements</t>
  </si>
  <si>
    <t>Abstract; Sections 3 and 4, pp. 1-5</t>
  </si>
  <si>
    <t>All models recovered the core services that are lexically salient in the requirements and missed the same low-salience service in Bookstore; averaged over systems and prompts, service F1 was about 0.95 (Claude), 0.93 (OpenAI) and 0.86 (DeepSeek), and link F1 about 0.74, 0.62 and 0.72.</t>
  </si>
  <si>
    <t>Core services agreed; cross-cutting ones missed; link F1 lower</t>
  </si>
  <si>
    <t>Abstract; Sections 4.1-4.2; Tables 1-2, pp. 1, 4-6</t>
  </si>
  <si>
    <t>The agent generates candidate designs and views from the requirements the architect frames; in the prototype, problem-framing input is consolidated into a structured requirements artefact, and an architecture-as-code specification is generated and rendered as a UML class diagram with Mermaid and PlantUML.</t>
  </si>
  <si>
    <t>Candidate designs and architecture-as-code generated from requirements</t>
  </si>
  <si>
    <t>Sections 4.2-4.3; Table 2; Fig. 4, pp. 11-13</t>
  </si>
  <si>
    <t>GPT-4o-mini generates candidate microservice decompositions from user stories as JSON (services with operations and parameters, and directed inter-service calls) inside an elitist evolutionary loop; from the second generation the prompt adds one valid parent and up to three valid candidates from the search history, with design heuristics such as single responsibility, low coupling and clear bounded contexts.</t>
  </si>
  <si>
    <t>Microservice decompositions generated from user stories in an evolutionary loop</t>
  </si>
  <si>
    <t>Sections 3-4, pp. 367-368</t>
  </si>
  <si>
    <t>Across 22 story-card datasets, Lean-valid candidates rose from 74.5% to 99.5% in five generations and the average cohesion proxy improved from 0.29 to 0.23 (lower is better); the final candidate for one dataset separates identity, certification, course and notification concerns into services.</t>
  </si>
  <si>
    <t>Validity 74.5% to 99.5%; cohesion proxy improves</t>
  </si>
  <si>
    <t>Section 5; Figs. 2-4, pp. 368-369</t>
  </si>
  <si>
    <t>GPT-4o generates a UML component diagram in PlantUML, with components, interfaces, exposes and requires relations and the methods of each interface, from an informal natural-language description of a system, so that engineers can draft an architecture before a requirements analysis has been done.</t>
  </si>
  <si>
    <t>Component diagrams generated from informal specifications</t>
  </si>
  <si>
    <t>Abstract; Sections I-III, pp. 291-294</t>
  </si>
  <si>
    <t>Across 12 exam traces the generated diagrams were mostly well formed (on average 0.25 ill-formed connections and 0.42 components carrying methods) and matched the elements the specification names, but they were simpler than the ground truth (on average 0.58 fewer components, 2.17 fewer interfaces and 6.58 fewer connections), missed elements implied by domain knowledge more often than stated ones, and lost or misplaced about six methods per diagram.</t>
  </si>
  <si>
    <t>Well formed but simpler than the ground truth; implicit elements missed</t>
  </si>
  <si>
    <t>Section IV; Table I, pp. 296-297</t>
  </si>
  <si>
    <t>Prompted with a functional requirement and instructions, meta-llama-3-3-70b-instruct proposes which of the 40 modules of Volvo CE's product-line reference architecture should be involved in realising it, extracting the functions the requirement implies, quoting the requirement text and justifying each module it names.</t>
  </si>
  <si>
    <t>Requirements allocated to reference-architecture modules</t>
  </si>
  <si>
    <t>Section 5, Use Case 3; Fig. 2, pp. 124-125</t>
  </si>
  <si>
    <t>Against allocations taken from past feature development, accuracy was 1.0 for the headlight, dump body and emergency-stop requirements and 0.5 for acceleration control and wiper control, a mean of 0.8.</t>
  </si>
  <si>
    <t>Accuracy 1.0 on three requirements, 0.5 on two; mean 0.8</t>
  </si>
  <si>
    <t>Section 5; Table 1, pp. 124-125</t>
  </si>
  <si>
    <t>At the creating level the model proposes new features or refactors existing ones as VIPER modules, considering localisation, analytics and development strategies, scoring 100% (7 of 7); the authors see it outlining module structure and generating boilerplate for feature development.</t>
  </si>
  <si>
    <t>Proposes feature modules within the architecture</t>
  </si>
  <si>
    <t>Sections IV-B, V and VI; Table I, pp. 8-9</t>
  </si>
  <si>
    <t>ChatGPT-4, acting as a software engineer and given the requirements it had generated and explicit instructions to use AWS, a microservice approach, REDCap for patient data and Twilio for SMS, produced an architectural diagram of the messaging system: functions for data collection, processing, storage, backup, report generation and SMS sending, triggered by CloudWatch events and storing data in S3 and DynamoDB.</t>
  </si>
  <si>
    <t>Microservice architecture on AWS generated from requirements and constraints</t>
  </si>
  <si>
    <t>Architectural Design, GenAI Solution; Figure 5A, p. 9</t>
  </si>
  <si>
    <t>In the design phase of three real projects, students used ChatGPT on the architecture of their systems; 5 of the 7 agreed that it led to clearer, scalable architectures.</t>
  </si>
  <si>
    <t>Students' architectures clearer and scalable with ChatGPT</t>
  </si>
  <si>
    <t>Section 4.2, Effectiveness, p. 5; Figure 3, p. 6</t>
  </si>
  <si>
    <t>TTool-AI has GPT-3.5 Turbo turn a natural-language system specification into a SysML block diagram in two questions, first blocks and attributes, then signals, ports and connections, and then a state machine for each block, and draws the result in TTool.</t>
  </si>
  <si>
    <t>SysML block diagram generated from a specification</t>
  </si>
  <si>
    <t>Sections 4.2-4.3; Figures 2-4, pp. 31-33</t>
  </si>
  <si>
    <t>On three systems from European projects, the generated block diagrams averaged 81/100 against 70 for about 15 master's students, and the state machines 63 against 58; for the long and ambiguous automated-braking specification the students did slightly better on state machines but not on block diagrams.</t>
  </si>
  <si>
    <t>Block diagrams 81 vs 70 for students</t>
  </si>
  <si>
    <t>Section 5.3; Table 1, pp. 36-37</t>
  </si>
  <si>
    <t>An extension of TTool-AI generates SysML use case diagrams and block diagrams from a system specification, enforcing formally defined internal consistency rules through the automated feedback loop and by construction when drawing.</t>
  </si>
  <si>
    <t>Use case and block diagrams generated under consistency rules</t>
  </si>
  <si>
    <t>Sections 3.2 and 4, pp. 3-6</t>
  </si>
  <si>
    <t>From a prompt that names the nodes (clients, two application servers, two database servers), runtime components, artefacts and communications of the iCoot car rental system and asks for a three-tier layout with fault tolerance by duplication, GPT-4-turbo generated PlantUML code for a UML deployment diagram; the authors' rule-based check found all 18 required elements and 21 of 26 constraints, missing stereotypes such as «device» and «execution environment» and any «manifest».</t>
  </si>
  <si>
    <t>Deployment diagram generated from a prescriptive prompt</t>
  </si>
  <si>
    <t>Section 3.4, p. 9; Appendix B, pp. 23-26</t>
  </si>
  <si>
    <t>Students rated the generated deployment diagram below the textbook's on completeness (0.6486 against 0.7005) and correctness (0.6430 against 0.7309), a smaller gap than for class and use case diagrams; nodes and artefacts were 5-6 points below the textbook's, and relationships and communication paths scored lower (correctness 0.64 and 0.61).</t>
  </si>
  <si>
    <t>Deployment rated below the textbook, gap smaller</t>
  </si>
  <si>
    <t>Sections 4.1 and 4.2.2; Tables 1-4, pp. 10-12, 15</t>
  </si>
  <si>
    <t>The same model also generated class, use case and sequence diagrams for the system; students rated all three below the textbook's, use case diagrams furthest and sequence diagrams closest.</t>
  </si>
  <si>
    <t>Analysis and design diagrams, not architecture</t>
  </si>
  <si>
    <t>Sections 4.1-4.2, pp. 10-15</t>
  </si>
  <si>
    <t>TTool-AI generates a SysML block diagram, which in TTool merges block definition and internal block diagrams, from a textual specification in sliced stages (blocks, then signals and connections), and a state machine per block; for a ship's active fin stabilizer it produced two blocks that could have been one.</t>
  </si>
  <si>
    <t>Block diagram generated from a specification</t>
  </si>
  <si>
    <t>TTool-AI: A Practical Insight; Figs. 5-9, pp. 9-13</t>
  </si>
  <si>
    <t>With GPT-4o, block diagrams for a connected device were graded 9.3/10 on average against 9.2 for master's students, generated in about a minute with no syntax errors detected; the reused GPT-3.5 series gave 8.1 against 7. A recurring mistake is attribute names in signal signatures that do not match the block's attributes.</t>
  </si>
  <si>
    <t>Block diagrams 9.3 vs 9.2 for students</t>
  </si>
  <si>
    <t>Evaluation; Tables 2-3, pp. 14-16</t>
  </si>
  <si>
    <t>Model mutation updates a block diagram and its state machines from a textual change request by generating an AMULET mutation script, which is compiled and applied to the model; it is shown aligning attribute names with signals in the running example but is not evaluated.</t>
  </si>
  <si>
    <t>Block diagram evolved by generated mutation scripts</t>
  </si>
  <si>
    <t>Supporting Incremental Design; Figs. 7 and 10, pp. 11-14</t>
  </si>
  <si>
    <t>Requirements, use case diagrams (8.7 against 6.2 for students on the connected device, 7.7 against 7.9 on the packaging chain), state machines (6.3 against 6.6) and safety properties (9.3 against 4.7 and 8.4 against 5.3) are generated as well; these are analysis, behaviour and verification artefacts, not architecture.</t>
  </si>
  <si>
    <t>Requirements, use cases, behaviour, properties</t>
  </si>
  <si>
    <t>Analysis Stage, pp. 8-9; Evaluation; Table 3, pp. 15-16</t>
  </si>
  <si>
    <t>ChatGPT generated the System Design Document of a waterfall web platform, including its subsystem division and software/hardware mapping, in one chat that carried the earlier artefacts; the subsystem division was first semantically incorrect and became comparable to the project's own only after many prompts, more detail and PlantUML (high effort), while the software/hardware mapping and boundary conditions were right with at most two prompts (low effort).</t>
  </si>
  <si>
    <t>Subsystem division hard; hardware mapping easy</t>
  </si>
  <si>
    <t>Sections 3.2-3.3 and 4; Tables 1 and 3, pp. 2-4</t>
  </si>
  <si>
    <t>ChatGPT also generated scenarios, requirements, use cases, class, sequence and statechart diagrams, class interfaces, design patterns and test artefacts; class diagrams had wrong hierarchies, relationships and cardinalities.</t>
  </si>
  <si>
    <t>Requirements, UML and test artefacts</t>
  </si>
  <si>
    <t>Section 4; Table 3, p. 4</t>
  </si>
  <si>
    <t>GenAI is proposed to translate the chosen pattern into the serverless application's architecture, defining its functions, events and resources and configuring their interactions.</t>
  </si>
  <si>
    <t>Proposed translation of pattern into functions and events</t>
  </si>
  <si>
    <t>Section 3.2, p. 81</t>
  </si>
  <si>
    <t>The model also generated function code and platform-specific deployment instructions, and GenAI is proposed for configuration across platforms, pre-warming and observability.</t>
  </si>
  <si>
    <t>Code, deployment and operations support</t>
  </si>
  <si>
    <t>Sections 3.1-3.2; Table 1, pp. 81-82</t>
  </si>
  <si>
    <t>Correction reuses TTool-AI's generation: the diagrams' textual export, the specification and the inconsistencies the user selects go into a new request, and both diagrams are regenerated under internal consistency rules; 59 of 69 inconsistencies (85.5%) were corrected, 30.5 of 33 cross-view and 28.5 of 36 internal, and in the walkthrough the DPS block stayed unconnected after one round.</t>
  </si>
  <si>
    <t>Diagrams regenerated; 85.5% corrected</t>
  </si>
  <si>
    <t>Sections 4.2.1, 5.1.4 and 6.1.1; Table 7, pp. 20, 28, 32-33</t>
  </si>
  <si>
    <t>Language models are reported as assisting design decisions from textual descriptions, and as able to generate architectural patterns, recommend service decompositions and suggest alternative configurations such as communication protocols. Each of these statements is supported by a single citation (refs. [27] and [38]).</t>
  </si>
  <si>
    <t>LLMs reported to recommend patterns, decompositions and configurations</t>
  </si>
  <si>
    <t>1.2 Design decision support: pattern, tactic and technology recommendation</t>
  </si>
  <si>
    <t>Section 5.2 (Q1, Q4), pp. 11-12</t>
  </si>
  <si>
    <t>Architectural decision support is the most frequent purpose, in 38% (18) of the sources, ranging from naming microservices to supporting design and guiding architects through decisions.</t>
  </si>
  <si>
    <t>Decision support is the leading purpose</t>
  </si>
  <si>
    <t>Section 4.2.1; Table 11, pp. 7, 9</t>
  </si>
  <si>
    <t>The authors find that use is oriented mainly towards documentation and code generation, with few examples of system-level reasoning, trade-off analysis or performance modelling, and that integration into complex, high-stakes architectural decisions remains limited.</t>
  </si>
  <si>
    <t>Little system-level reasoning or trade-off analysis</t>
  </si>
  <si>
    <t>Section 1, p. 2</t>
  </si>
  <si>
    <t>The model makes structural decisions about the recovered module view (split, merge, move a file, place a module in the hierarchy), but these reconstruct the implemented structure; no pattern, tactic or technology is recommended.</t>
  </si>
  <si>
    <t>Structural decisions reconstruct, not recommend</t>
  </si>
  <si>
    <t>Sections 3.1-3.4, pp. 1689-1692</t>
  </si>
  <si>
    <t>Absence: the target style is fixed as microservices in the task; the model is not asked to choose or justify a style, pattern or technology, only to decompose.</t>
  </si>
  <si>
    <t>Absence: style imposed, not recommended</t>
  </si>
  <si>
    <t>Section 3, pp. 3-4</t>
  </si>
  <si>
    <t>Coded silence</t>
  </si>
  <si>
    <t>The study recovers decisions developers have already made; it does not ask the model to recommend or evaluate a decision, and sets itself apart from assistants such as ArchMind and Archify that support decision-making from explicit context and alternatives.</t>
  </si>
  <si>
    <t>Decisions recovered, not recommended</t>
  </si>
  <si>
    <t>Section 2, p. 2</t>
  </si>
  <si>
    <t>Models choose an architectural style (monolithic, client-server or microservices) and recommend architectural patterns such as Containerization, API Gateway or Service Discovery for a described system, either directly from the scenario or by answering the yes/no questions of a pattern decision tree that then selects the patterns.</t>
  </si>
  <si>
    <t>Style and pattern recommendation for a scenario</t>
  </si>
  <si>
    <t>Section I, p. 276; Sections III and IV-B/C, pp. 277-279</t>
  </si>
  <si>
    <t>Models map recommended patterns to concrete tools chosen from a supplied list (the CNCF Landscape as JSON); every suggested pattern received a tool and all tool suggestions were judged reasonable.</t>
  </si>
  <si>
    <t>Pattern-to-tool mapping from a supplied list</t>
  </si>
  <si>
    <t>Sections IV-D, V-C and VI-C, pp. 279, 282-283; Table IV</t>
  </si>
  <si>
    <t>The tutor explains architectural patterns (for example MVC) and encourages students to consider specific patterns, but by design never proposes a decision without explanation or reveals a whole or partial architecture.</t>
  </si>
  <si>
    <t>Pattern explanation instead of recommendation</t>
  </si>
  <si>
    <t>Section III-A, p. 94; Section IV, pp. 95-96</t>
  </si>
  <si>
    <t>In ADD steps 4 and 5 the model selects design concepts (reference architectures, patterns, tactics, frameworks) for the iteration's drivers, recording each selected concept with its rationale and discarded alternatives, and instantiates them into elements, responsibilities and interfaces; the authors see these steps as where LLMs add most value.</t>
  </si>
  <si>
    <t>Design concepts selected and instantiated per iteration</t>
  </si>
  <si>
    <t>Sections III-IV, pp. 4-5</t>
  </si>
  <si>
    <t>After every training round, LLM agents recommend which of three federated-learning architectural patterns (Client Selector, Heterogeneous Data Handler, Message Compressor) to activate or deactivate for the next round, each with a rationale, reasoning over the current system settings and the metrics of previous rounds.</t>
  </si>
  <si>
    <t>Runtime recommendation of architectural patterns</t>
  </si>
  <si>
    <t>Sections 1 and 4.3-4.4, pp. 2, 5-7; Prompt 1, p. 9</t>
  </si>
  <si>
    <t>The ADR generator identifies decisions already embodied in a repository and documents them; it does not recommend or evaluate decisions, and the authors set their work apart from design synthesis such as ReArch and MAAD.</t>
  </si>
  <si>
    <t>Decisions recovered from code, not recommended</t>
  </si>
  <si>
    <t>Sections 4.1 and 5, pp. 3-4</t>
  </si>
  <si>
    <t>From practitioner responses and action research the authors distil eight uses of generative and agentic AI in decision making, across analysis, synthesis and evaluation, including suggesting decision criteria and non-functional requirements, populating quality attribute scenarios, picking the decisions that matter from the backlog, and exploring options with their pros and cons.</t>
  </si>
  <si>
    <t>Decision-making uses of AI named by practitioners</t>
  </si>
  <si>
    <t>Section 2 and Table 1, pp. 2-3</t>
  </si>
  <si>
    <t>The models do not choose a decision: given the problem and the decision taken, they justify it by weighing its advantages and disadvantages into a trade-off, which the chain-of-thought template asks for in four steps and the agents do through an aspect analyst and a trade-off analyst. The decisions include technology (15%), architecture pattern (12%) and design pattern (6%) decisions, and only 16% of the zero-shot rationales analyse weaknesses.</t>
  </si>
  <si>
    <t>Justifying a given decision through its trade-offs</t>
  </si>
  <si>
    <t>Sections 3.3.2 and 3.4; Table 2; Section 5.1, pp. 9-14, 26</t>
  </si>
  <si>
    <t>The Modeler agent is to prioritise the non-functional requirements to balance quality attributes and to select the technology stack, architectural styles and patterns, drawing on knowledge of their capabilities, applicability and trade-offs; the illustrative bookstore example lists decisions such as Spring Boot, MongoDB, microservices and event-driven order processing, each with a reason.</t>
  </si>
  <si>
    <t>Modeler selects stack, styles and patterns</t>
  </si>
  <si>
    <t>Section 2.2.2, p. 531; Fig. 2, p. 532</t>
  </si>
  <si>
    <t>Questions on quality attribute solutions ask the models to name the patterns and tactics an existing system already uses, not to recommend any; these answers had the lowest precision.</t>
  </si>
  <si>
    <t>Patterns and tactics identified, not recommended</t>
  </si>
  <si>
    <t>Sections 2 and 3, pp. 102, 105</t>
  </si>
  <si>
    <t>Since a violation can be resolved in several valid ways, the recommender proposes one resolution for the architect to select, such as a legal connection or the reference component to implement; for mandatory components with several implementation alternatives, the choice is left to the model's reasoning.</t>
  </si>
  <si>
    <t>One of several valid repairs recommended</t>
  </si>
  <si>
    <t>Sections I and III-B, pp. 404, 406-407</t>
  </si>
  <si>
    <t>The mentor identified essential components (user interfaces, data storage, back end) and project-specific ones, and suggested additional components not stated in the requirements, such as authentication or monitoring, asking students whether they would be sensible and explaining how they would fit.</t>
  </si>
  <si>
    <t>Components suggested with reasons, beyond the stated requirements</t>
  </si>
  <si>
    <t>Sections 6.1-6.2, pp. 9-10</t>
  </si>
  <si>
    <t>o3 and Gemini applied architectural styles: together they introduced an API gateway in 10 of their 12 diagrams, only o3 with chain-of-thought adopted the benchmark's event bus, and o3 added components such as a payment gateway that the authors judge plausible extensions; Llama never proposed an overarching style.</t>
  </si>
  <si>
    <t>Styles and extra components proposed by the stronger models</t>
  </si>
  <si>
    <t>Sections V-B, V-C and VI-A, pp. 403-406</t>
  </si>
  <si>
    <t>The model was used to explore the solution space (for example, what the back end could look like, or SQL against NoSQL databases); three pairs tried to delegate a decision to it: asked for a backend architecture, it laid out the trade-offs of a monolithic and a serverless option and left the choice to the pair, while another pair adopted the framework it recommended.</t>
  </si>
  <si>
    <t>Options and trade-offs laid out; decisions mostly left to designers</t>
  </si>
  <si>
    <t>Sections 4.1.2 and 4.2.3; Table 1, pp. 1786, 1788</t>
  </si>
  <si>
    <t>One model generated 14 design problems with specific quality-attribute requirements, each with four design-concept alternatives (patterns, tactics or technologies) described with pros and cons and a suggested answer; four LLMs then chose the most appropriate alternative, and 23 workshop participants chose for five of the problems.</t>
  </si>
  <si>
    <t>Design-concept alternatives generated and chosen</t>
  </si>
  <si>
    <t>Sections Research Questions and Methodology, pp. 89-90</t>
  </si>
  <si>
    <t>Absence: the target style is fixed as microservices, and the model is not asked to choose or justify patterns or technologies, although its outputs added an API gateway, discovery, configuration and authentication services that experts questioned.</t>
  </si>
  <si>
    <t>Absence: no style or pattern choice asked</t>
  </si>
  <si>
    <t>Sections 3 and 4.3, pp. 82, 85-86</t>
  </si>
  <si>
    <t>The pattern is requested, not chosen; with implementation-oriented requirements, models often produced a three-tier structure even when MVC was requested, so the requirement wording overrode the explicit pattern request.</t>
  </si>
  <si>
    <t>Requirement wording overrides the requested pattern</t>
  </si>
  <si>
    <t>Section 4.2, RQ2, p. 16</t>
  </si>
  <si>
    <t>In online prompting the model is part of the adaptation manager: at each adaptation step it receives a prompt generated from the domain description, the architecture specification (components, ensemble types, constraints, strategy) and the current system state, and decides which components join which ensembles, which is the system's runtime architecture.</t>
  </si>
  <si>
    <t>Model decides ensemble membership at runtime</t>
  </si>
  <si>
    <t>Abstract; Sections 3-4, pp. 1-5</t>
  </si>
  <si>
    <t>Without being given a strategy, only the reasoning model (o3-mini) came close to the hand-coded rule-based manager in the smart-farm example; given a high- or low-level strategy, all models improved; in the Dragon Hunt game models without a strategy won in 20% of runs, while o3-mini following a strategy won every time, in 14 steps on average against 12 for the baseline.</t>
  </si>
  <si>
    <t>Reasoning model near the hand-coded manager; strategy helps all</t>
  </si>
  <si>
    <t>Sections 6.4.1-6.4.2 and 6.7; Figs. 2 and 5, pp. 7, 10-11</t>
  </si>
  <si>
    <t>Gemini 2.5 Flash and DeepSeek V4 Flash, and NotebookLM grounded in a curated corpus, are asked to recommend an architectural security pattern for five design problems, each built from the description of a known pattern (the person asking, technical and application domain, security requirement and problem).</t>
  </si>
  <si>
    <t>Security pattern recommendation for design problems</t>
  </si>
  <si>
    <t>Sections 4-5, pp. 3-5</t>
  </si>
  <si>
    <t>Without the corpus, the general models named the expected pattern only for Secure Channels, with partly hallucinated descriptions, and otherwise invented patterns or offered related ones, with hallucinated references when asked for sources; NotebookLM with the corpus returned the expected pattern with correct references in all five treatments, sometimes adding fitting candidates.</t>
  </si>
  <si>
    <t>General models invent patterns; corpus-grounded tool finds the expected ones</t>
  </si>
  <si>
    <t>Sections 4.3 and 6; Tables 1-2, pp. 3-6</t>
  </si>
  <si>
    <t>GPT-4o, in a human-on-the-loop cycle, expands a subgraph of requirement-architecture relations and compiles a trade-off table between architectural alternatives, each cell holding an evidence-backed explanation and a +/0/- impact label, here for centralized against decentralized automotive ECU architectures; the human makes the final decision.</t>
  </si>
  <si>
    <t>Evidence-backed trade-off table between architectural alternatives</t>
  </si>
  <si>
    <t>Abstract; Sections III and III-C, pp. 114-116</t>
  </si>
  <si>
    <t>Non-experts using the loop finished in 12-15 minutes against 75 for an expert reading the papers and found up to ten comparison points the expert had not (10 of 13 with domain-agnostic papers), but shared only three of the expert's seven points, and on those at most one impact label matched; constrained to the expert's seven points, the best agreement was 5/7 for the centralized and 3/7 for the decentralized alternative, with domain-specific papers.</t>
  </si>
  <si>
    <t>Faster, broader, but partial agreement with the expert</t>
  </si>
  <si>
    <t>Section IV-B; Table I, p. 117</t>
  </si>
  <si>
    <t>ArchSec.AI, a RAG-based assistant that retrieves from a curated corpus of security architectural patterns, is asked through a zero-shot chain-of-thought template to recommend security patterns for five design problems built from randomly selected patterns, and its answers and retrieved context are scored by an LLM judge against reference answers summarised from the pattern descriptions.</t>
  </si>
  <si>
    <t>RAG assistant recommends security patterns; LLM judge scores it</t>
  </si>
  <si>
    <t>Sections 1-2, pp. 1-2</t>
  </si>
  <si>
    <t>Mean scores were 0.70 for faithfulness and answer relevance, 0.00 for context precision and 0.17 for context recall (non-zero for one question only); for three questions the assistant proposed patterns other than the expected ones that the judge still rated relevant, and for one question it found nothing, which the authors attribute to a contradictory question.</t>
  </si>
  <si>
    <t>Faithfulness and relevance 0.70; retrieval precision 0</t>
  </si>
  <si>
    <t>Section 3; Table 1, pp. 2-3</t>
  </si>
  <si>
    <t>At the evaluating level the model critiques VIPER's effectiveness in the app, naming strengths, limitations and areas for improvement, and scored 94% (seven correct, one partially correct).</t>
  </si>
  <si>
    <t>Critiques the architecture: strengths and limits</t>
  </si>
  <si>
    <t>Sections IV-B and V; Table I, pp. 8-9</t>
  </si>
  <si>
    <t>All 7 students agreed that ChatGPT aligned architectural decisions with project constraints, and most saw advantages in robust software architecture and informed architectural decision-making.</t>
  </si>
  <si>
    <t>Architectural decisions aligned with constraints</t>
  </si>
  <si>
    <t>Section 4.2, Effectiveness and Advantages, p. 5</t>
  </si>
  <si>
    <t>In a preliminary experiment GPT-4 designed and deployed three serverless applications (a web service, an online retail platform, an image-processing application) on Azure Functions; the authors report that it selected an appropriate architecture from the application requirements, without showing the designs.</t>
  </si>
  <si>
    <t>Appropriate serverless architecture selected (asserted)</t>
  </si>
  <si>
    <t>Section 3.1, p. 81</t>
  </si>
  <si>
    <t>GenAI is proposed to select the most suitable serverless pattern from the requirements, drawing on its knowledge of each pattern's strengths, weaknesses and use cases, for instance fan-out and fan-in for heavy data processing.</t>
  </si>
  <si>
    <t>Proposed pattern selection from requirements</t>
  </si>
  <si>
    <t>Section 3.2; Table 1, pp. 81-82</t>
  </si>
  <si>
    <t>AI support for documenting and analysing architectural decisions is reported as gaining traction: tools analyse trade-offs and suggest configurations aligned with project goals, and decision documentation builds a repository of reusable patterns. The one example given (ref. [44]) is decision space analysis for API management; the review does not name the AI technique involved.</t>
  </si>
  <si>
    <t>Decision documentation and trade-off analysis named as a growing AI use</t>
  </si>
  <si>
    <t>1.3 Architecture documentation, decision records and rationale capture</t>
  </si>
  <si>
    <t>Section 5.2 (Q4), p. 13</t>
  </si>
  <si>
    <t>Documentation is among the main uses, but generated architectural documentation still needs human intervention to ensure usefulness, correctness and validity; the authors ask whether documentation will still be needed if models can provide it interactively by reverse engineering the code. Decision records appear as a modelling notation in one source.</t>
  </si>
  <si>
    <t>Generated documentation still needs human checking</t>
  </si>
  <si>
    <t>Sections 1, 4.3.4 and 5.1, pp. 2, 13, 16</t>
  </si>
  <si>
    <t>The model names modules and writes a summary for every module, level by level; in the Bash case the summary it produced for the job-control module closely matched the developers’ own description, which the authors present as help when documentation is missing.</t>
  </si>
  <si>
    <t>Module names and hierarchical summaries generated</t>
  </si>
  <si>
    <t>Sections 3.3.2, 3.4.4, 4.2.2 and 5.1; Figure 4, pp. 1690, 1692, 1695-1697</t>
  </si>
  <si>
    <t>Each generated service carries a written responsibility; few-shot prompting yields longer descriptions with larger vocabularies, nearly doubling length for the OpenAI models, yet lexical redundancy stays high across all configurations.</t>
  </si>
  <si>
    <t>Generated responsibility descriptions: longer but redundant</t>
  </si>
  <si>
    <t>Section 4.3; Table 3, pp. 5-6</t>
  </si>
  <si>
    <t>Models write the architectural design decision behind each commit from its message and git diff, and the result is compared with the decision the developers documented for the same change.</t>
  </si>
  <si>
    <t>Decision records generated from commits</t>
  </si>
  <si>
    <t>Abstract; Sections 1 and 3.2, pp. 1-4</t>
  </si>
  <si>
    <t>Generated decisions say what changed but mostly not why: many outputs listed the changes without their purpose, and few-shot prompting did not fix the missing rationale.</t>
  </si>
  <si>
    <t>Rationale missing from generated decisions</t>
  </si>
  <si>
    <t>Sections 4 and 5, pp. 5-6</t>
  </si>
  <si>
    <t>Each generated reference architecture documents its decisions as Architecture Decision Records (name, context, possible decisions, decision made, consequences), and the tutor explains to students how to write them.</t>
  </si>
  <si>
    <t>Decision records for generated references</t>
  </si>
  <si>
    <t>Section III-C, p. 94; Section IV, p. 95</t>
  </si>
  <si>
    <t>A single architecture document (markdown with Mermaid diagrams, partly based on C4) is created and refined across iterations, alongside iteration documents that record the reasoning; the ADD-guided designs recorded 41 (hotel) and 92 (warehouse) design decisions.</t>
  </si>
  <si>
    <t>Single living architecture document with recorded decisions</t>
  </si>
  <si>
    <t>Section IV-B, p. 6; Table VIII, p. 14</t>
  </si>
  <si>
    <t>Each decision is returned as a rationale text and a JSON configuration; the voting strategy logs every agent's vote with its explanation, and the debate strategy keeps a shared memory of arguments and revisions. The rationales are not evaluated.</t>
  </si>
  <si>
    <t>Rationale recorded with every runtime decision</t>
  </si>
  <si>
    <t>Sections 4.3-4.4, pp. 6-7; Prompt 1, p. 9</t>
  </si>
  <si>
    <t>In the evaluated instantiation, agents generate Architecture Decision Records from a code repository: a repository summariser summarises the codebase, an ADR generator identifies the significant architectural decisions from the summary and drafts ADRs (title, context, decision, consequences), and validator agents check the summary and the ADRs before they are saved.</t>
  </si>
  <si>
    <t>ADRs generated from a repository by cooperating agents</t>
  </si>
  <si>
    <t>Sections 3.3 and 4.1, p. 3</t>
  </si>
  <si>
    <t>Beyond ADRs, the proposed design includes agents that summarise existing documents and draft specification documents for new components consistent with the established architecture; only ADR generation was implemented.</t>
  </si>
  <si>
    <t>Further documentation agents proposed</t>
  </si>
  <si>
    <t>Sections 3.1, 3.3 and 4, pp. 2-3</t>
  </si>
  <si>
    <t>The specified target artefact is a C4-inspired, arc42-aligned documentation package: a hierarchical component view (C4 level 3) in PlantUML with short responsibility descriptions and annotated interfaces and relations, arc42 sections for context, solution strategy, building blocks and interfaces, and traceability links from every element to its evidence.</t>
  </si>
  <si>
    <t>Evidence-traced C4 and arc42 documentation specified</t>
  </si>
  <si>
    <t>Section III, pp. 536-537</t>
  </si>
  <si>
    <t>For decision records, the uses include turning keywords into a full ADR in a chosen template and recovering decisions evident in code; ADR logs are often poor, lacking options, criteria and consequences, and key decisions such as the decomposition style are often not recorded at all.</t>
  </si>
  <si>
    <t>ADR creation and recovery; poor ADR logs</t>
  </si>
  <si>
    <t>Five LLMs generate the design rationale of an architecture decision, a set of arguments for and against it, from the architecture problem and the decision, for 100 decisions from Stack Overflow posts and GitHub issues and discussions. The authors frame the task as generating and recovering rationale that developers rarely document, so that legacy systems are easier to understand, maintain and evolve.</t>
  </si>
  <si>
    <t>Design rationale generated for given decisions</t>
  </si>
  <si>
    <t>Abstract; Sections 1, 2.1 and 3.3, pp. 1-4, 9</t>
  </si>
  <si>
    <t>Against the experts' rationale, precision is 0.237-0.278, recall 0.627-0.715 and F1 0.351-0.389 across the three strategies (averages over five models). 23.68-27.44% of the generated arguments match the experts' (insightful), 64.45-69.42% are helpful arguments the experts did not give, 4.12-4.87% are uncertain and 1.59-3.24% misleading. Precision is low because the models give more arguments: 4.55, 5.77 and 5.31 per rationale against the experts' 1.98.</t>
  </si>
  <si>
    <t>High recall, low precision against the experts' rationale</t>
  </si>
  <si>
    <t>Sections 4.1-4.3 and 5.2; Tables 5-8, pp. 17-22, 28</t>
  </si>
  <si>
    <t>The final design is to comprise the diagrams, the conceptual views and the documented architectural decisions, and to serve as the basis for code implementation; recording decisions is one of the Modeler's actions in the framework figure.</t>
  </si>
  <si>
    <t>Decisions recorded as part of the design</t>
  </si>
  <si>
    <t>Section 2.1, p. 531; Fig. 1</t>
  </si>
  <si>
    <t>After recovery, an LLM names each recovered module and writes a module-level functionality description from the file summaries it produced earlier; for Bash it names modules such as Readline, Memory Allocation and Tracking, and Internationalization and Localization Support.</t>
  </si>
  <si>
    <t>Recovered modules named and described</t>
  </si>
  <si>
    <t>Section V-A2; Table XII, p. 355</t>
  </si>
  <si>
    <t>68 of the questions ask for the rationale of HDFS design decisions (for example, alternatives considered); DeepSeek and GPT-4o mini gave significantly more precise rationale than the other models, and TinyLlama and Qwen the least precise and complete.</t>
  </si>
  <si>
    <t>Rationale of existing decisions recalled</t>
  </si>
  <si>
    <t>Sections 2 and 3; Table 3, pp. 102, 106-107</t>
  </si>
  <si>
    <t>The model's output is feedback on architecture documentation: for each criterion a rating, a justification and suggestions, such as adding the components and interactions the text describes, adopting a standard set of symbols and giving different audiences their own views; the authors see a use in documentation refinement.</t>
  </si>
  <si>
    <t>Feedback and suggestions to improve architecture documentation</t>
  </si>
  <si>
    <t>Fig. 1; Table 2; Section 5, pp. 118, 121-122</t>
  </si>
  <si>
    <t>Architecture views are generated as documentation: most views are never updated after creation and architectural knowledge is scattered, so the study generates component and sequence views, or notation-agnostic ones, from source code for 340 open-source repositories, framed as architectural knowledge management.</t>
  </si>
  <si>
    <t>Architecture views generated as documentation</t>
  </si>
  <si>
    <t>Abstract; Sections I and III-A, pp. 245-246</t>
  </si>
  <si>
    <t>One task specifies ADR generation: given an architectural context describing a design problem, the model generates a decision record with the decision and its rationale, scored against the recorded ADR by ROUGE, BLEU, METEOR and BERTScore.</t>
  </si>
  <si>
    <t>ADR generation from context specified as a benchmark task</t>
  </si>
  <si>
    <t>Section II; Table I, p. 3</t>
  </si>
  <si>
    <t>Each proposed service carries a short description of its responsibilities, but no documentation, rationale or decision record is produced or evaluated.</t>
  </si>
  <si>
    <t>Service responsibilities only; no documentation</t>
  </si>
  <si>
    <t>Section 3, Step 2, p. 82</t>
  </si>
  <si>
    <t>Architectural knowledge (catalogues of design decisions for the ML workflow, ML deployment and RL training) was gathered by grounded theory studies of grey literature; LLMs are proposed to automate this coding so that the catalogue can be updated more often inside a CI/CD pipeline.</t>
  </si>
  <si>
    <t>LLM-automated gathering of architectural knowledge proposed</t>
  </si>
  <si>
    <t>Sections 3 and 5, pp. 159, 164</t>
  </si>
  <si>
    <t>Four models generate the next architecture decision record of a repository from its title and a selection of the repository's earlier records (none, all, the first K, the last K, or the K most similar), on over 4,500 ADRs from 750 open-source repositories, and are compared with the human-written records.</t>
  </si>
  <si>
    <t>Next ADR generated from title and decision history</t>
  </si>
  <si>
    <t>Abstract; Sections 3.1-3.4, pp. 1-5</t>
  </si>
  <si>
    <t>Any decision history improved generation over no context for every model (Gemini-2.5-Pro BLEU 0.0193 to 0.0755 with all history) and cut verbosity towards human length; the last three to five records did as well as the whole history, and retrieval matched the last-K strategy in aggregate.</t>
  </si>
  <si>
    <t>History helps; the last 3-5 records suffice</t>
  </si>
  <si>
    <t>Sections 4.1-4.3; Table 1; Figs. 5-6, pp. 5-7</t>
  </si>
  <si>
    <t>A multi-agent workflow extracts architectural decisions from raw meeting transcripts and drafts Nygard-format ADRs: it detects the language and translates to English, extracts candidate decisions with their rationale and rejected alternatives, critiques and refines them in a bounded loop, enriches each accepted decision by retrieval, and formats it.</t>
  </si>
  <si>
    <t>ADR drafts extracted from meeting transcripts</t>
  </si>
  <si>
    <t>Abstract; Sections 1 and 3, pp. 1-3</t>
  </si>
  <si>
    <t>Across five transcripts the senior architects listed 23 decisions and the workflow produced 17 ADRs covering about 18 of them; in 52 of 55 participant ratings the extracted decision was agreed with, and in 51 of 55 the ADR was judged clear and complete.</t>
  </si>
  <si>
    <t>Most expert-identified decisions captured</t>
  </si>
  <si>
    <t>Sections 5.2-5.3; Table 3, p. 5</t>
  </si>
  <si>
    <t>For each of five criteria the model gives a rating, a justification and diagram-level suggestions, such as adding a legend, colour coding or directional arrows, adding components the text mentions, standardising terminology and making simplified views for non-technical stakeholders.</t>
  </si>
  <si>
    <t>Ratings, justifications and improvement suggestions for diagrams</t>
  </si>
  <si>
    <t>Section 3.2; Fig. 1; Tables 1-4, pp. 90, 92-93</t>
  </si>
  <si>
    <t>Architectural knowledge is kept as versioned, machine-readable artefacts (requirements, architecture models, ADRs, interface contracts, constraint sets, code skeletons, evaluation evidence) with authorship, DSM phase and dependency links; the agent is to generate synchronised documentation and explanations suited to the user's role, and conversational output is not treated as durable.</t>
  </si>
  <si>
    <t>Traceable, versioned artefacts including ADRs; role-based documentation</t>
  </si>
  <si>
    <t>Sections 4 and 4.1-4.3; Table 2, pp. 10-13</t>
  </si>
  <si>
    <t>The model's output is a guideline-level review of architecture documentation: a 1-4 score with a concise, evidence-based justification for each of 15 checks, intended to make feedback on diagrams auditable and to turn vague judgements into concrete review items.</t>
  </si>
  <si>
    <t>Guideline-level scores and justifications for diagrams</t>
  </si>
  <si>
    <t>Sections 3.3 and 5; Table 1, pp. 3, 5, 9</t>
  </si>
  <si>
    <t>Proposed: extractors per artefact type, with NLP techniques and LLMs identifying architectural elements, decisions and rationale in requirements and documentation, static analysis for code and parsers for diagrams, consolidated with trace links into a unified architecture knowledge base that supports conformance checking, change impact analysis and question answering.</t>
  </si>
  <si>
    <t>Planned extraction of architectural knowledge into a knowledge base</t>
  </si>
  <si>
    <t>Abstract; Sections 1 and 3.1-3.2, pp. 487-489</t>
  </si>
  <si>
    <t>Each generated element carries a linked_work_items array tracing it back to the source tickets, and the diagrams are proposed as continuous, on-demand documentation that keeps pace with development, since manually drawn diagrams become obsolete soon after development starts.</t>
  </si>
  <si>
    <t>C4 diagrams with ticket trace links as continuous documentation</t>
  </si>
  <si>
    <t>Sections 4, 6.1 and 7; Table 1, pp. 3-4, 7</t>
  </si>
  <si>
    <t>Each knowledge-graph node keeps a text chunk and its source document, and each table cell cites the nodes it rests on, so the evidence chain runs from documents through the graph and the table to the human judgment; the ontology links requirement and architecture nodes by Satisfy, Not Satisfy and Require, with refinement and decomposition relations.</t>
  </si>
  <si>
    <t>Provenance chain from documents to trade-off table</t>
  </si>
  <si>
    <t>Sections III-A, III-B and IV-B; Fig. 2, pp. 115-117</t>
  </si>
  <si>
    <t>The recovered PlantUML models serve as architecture documentation of a robotic system whose composition is otherwise only implicit in code and launch files, and each recovered element is traced back to repository evidence through the blueprint's trace semantics.</t>
  </si>
  <si>
    <t>Recovered models as traceable architecture documentation</t>
  </si>
  <si>
    <t>Sections 1, 4.1 and 5.2, pp. 100, 105, 111</t>
  </si>
  <si>
    <t>Related activity: generating ADRs from historical and upcoming development data is planned (Use Case 1), so that past design rationale is preserved against erosion; it is neither built nor evaluated.</t>
  </si>
  <si>
    <t>Related activity: ADR generation planned</t>
  </si>
  <si>
    <t>Section 5, Use Case 1, p. 124</t>
  </si>
  <si>
    <t>CIAO has an LLM write system-level architecture documentation for a GitHub repository, section by section, following an eight-section template (system overview, architectural context, containers, components, code level, cross-cutting concerns, quality attributes and rationale, deployment) drawn from ISO/IEC/IEEE 42010, SEI Views &amp; Beyond and the C4 model, with PlantUML use case, component, code-level and deployment diagrams, assembled into a README that can be added to the repository.</t>
  </si>
  <si>
    <t>Standards-based architecture documentation generated from a repository</t>
  </si>
  <si>
    <t>Abstract; Sections I and III-A to III-B, pp. 201-204</t>
  </si>
  <si>
    <t>The quality attributes and rationale section asks the model to name the quality attributes the implementation supports and to synthesise the rationale inferred from observable design choices, following ISO 42010's call to document rationale; 16 of 22 participants agreed that this section was correct and not speculative.</t>
  </si>
  <si>
    <t>Rationale inferred from observable design choices</t>
  </si>
  <si>
    <t>Section III-A, pp. 203-204; Section V-C and Fig. 5, pp. 208-209</t>
  </si>
  <si>
    <t>The motivation is architecture documentation: recording architecture pattern instances preserves architecture knowledge and prevents its vaporisation, which practitioners rarely document because of cost, and microservice patterns are hard to detect from source code alone; the planned RQ3 asks how much detection improves practitioners' architecture knowledge.</t>
  </si>
  <si>
    <t>Detected patterns as architecture documentation</t>
  </si>
  <si>
    <t>Sections I-III, pp. 161-163</t>
  </si>
  <si>
    <t>Generating the System Design Document is framed as documentation support; design goals took few prompts, but assigning and ordering their priorities took more (medium effort).</t>
  </si>
  <si>
    <t>Design goals documented with medium effort</t>
  </si>
  <si>
    <t>Much of the decomposition work reviewed analyses an existing monolith: clustering (k-Means, word embeddings) over codebases, Mono2Micro analysing application behaviour to recommend partitions, CARGO's dependency analysis, and an AI-driven partitioning framework that analyses interdependencies between components.</t>
  </si>
  <si>
    <t>Service boundaries recovered from existing monoliths</t>
  </si>
  <si>
    <t>1.4 Architecture analysis, recovery, conformance and smell detection</t>
  </si>
  <si>
    <t>Sections 3, 5.1 and 5.2 (Q1), pp. 5, 10-11</t>
  </si>
  <si>
    <t>T1: design analysis (1.4)</t>
  </si>
  <si>
    <t>Reverse engineering for architectural reconstruction is the second most frequent purpose (19%, 9) and code to architecture accounts for 13% (8) of transitions: models map code components to an architecture, recover architecture deductively, and answer architectural questions about microservice code. The authors report that few sources integrate external tools and read this as models replacing classical recovery tools.</t>
  </si>
  <si>
    <t>Reconstruction and code-to-architecture mapping</t>
  </si>
  <si>
    <t>Sections 4.2.1, 4.3.1 and 4.3.3; Tables 11 and 14, pp. 7, 9, 11-13</t>
  </si>
  <si>
    <t>38% of the works discuss antipattern detection, through smell refactoring, AI-based detection or rule learning, and the few architecture-to-architecture studies (3%, 2) refactor architectural smells or recommend resolutions of conformance violations.</t>
  </si>
  <si>
    <t>Antipattern detection, smell refactoring and conformance</t>
  </si>
  <si>
    <t>Sections 4.3.1 and 4.3.3, pp. 11, 13</t>
  </si>
  <si>
    <t>SemRef refines architectures recovered from code by ten existing recovery tools: it splits modules that are too large, merges single-file modules, moves misplaced files, builds a module hierarchy and refines it top-down until no further change is made.</t>
  </si>
  <si>
    <t>LLM-based refinement of recovered module views</t>
  </si>
  <si>
    <t>Section 3 and Figure 1, pp. 1689-1692</t>
  </si>
  <si>
    <t>The motivation is detecting divergence between designed and implemented architecture: systems drift and erode under maintenance, manual recovery of a large system can take hundreds of expert hours, and existing tools cluster by dependencies or text without understanding what the code does.</t>
  </si>
  <si>
    <t>Recovery motivated by drift, erosion and manual cost</t>
  </si>
  <si>
    <t>Sections 1 and 2, pp. 1687-1689</t>
  </si>
  <si>
    <t>The model works on the description of an existing architecture, but produces a new one; the monolith itself is not analysed, recovered or checked, and no reference decomposition is used.</t>
  </si>
  <si>
    <t>Existing architecture read, not analysed</t>
  </si>
  <si>
    <t>Sections 2.2 and 3, pp. 3-4</t>
  </si>
  <si>
    <t>The task recovers architectural knowledge from code history: the model has to find the architecturally significant part of a low-level change and lift it to a design decision, which the authors frame as architectural reasoning rather than summarisation.</t>
  </si>
  <si>
    <t>Recovering decisions from code-level changes</t>
  </si>
  <si>
    <t>Sections 1 and 5, pp. 2, 6</t>
  </si>
  <si>
    <t>The tutor evaluates architectures supplied to it (the MobSTr component diagram and a domain model) and students' requirement summaries, answering whether best practices are considered and which aspects of the requirements are or are not covered, with hints for improvement.</t>
  </si>
  <si>
    <t>Evaluating given architectures against requirements</t>
  </si>
  <si>
    <t>Section III-D, p. 95; Section IV, pp. 95-96</t>
  </si>
  <si>
    <t>At the end of each iteration (ADD step 7) the model checks whether the iteration goal has been met and how far the drivers are satisfied, and keeps the result in the iteration document. The check is part of the model's own design process, not an analysis of an architecture given to it, and its results are not reported.</t>
  </si>
  <si>
    <t>Self-check of each iteration inside the design process</t>
  </si>
  <si>
    <t>Sections III and IV-B, pp. 4, 6</t>
  </si>
  <si>
    <t>Each round, the agents evaluate the current architectural configuration (active patterns, clients and their resources) against the system's recent behaviour: for example, they compare the current accuracy with the previous round's and relate client resources to round time (the straggler effect) before proposing a configuration.</t>
  </si>
  <si>
    <t>Current configuration evaluated against recent behaviour</t>
  </si>
  <si>
    <t>Sections 4.4 and 5.1, pp. 6-8; Prompt 1, p. 9</t>
  </si>
  <si>
    <t>The approach decomposes architecture recovery: extractor agents summarise the codebase and, in the full design, the issue tracker and existing documents, to recover the architecture of an existing system; in the instantiation a validator agent checks the repository summary against the source code. The authors frame this as knowledge recovery rather than design generation.</t>
  </si>
  <si>
    <t>Architecture recovered from code, issues and documents</t>
  </si>
  <si>
    <t>Sections 3.1, 3.4, 4.1 and 5, pp. 2-4</t>
  </si>
  <si>
    <t>Recovery is specified bottom-up, from files to components to subsystems: an enriched dependency graph (structural dependencies with SARIF-trained weights plus LLM-based semantic similarity, taken from SemArc) is abstracted level by level until no further abstraction is obtained.</t>
  </si>
  <si>
    <t>Hierarchical recovery from an enriched dependency graph</t>
  </si>
  <si>
    <t>Section VI, pp. 539-540; Fig. 1</t>
  </si>
  <si>
    <t>The worked example has an LLM review (lint) an existing ADR of the Apache James project against five criteria (context quality, problem statement, options with pros and cons, consequences, template conformance) and give an overall good, ok or poor score with its reasoning.</t>
  </si>
  <si>
    <t>LLM review of an existing ADR</t>
  </si>
  <si>
    <t>Section 4, pp. 6-7</t>
  </si>
  <si>
    <t>The task is framed as recovering the rationale of decisions already made, to understand existing systems, but the input is the text of a problem and a decision; no code or other artefact of a system is analysed.</t>
  </si>
  <si>
    <t>Recovery framing without analysing a system</t>
  </si>
  <si>
    <t>Sections 1 and 3.1, pp. 2, 5</t>
  </si>
  <si>
    <t>The Evaluator agent is to check the class, sequence and deployment diagrams against the functional and non-functional requirements, trace each mismatch to its root cause (a misread requirement, a design error, a misallocated resource) and suggest refinements, which the responsible agents apply; in the example, a missing search by category is traced to the Analyst.</t>
  </si>
  <si>
    <t>Evaluator traces mismatches to their root cause</t>
  </si>
  <si>
    <t>Sections 2.1 and 2.2.4, pp. 531-532; Fig. 2</t>
  </si>
  <si>
    <t>Language models extract a simple software architecture model, the list of a system's high-level component names, from its architecture documentation, from the package structure of its code, or from both; TransArC then uses this model as the intermediate artefact for recovering trace links between the documentation and the code, so that no manually created model is needed.</t>
  </si>
  <si>
    <t>Component names recovered as a simple architecture model for traceability</t>
  </si>
  <si>
    <t>Abstract; Sections I and III, pp. 1, 3-4</t>
  </si>
  <si>
    <t>Generated models share most component names with the manual ones but miss components the documentation never describes (Cache in MediaStore), rename others (DataStorage, PersistenceTier) and, from code, add components for test and entry-point packages. For BigBlueButton, Codellama 13b also produced task names such as 'Joiningavoiceconference', and trace links from the documentation to that model reached recall 0.19 and precision 0.27, against 0.83 and 0.88 with the manual model.</t>
  </si>
  <si>
    <t>Generated models miss, rename and invent components</t>
  </si>
  <si>
    <t>Section V-D; Figs. 2-4, pp. 7-9</t>
  </si>
  <si>
    <t>Four open models judge whether a project's code complies with each decision in its architecture decision records: a reasoning model (Marco-o1) labels each decision Compliant, Not Compliant or Code Insufficient to Answer, with a reason, from the ADR's decision, context and consequences and the five most similar code snippets, and three further models (Mistral-Nemo, Qwen3, Llama 3.1) check its judgement.</t>
  </si>
  <si>
    <t>Code checked against recorded decisions</t>
  </si>
  <si>
    <t>Abstract; Sections I and III-D to III-E, pp. 1, 3-5</t>
  </si>
  <si>
    <t>SemArc recovers the module architecture from source code: an LLM summarises every file, then reads a knowledge base of eight canonical architectural patterns with the summaries, infers the system's pattern or composite of patterns and outputs its components with indicators of functionality, non-functional properties and interactions; these components serve as anchors for a clustering that also uses explicit and implicit dependencies (extracted with ENRE) and the semantic similarity of the summaries.</t>
  </si>
  <si>
    <t>LLM-inferred patterns and components anchor recovery</t>
  </si>
  <si>
    <t>Abstract; Section III, pp. 338, 341-346; Figs. 4 and 6</t>
  </si>
  <si>
    <t>Seven LLMs answer 229 questions written by software engineers about the architectural knowledge of Hadoop HDFS, drawing only on what they learnt in training: 80 on components and connectors, 81 on quality attribute solutions and 68 on the rationale of decisions; their answers are compared with a ground truth and with each other.</t>
  </si>
  <si>
    <t>Questions on an existing system's architecture answered from embedded knowledge</t>
  </si>
  <si>
    <t>Abstract; Sections 1-2, pp. 99-102</t>
  </si>
  <si>
    <t>ChatGPT-4o assesses one architecture diagram and its textual description from each of four open-source projects on five criteria; clarity and consistency concern the diagram itself, while completeness, accuracy and level of detail are judged by comparing it with the text, so mismatches and omitted components between the two are flagged.</t>
  </si>
  <si>
    <t>Architecture diagrams assessed against their descriptions</t>
  </si>
  <si>
    <t>Abstract; Sections 3-4, pp. 116, 118-119</t>
  </si>
  <si>
    <t>A model-driven tool checks a concrete architecture against a reference architecture and reports each violation (illegal link, connection without target, missing implementation of a mandatory component, or a combination); the LLM receives the reference architecture, the concrete architecture and the violation and returns a corrected version of the architecture with a short description of the changes.</t>
  </si>
  <si>
    <t>Repair of violations found by a conformance checker</t>
  </si>
  <si>
    <t>Sections II-III, pp. 405-407; Fig. 2</t>
  </si>
  <si>
    <t>Views are recovered from the code itself: the repository is summarised hierarchically (chunks summarised, then the summaries summarised again) and the model turns the summary and the required concern and behaviour into a view; all approaches produced views at code rather than architectural granularity.</t>
  </si>
  <si>
    <t>Views recovered from code summaries; code-level granularity</t>
  </si>
  <si>
    <t>Abstract; Sections III-C, III-E and V-A, pp. 245, 247-248, 252</t>
  </si>
  <si>
    <t>One task specifies trace-link recovery: given software architecture documentation and a list of code files, the model identifies which files implement each documented architectural element, on five open-source projects from the ArDoCo benchmark, scored by precision, recall and F1.</t>
  </si>
  <si>
    <t>Trace-link recovery between documentation and code specified</t>
  </si>
  <si>
    <t>Nine LLMs answer 1,230 questions each about the architecture of three ROS2 systems of increasing size: whether an entity exists and what kind it is, which nodes publish or subscribe to which topics and provide or use which services, whether a communication path links two nodes, and the types of topics and services; the architecture is given as the computation graph extracted from the running system, and answers are checked against a ground truth derived from it.</t>
  </si>
  <si>
    <t>Questions on an existing architecture answered from its runtime computation graph</t>
  </si>
  <si>
    <t>Abstract; Sections 4-5, pp. 1, 3-6</t>
  </si>
  <si>
    <t>GPT-4 Turbo answers questions about the ensemble-based component architectures of three DEECo applications, reading their specifications and code from the file system: which components and ensembles exist, what the application does, which components take roles in an ensemble and under which conditions, and which ensembles are instantiated in a given state of the components.</t>
  </si>
  <si>
    <t>Questions on ensemble-based architectures answered from their specifications</t>
  </si>
  <si>
    <t>Abstract; Sections 3-4, pp. 208, 214-216</t>
  </si>
  <si>
    <t>Four LLMs decompose four monolithic Java systems into microservices in three phases: a summary of the repository, five architectural views the model infers from it (component diagram and overview, API endpoints, technology map, dynamic interactions) plus a static dependency and call graph, and a single-shot partition of the classes into services with their responsibilities and dependencies, compared with reference decompositions and published tool results.</t>
  </si>
  <si>
    <t>Monolith decomposed into microservices via generated views</t>
  </si>
  <si>
    <t>Abstract; Sections III-B and IV, pp. 268, 270-274</t>
  </si>
  <si>
    <t>The reference decompositions were recovered by the authors from the systems' source code with static analysis tools, not by the model; combining model decomposition with static code analysis to find drift is proposed as a use.</t>
  </si>
  <si>
    <t>References recovered by static analysis, not by the model</t>
  </si>
  <si>
    <t>Sections 3, 4.2 and 5, pp. 81, 84, 87</t>
  </si>
  <si>
    <t>Proposed: instead of modelling the system architecture by hand, an LLM writes Python code against the CodeableModels metamodel to generate the formal architecture model of an ML/RL-based system from its source code and architectural schematics, optionally visualised as UML through PlantUML; this is manual today because distributed, polyglot ML/RL systems are hard to model by parsing.</t>
  </si>
  <si>
    <t>LLM generation of formal architecture models proposed</t>
  </si>
  <si>
    <t>Sections 3.1 and 5, pp. 161, 164</t>
  </si>
  <si>
    <t>Proposed: an LLM examines the generated models for conformance to the catalogued architectural design decisions and decision options, replacing the hand-coded detectors and metrics of the authors' current conformance check, as their LLM-based check of RL practices already does for code.</t>
  </si>
  <si>
    <t>LLM conformance checking of architecture models proposed</t>
  </si>
  <si>
    <t>Section 5, p. 165</t>
  </si>
  <si>
    <t>Reported from the authors' earlier paper: a rule-based framework combining LLMs with heuristic code detectors checks RL training code for practices such as checkpoints, hyperparameter tuning and agent configuration, validated on open-source projects and an industrial case study; no results are given here.</t>
  </si>
  <si>
    <t>Earlier LLM check of RL practices in code, summarised</t>
  </si>
  <si>
    <t>Sections 3 and 3.1, pp. 160-162</t>
  </si>
  <si>
    <t>In the microservice phase, models were also asked to compute architecture metrics (statelessness, data ownership coverage, transaction share, interface complexity, afferent and efferent coupling) from the diagrams they had just generated; nearly all were right less than half the time, and some reported values from general microservice documentation rather than from their own diagram.</t>
  </si>
  <si>
    <t>Self-computed architecture metrics mostly wrong</t>
  </si>
  <si>
    <t>Sections 3.5 and 4.2, RQ4; Fig. 15, pp. 11-12, 19-20</t>
  </si>
  <si>
    <t>Each answer is parsed and checked against system constraints (every component in exactly one active, existing ensemble) and custom constraints from the specification; violations are explained to the model, which retries once, after which the update is abandoned; in the experiments only the system constraints were checked.</t>
  </si>
  <si>
    <t>Rule-based validity check of each decision</t>
  </si>
  <si>
    <t>Sections 4.3 and 6.3.1, pp. 4, 6</t>
  </si>
  <si>
    <t>ChatGPT-4o assesses the architecture diagrams and textual descriptions of four SBES 2024 Tools Track papers (PoP-ARE, Exception Miner, Helius, AutomTest 3.0) on clarity, consistency, completeness, accuracy and level of detail; clarity and consistency are judged from the diagram, and the other three against the description, as a check of cross-modal alignment.</t>
  </si>
  <si>
    <t>Architecture diagrams of four tools assessed against their descriptions</t>
  </si>
  <si>
    <t>Abstract; Sections 3.1-3.4, pp. 88-91</t>
  </si>
  <si>
    <t>Of 20 criterion-level judgements, the expert agreed with the model on 8 (40%), partially on 6 (30%) and disagreed on 6 (30%); the model never rated a criterion as not meeting expectations, which the authors call a safe default that can mask substantive deficiencies.</t>
  </si>
  <si>
    <t>Expert agreed with 8 of 20 judgements; no failing ratings</t>
  </si>
  <si>
    <t>Section 4.5; Table 5, pp. 93-94</t>
  </si>
  <si>
    <t>The agent is specified to check designs against constraints and code against design, detect violations, simulate scenarios, compute change impact and report inconsistencies; the prototype's checks go no further than what the Mermaid and PlantUML parsing libraries enable.</t>
  </si>
  <si>
    <t>Consistency and impact checks specified; parsing-level checks in the prototype</t>
  </si>
  <si>
    <t>Sections 4.1-4.3; Table 2, pp. 11-13</t>
  </si>
  <si>
    <t>An LLM recovers the architecture of existing C systems from a Neo4j property graph built from the source with srcML: in Explore it issues Cypher queries over 10-50 iterations, keeping a memory buffer, and proposes subcomponents; in Allocate it assigns functions to them in batches of 50; in Shift, functions with more external than internal calls, found by Graph Max Shift, are reassigned by the LLM; the process recurses into a component tree exported as a UML component diagram in PlantUML.</t>
  </si>
  <si>
    <t>Iterative recovery over a code knowledge graph: Explore, Allocate, Shift</t>
  </si>
  <si>
    <t>Abstract; Sections I and V-VI, pp. 493, 495-499</t>
  </si>
  <si>
    <t>Recovered architectures: 19 components for cJSON (checked manually) and 19 for SQLite, mapped to the documented four-part architecture, where Interface, B-tree and Pager have counterparts but the Virtual Machine, OS interface and Code Generator are spread over two to six recovered components; for Bash, most recovered components concentrate in one or a few gold-standard components, while utility functions spread widely.</t>
  </si>
  <si>
    <t>Recovered trees mapped to documentation and a gold standard</t>
  </si>
  <si>
    <t>Section VII; Table III; Figs. 6-8, pp. 499-502</t>
  </si>
  <si>
    <t>GPT-4o and GPT-4 Turbo answer questions about workflow architectures specified in the ExtremeXP workflow ADL (WADL), graphs of tasks implemented by files or sub-workflows and linked by control and data flow: listing tasks, checking links, successors and cycles, interpreting conditional flow, and detecting inconsistent names and descriptions.</t>
  </si>
  <si>
    <t>Questions about workflow architectures in an ADL</t>
  </si>
  <si>
    <t>Abstract; Sections 2-4, pp. 608-614</t>
  </si>
  <si>
    <t>Mean scores over five runs were 0.83-0.98 for structure questions and 1.00 for the two behaviour instances, but 0.28-0.51 for functionality questions, scored by ROUGE-1 recall; taking the majority of five answers gave 22-24 of 25 instances correct, depending on model and ADL variant.</t>
  </si>
  <si>
    <t>Structure and behaviour mostly correct; functionality scores low</t>
  </si>
  <si>
    <t>Sections 4.3 and 6; Table 2, pp. 613-614, 617</t>
  </si>
  <si>
    <t>GPT-5 and Claude Sonnet 4.6 assess the architecture diagrams of six open-source microservice systems on 15 checks under accuracy, clarity, completeness, consistency and level of detail, receiving either the rendered PNG or its SVG or draw.io XML source together with the project's textual description.</t>
  </si>
  <si>
    <t>Microservice architecture diagrams assessed on 15 checks</t>
  </si>
  <si>
    <t>Abstract; Sections 2.2 and 3.2-3.3; Table 1, pp. 1, 3-5</t>
  </si>
  <si>
    <t>Against human reference scores, pooled precision was 0.728, recall 0.797 and F1 0.761, with quadratic weighted kappa 0.308; completeness agreed best (F1 0.857, kappa 0.396) and clarity worst (F1 0.697); image inputs led descriptively (F1 0.776 against 0.747, kappa 0.387 against 0.225), but bootstrap analysis did not support a robust representation effect.</t>
  </si>
  <si>
    <t>F1 0.761 and kappa 0.308 against human scores; criterion matters more than input</t>
  </si>
  <si>
    <t>Sections 4.1-4.2; Tables 4-5, p. 7</t>
  </si>
  <si>
    <t>Proposed: automated detection of contradictions between architectural decisions, mismatches between documented and implemented structures and outdated information across artefacts, by rule-based, learning-based and LLM-based approaches, building on the authors' earlier inconsistency detection through trace links.</t>
  </si>
  <si>
    <t>Planned LLM-based detection of architectural inconsistencies</t>
  </si>
  <si>
    <t>Section 3.3, p. 489</t>
  </si>
  <si>
    <t>GPT-5.1 recovers a system's C4 System Context and Container diagrams from the Azure DevOps epics, features, user stories and tasks of two industry projects (89 and 193 work items), deliberately bypassing source code, which reflects the eroded rather than the intended architecture.</t>
  </si>
  <si>
    <t>C4 diagrams recovered from agile work items instead of code</t>
  </si>
  <si>
    <t>Abstract; Sections 1 and 4, pp. 1-3</t>
  </si>
  <si>
    <t>The practitioners judged the recovered diagrams accurate despite vague tickets; the diagrams mirror the documented intent, so of the four discrepancies the practitioners flagged, three were planned but unimplemented elements documented in the tickets and one an implemented but undocumented element, which the authors read as architectural drift and erosion made visible.</t>
  </si>
  <si>
    <t>Perceived accurate; mirrors documented intent and exposes drift</t>
  </si>
  <si>
    <t>Sections 6.1 and 7; Tables 2-3, pp. 4-6</t>
  </si>
  <si>
    <t>LLM agents recover a ROS 2 system's hierarchical structural architecture, first component-level models of atomic nodes with their typed publishers, subscribers and services, then a system-level model of launch-time node instances and composed subsystems, constrained by the UML-based blueprint from the authors' earlier work.</t>
  </si>
  <si>
    <t>Hierarchical ROS 2 architecture recovered by LLM agents</t>
  </si>
  <si>
    <t>Abstract; Sections 4.1-4.2; Figs. 2-3, pp. 99, 104-109</t>
  </si>
  <si>
    <t>On the BrickByBrick system (10 node classes, 20 topics, one launch file), all six element types of the component-level models reached precision, recall and F1 of 1.0, and the composed system-level model reached precision 1.0, recall 0.95 and F1 0.98 against the authors' reference model.</t>
  </si>
  <si>
    <t>Component level 1.0; system level F1 0.98 against the reference</t>
  </si>
  <si>
    <t>Sections 5.1 and 5.3; Table 4, pp. 110-112</t>
  </si>
  <si>
    <t>Quasar downloads a project's repository and wiki, keeps the files that may hold architecture information, and has an LLM rate each file, text and images together, against 25 criteria phrased as statements on a 0-4 agreement scale, covering, among others, system goals, functional and quality requirements, constraints, stakeholders, the system context, solution concepts, key design decisions, runtime decomposition, data flow, deployment, technologies, modules and the data model; per-file scores are combined into an overall rating per criterion, with a summary justification.</t>
  </si>
  <si>
    <t>LLM rates architecture documentation against 25 criteria</t>
  </si>
  <si>
    <t>Sections 4 and 5.2; Figs. 2-3; Appendix A, pp. 7-9, 11-12, 18-19</t>
  </si>
  <si>
    <t>For the project with comprehensive documentation, the three runs were largely consistent, two statements matched the human rating almost exactly, 36% of the ratings differed by at most 15%, and the average deviation was 27%; for the project with basic documentation, the runs were weakly consistent, no rating was produced for three statements, and the average deviation of 43% showed no apparent correlation with the human rating.</t>
  </si>
  <si>
    <t>Closer to architects with rich documentation (27%) than with sparse (43%)</t>
  </si>
  <si>
    <t>Section 5.2, Results; Figs. 5-8, pp. 13-15</t>
  </si>
  <si>
    <t>GPT-4.1-mini classifies each of 4,316 ADRs from 547 open-source projects by Kruchten's decision types, Zimmermann's concern categories and quality attributes, returning a primary category, a brief justification and a confidence score for each alternative category.</t>
  </si>
  <si>
    <t>LLM classifies ADRs by decision taxonomies</t>
  </si>
  <si>
    <t>Sections 3, 3.1 and 3.5, pp. 4-6, 8</t>
  </si>
  <si>
    <t>As a judge, the model checks five MADR sections of each ADR (context and problem statement, decision outcome, consequences, decision drivers, considered options) for presence, content under an alternative heading, project-specific content and consistency with the section's purpose, with a justification.</t>
  </si>
  <si>
    <t>LLM-as-a-judge checks ADRs against MADR sections</t>
  </si>
  <si>
    <t>Section 3.6, pp. 9-10</t>
  </si>
  <si>
    <t>Against a 200-ADR ground truth, agreement ranged from 46% to 66% across the three taxonomies and prompting strategies, with fewest discrepancies for Kruchten's taxonomy and most for Zimmermann's; executive and existence decisions stayed confused, maintainability absorbed related quality attributes, and design, technology and implementation concerns were hard to separate. An XGBoost classifier on sentence embeddings did worse, favouring majority classes.</t>
  </si>
  <si>
    <t>Agreement 46-66% with human labels; better than an embedding baseline</t>
  </si>
  <si>
    <t>Sections 3.4-3.5 and 4.2, pp. 7-9, 12</t>
  </si>
  <si>
    <t>Over the corpus, the classifier labelled 64% of ADRs existence, 18% executive and 14% property decisions, about 40% design and a quarter technology decisions, and about 20% organisational or process decisions; the checks found context and decision outcome sections mostly present and adequate, decision drivers often misplaced or thin, and considered options absent or misplaced in most ADRs.</t>
  </si>
  <si>
    <t>Decision types and template gaps found across 4,316 ADRs</t>
  </si>
  <si>
    <t>Sections 4.2-4.3; Figs. 4-5, pp. 11-13</t>
  </si>
  <si>
    <t>The task is architecture recovery at system level: from the flattened source code, configuration files and folder layout, the model identifies the system's external context, deployable containers, components and their relationships, maps them to code artefacts and describes deployment, which the authors set apart from LLM work on local artefacts such as APIs, code fragments or single diagrams.</t>
  </si>
  <si>
    <t>System-level recovery from code and configuration</t>
  </si>
  <si>
    <t>Sections II and III-B, pp. 202-204</t>
  </si>
  <si>
    <t>Accuracy was rated highest for sections grounded in observable code (components and cross-cutting concerns, 19 of 22 positive each; containers and code level, 17) and lowest for interpretive views (use case diagram, 12 of 22; system overview and architectural context, 15 and 16); 16 of 22 agreed that the documentation reflects the implemented architecture.</t>
  </si>
  <si>
    <t>Code-grounded sections most accurate; interpretive views least</t>
  </si>
  <si>
    <t>Section V-C; Figs. 4-5, pp. 208-209</t>
  </si>
  <si>
    <t>Given the context that the app uses VIPER and its project tree, the model answers questions about the architecture of an existing iOS app: the function of files within VIPER modules, their purpose in context, the data flows between View, Interactor, Presenter, Entity and Router, and deviations, patterns and bottlenecks in its adherence to VIPER.</t>
  </si>
  <si>
    <t>Questions on an existing app's VIPER architecture from its tree</t>
  </si>
  <si>
    <t>Sections I and IV-B to IV-C, pp. 6, 8</t>
  </si>
  <si>
    <t>The model scored 100% on analysing questions (5 of 5), which the authors read as a capacity to identify architectural inconsistencies and to infer relationships without seeing code, but lower on recall: 83% on remembering, with one incorrect answer, and 88% on applying, where it struggled to describe data flows between components.</t>
  </si>
  <si>
    <t>Finds deviations; weaker on recall and data flow</t>
  </si>
  <si>
    <t>Sections V-VI; Table I, pp. 8-9</t>
  </si>
  <si>
    <t>MicroPAD filters a repository's files to infrastructure-as-code artefacts by extension or name (Dockerfiles, compose, Kubernetes, Terraform, shell, properties and other configuration files), sends them in chunks to GPT-4o mini with natural-language descriptions of 24 patterns from Richardson's microservice catalogue, and receives a Markdown report of the pattern instances found, with supporting IaC snippets, a justification and a certainty of high, medium or low.</t>
  </si>
  <si>
    <t>Pattern instances detected from IaC with evidence and certainty</t>
  </si>
  <si>
    <t>Section IV-B; Fig. 1, p. 163</t>
  </si>
  <si>
    <t>Run three times on 22 GitHub repositories, 83% of the detected pattern instances were judged present; the high-certainty detections were mostly deployment and discovery patterns (service instance per container, service deployment platform, service registry, client-side discovery), and a considerable part of the catalogue was never detected.</t>
  </si>
  <si>
    <t>83% of detections present; deployment and discovery patterns dominate</t>
  </si>
  <si>
    <t>Section IV-C; Table I, pp. 164-165</t>
  </si>
  <si>
    <t>Six LLMs, given the source code of three DEECo applications written in three DSLs (EDL with Java, TCOOF-ADL in Scala, ML-DEECo in Python), answer six zero-shot questions in three steps about their ensemble-based architectures: which components and ensembles exist and what the application does, which components take a role in an ensemble and under what conditions, and which ensembles form in a stated state of the components.</t>
  </si>
  <si>
    <t>Questions on ensemble-based architectures from their code</t>
  </si>
  <si>
    <t>Sections 3.1 and 3.3-3.5, pp. 644-645</t>
  </si>
  <si>
    <t>With hints, the models understood the definitions of the architectures (components, ensembles, roles, membership conditions), but predicting ensemble formation did not scale with complexity: answers were mostly correct for the EDL application with one ensemble type, only GPT-4o mini answered appropriately for ML-DEECo, with mismatches in corner cases such as a low battery, and all answers were misleading for TCOOF-ADL.</t>
  </si>
  <si>
    <t>Definitions understood; behaviour of complex architectures not</t>
  </si>
  <si>
    <t>Sections 4.4.1-4.4.4, pp. 647-650</t>
  </si>
  <si>
    <t>The model is given a block diagram and a use case diagram in TTool's textual format, with cross-diagram rules (environment blocks must match actors, must not communicate with each other and must communicate with a system block), and returns a JSON list of inconsistencies within and between the diagrams.</t>
  </si>
  <si>
    <t>LLM detects cross-diagram inconsistencies</t>
  </si>
  <si>
    <t>Sections 3.2.3 and 4 (stages C1-C3); Section 5.1.3, pp. 5-8</t>
  </si>
  <si>
    <t>Across three systems, 69 relevant inconsistencies were detected in 24 diagram checks (about 4 per block diagram and 1.7 per use case diagram), with 6 erroneous detections, and regenerating the diagrams with the list of inconsistencies corrected 87% of them, between 50% and 100% per diagram.</t>
  </si>
  <si>
    <t>69 detected; 87% corrected</t>
  </si>
  <si>
    <t>Section 5.3; Table 4, pp. 9-10</t>
  </si>
  <si>
    <t>ChatGPT answers 33 questions about a microservice system's service view (endpoints, parameters, responses, CRUD operations, HTTP methods) and service-interaction view (remote calls, call chains, dependencies) from source code, a call graph reconstructed by static analysis and rendered in natural language (PO-CCG), or both.</t>
  </si>
  <si>
    <t>Questions on service and interaction views</t>
  </si>
  <si>
    <t>Methodology, pp. 4-9; Tables 3-4, pp. 11-12</t>
  </si>
  <si>
    <t>With source code only, mean F1 was 0.794 (SD 0.307); medians were mostly the highest possible score, but variance was high and questions involving more than one microservice were hardest.</t>
  </si>
  <si>
    <t>F1 0.794 from code; multi-service questions hardest</t>
  </si>
  <si>
    <t>Data Analysis Results; Fig. 3, pp. 16-17</t>
  </si>
  <si>
    <t>For 18 of the 33 questions the full controller and service code did not fit the token limit, while the PO-CCG did; the PO-CCG lacked detail for implementation and data-model questions. No knowledge base differed at 0.05; at 0.1, the PO-CCG alone did better than the combination for questions over more than two microservices (Conover test).</t>
  </si>
  <si>
    <t>Reconstructed call graph fits where code does not</t>
  </si>
  <si>
    <t>Tables 5-6, pp. 17-18; Discussion, pp. 17-18</t>
  </si>
  <si>
    <t>Given the system specification and a condensed textual export of a use case diagram and a block diagram, with cross-view rules optionally stated in natural language, the model returns a JSON list of inconsistencies within and between the two diagrams.</t>
  </si>
  <si>
    <t>LLM lists internal and cross-view inconsistencies</t>
  </si>
  <si>
    <t>Sections 4.2.2 and 5.1.3, pp. 22, 25</t>
  </si>
  <si>
    <t>69 detected; 6 erroneous</t>
  </si>
  <si>
    <t>Section 6.1.1; Table 7, pp. 32-33</t>
  </si>
  <si>
    <t>In the dynamic positioning walkthrough the model listed seven inconsistencies: a misspelled actor name, a missing User block, an unconnected DPS block and one irrelevant item; elsewhere it found two blocks that the specification treats as one entity, mismatches the authors say formal rules would not catch.</t>
  </si>
  <si>
    <t>Naming and semantic mismatches found</t>
  </si>
  <si>
    <t>Section 5.1.3, p. 28; Section 6.1.1, p. 33</t>
  </si>
  <si>
    <t>Against a design model with the anemometer and sensor synchronisations removed, the model checking the use case and block diagrams gave one relevant inconsistency of three; given the state machines too, GPT-5.1 found the missing anemometer and missing sensor dependency, plus two relevant issues outside dependency analysis and three false positives, and misread a dependency along a two-edge path.</t>
  </si>
  <si>
    <t>LLM misses logical dependencies along paths</t>
  </si>
  <si>
    <t>Section 5.2.2, pp. 31-32; Appendix B</t>
  </si>
  <si>
    <t>Related activity: a method without an LLM has the engineer tag design-model elements with use case names, transforms the block diagram and state machines into a dependency graph, and compares labels and paths with the use case diagram; it found 0, 9 and 14 inconsistencies in the complete, incomplete and faulty variants, with no errors and none missing.</t>
  </si>
  <si>
    <t>Graph method checks logical dependencies</t>
  </si>
  <si>
    <t>Sections 4.3, 5.2 and 6.1.1; Algorithm 1; Table 8, pp. 23-25, 28-34</t>
  </si>
  <si>
    <t>ChatGPT is given a system's whole source code as a zip archive, or selected code snippets, and asked to list the architectural patterns and tactics the system implements in a table; its answers are compared with those of Archie, a rule-based Eclipse plug-in for detecting tactics.</t>
  </si>
  <si>
    <t>Patterns and tactics extracted from source code</t>
  </si>
  <si>
    <t>Abstract; Sections 1, 2.1 and 2.2, pp. 4363-4366; Figs. 1-4</t>
  </si>
  <si>
    <t>For Apache Flink, ChatGPT named five patterns (pipeline, master-slave, layered, event-driven, service component) where Archie found four others (layers, broker, observer, pipes and filters); for tactics it had 6 true positives against Archie's 18, finding circuit breaker, data partitioning and resource pooling for efficiency, which Archie missed.</t>
  </si>
  <si>
    <t>Different patterns found; 6 tactics against 18</t>
  </si>
  <si>
    <t>Sections 3.1 and 3.2, pp. 4366-4368; Tables 1-4</t>
  </si>
  <si>
    <t>ArchGuard predicts from an issue's title and description alone, when the issue is created and before any code is written, whether resolving it will introduce a new architectural smell or add components to an existing one; the smells are dependency cycles and hub-like components found by the Arcade and Arcan detectors.</t>
  </si>
  <si>
    <t>Smell-inducing issues predicted before implementation</t>
  </si>
  <si>
    <t>Abstract; Sections I, II-A and IV, pp. 44-45, 48</t>
  </si>
  <si>
    <t>A synthesis agent checks each development initiative and its commits against the matching technical design document and the ADRs: it flags divergences such as a TDD calling for a new microservice while the code adds to an existing monolith, and commits that ignore prescribed patterns such as routing all inter-service communication through the event bus.</t>
  </si>
  <si>
    <t>Initiatives checked against TDDs and ADRs</t>
  </si>
  <si>
    <t>Sections 1 and 2.4, pp. 1332-1333</t>
  </si>
  <si>
    <t>To do so it first groups commits from many repositories into initiatives, using Jira references, the functional purpose of changes, time and authorship, and changes to shared libraries or API contracts, and matches the initiatives to epics and TDDs; across repositories it also reports duplicated functionality, monolith accretion contrary to ADRs and services that bypass the event bus or API gateway.</t>
  </si>
  <si>
    <t>Cross-repository initiatives; multi-repository pattern checks</t>
  </si>
  <si>
    <t>Sections 2.3 and 3.2, pp. 1333-1334</t>
  </si>
  <si>
    <t>AI is cast as an assistant to the architect: the authors expect AI-based personal assistants to help designers through decomposition, and describe language models as assisting architects with design tasks and decisions.</t>
  </si>
  <si>
    <t>AI positioned as the architect's assistant</t>
  </si>
  <si>
    <t>1.5 The role assigned to the model: assistant, co-designer or autonomous agent</t>
  </si>
  <si>
    <t>Sections 2 and 5.2 (Q1, Q4), pp. 5, 11-12</t>
  </si>
  <si>
    <t>T1: application context (1.5-1.6)</t>
  </si>
  <si>
    <t>85% (39) of the sources involve human interaction with the model for guidance, validation or supplementation, and 15% (7) none; the authors conclude that fully autonomous architectural decisions are not yet prevalent and that models serve as auxiliary tools, not standalone decision-makers.</t>
  </si>
  <si>
    <t>Assistive, human-in-the-loop use dominates</t>
  </si>
  <si>
    <t>Section 4.2.3; Table 13, pp. 9-10</t>
  </si>
  <si>
    <t>Refinement runs without a human: the model’s decisions are accepted automatically when dependency evidence supports them, or after the model confirms them on a second, more detailed prompt; the aim is to remove the manual refinement architects otherwise do.</t>
  </si>
  <si>
    <t>Automated refinement guarded by algorithmic checks</t>
  </si>
  <si>
    <t>Sections 1, 3.2.2 and 3.4.1-3.4.3, pp. 1688, 1690-1692</t>
  </si>
  <si>
    <t>The authors position models as exploratory, generative partners for architectural sensemaking and early design discussion, not as autonomous architects or decision-makers.</t>
  </si>
  <si>
    <t>Model as exploratory partner, not decision-maker</t>
  </si>
  <si>
    <t>Sections 5 and 7, pp. 7-8</t>
  </si>
  <si>
    <t>Generated decisions are positioned as a first draft for architectural knowledge management, a starting point that a person completes by adding or checking the rationale and removing implementation details.</t>
  </si>
  <si>
    <t>Model output as a first draft</t>
  </si>
  <si>
    <t>Section 5 (Implications for Practitioners), p. 7</t>
  </si>
  <si>
    <t>In the decision-tree experiment the model is put in the position of the human subject who answers the method's questions; the authors claim this shows models can replace human engineers in parts of the design stage, yet also say an architect should not treat the suggestions as a complete analysis.</t>
  </si>
  <si>
    <t>Model in the human's seat, output not a complete analysis</t>
  </si>
  <si>
    <t>Section I, p. 277; Section VI-A, p. 282</t>
  </si>
  <si>
    <t>The model is cast as a tutor, not a designer: it withholds solutions, answers with counter-questions and hints, ignores unrelated questions and adapts its language to novices.</t>
  </si>
  <si>
    <t>Model as tutor that withholds solutions</t>
  </si>
  <si>
    <t>Section III-A, p. 94</t>
  </si>
  <si>
    <t>The model is placed as a co-architect under human control: the workflow pauses after each ADD step so that a human can review and correct the output before the next step; in the reported runs, however, the model worked through all steps without feedback.</t>
  </si>
  <si>
    <t>Co-architect with a review point after each step</t>
  </si>
  <si>
    <t>Sections IV-C, VI-C and VIII, pp. 7, 13-14</t>
  </si>
  <si>
    <t>The agents are decision-making components rather than advisers: their decision overwrites the configuration file and is applied in the next round with no human approval; the only guards described are prompt guardrails (at least two clients per round) and, in the debate strategy, keeping the previous configuration when no consensus is reached.</t>
  </si>
  <si>
    <t>Autonomous runtime decisions, guarded only by prompt rules</t>
  </si>
  <si>
    <t>Sections 3.4, 4.3.3, 4.4 and 5.1, pp. 4, 6-8</t>
  </si>
  <si>
    <t>A human architect configures the workflow, monitors its execution and can intervene to change it, while an orchestrator coordinates the agents; in the user study the workflow ran without human intervention.</t>
  </si>
  <si>
    <t>Architect supervises an agent workflow</t>
  </si>
  <si>
    <t>Sections 3 and 4.1, pp. 2-3; Fig. 1</t>
  </si>
  <si>
    <t>In the interactive treatment (T3) a software architect acts as an oracle for at most 10 prioritised queries per run, correcting component boundaries and responsibilities, and the answers become high-priority constraints; the other treatments run without a human.</t>
  </si>
  <si>
    <t>Architect as a bounded oracle</t>
  </si>
  <si>
    <t>Sections IV and VI-B, pp. 537, 540</t>
  </si>
  <si>
    <t>AI services must be supervised through input specifications and output validation, which needs architecting skill and domain expertise; the architect stays in the loop but is relieved of writing prompts, and the authors reject the view that AI can do it all without human oversight.</t>
  </si>
  <si>
    <t>Architect supervises inputs and outputs</t>
  </si>
  <si>
    <t>Abstract; Sections 1 and 5, pp. 1-2, 7</t>
  </si>
  <si>
    <t>Practitioners see the model as an efficient assistant for generating and recovering rationale, a supplementary aid to their own understanding rather than an authoritative expert: half said the output needs substantial human review, and none would trust it without validation. The models run unattended in the study, the agents in a fixed pipeline in which each agent passes its result to the next.</t>
  </si>
  <si>
    <t>Assistant for rationale, not an expert</t>
  </si>
  <si>
    <t>Sections 3.4.3, 4.4 and 5.3, pp. 14, 24, 30</t>
  </si>
  <si>
    <t>The agents simulate the human roles of the architecture design process in order to automate it fully, as a step towards end-to-end automation of application-level development; people appear only as stakeholders the Analyst consults about ambiguous or conflicting requirements and as experts whose knowledge is elicited beforehand.</t>
  </si>
  <si>
    <t>Autonomous agents in the architect's roles</t>
  </si>
  <si>
    <t>Abstract; Sections 1, 2.2.1, 3.3 and 5, pp. 530-531, 533</t>
  </si>
  <si>
    <t>The model is one automated step in a traceability pipeline: prompts are fixed, responses are parsed by rules, and the component names are passed to TransArC with no human check in between.</t>
  </si>
  <si>
    <t>Automated pipeline step, no human check</t>
  </si>
  <si>
    <t>Sections III-B and III-C, pp. 3-5</t>
  </si>
  <si>
    <t>The models run unattended over the repositories, one detecting and three validating, but the authors place them in hybrid workflows as 'second readers' whose outputs serve as guidance or early warnings rather than final decisions.</t>
  </si>
  <si>
    <t>Unattended screening; findings as early warnings</t>
  </si>
  <si>
    <t>Sections III-D and V, pp. 3-5, 9-10</t>
  </si>
  <si>
    <t>The pipeline runs without human intervention, from code summarisation to pattern-guided clustering, and the LLM-written component descriptions it uses as guidance performed as well as, or slightly better than, descriptions written by hand.</t>
  </si>
  <si>
    <t>Fully automated recovery; LLM descriptions match manual ones</t>
  </si>
  <si>
    <t>Sections IV-D and V-B, pp. 353-354, 356</t>
  </si>
  <si>
    <t>The models are sources of preliminary answers: practitioners can use them to create initial architectural documentation, but their answers must be filtered and verified.</t>
  </si>
  <si>
    <t>Preliminary answers to be verified</t>
  </si>
  <si>
    <t>Section 5, p. 109</t>
  </si>
  <si>
    <t>The model provides useful initial feedback during architecture reviews, but its assessments are checked by an expert whose judgement counts as ground truth, and the authors call human oversight indispensable.</t>
  </si>
  <si>
    <t>Initial feedback for reviews, checked by an expert</t>
  </si>
  <si>
    <t>Abstract; Sections 3 and 5, pp. 116, 119-121</t>
  </si>
  <si>
    <t>The model is a recommender: its corrected architecture is presented to the architect, who selects among solutions and approves the change before it is integrated; the presentation layer in the tool is not yet built.</t>
  </si>
  <si>
    <t>Recommender; the architect approves each fix</t>
  </si>
  <si>
    <t>Sections I, III-C and IV-C, pp. 404, 407-408</t>
  </si>
  <si>
    <t>The generators run unattended over each repository, but the authors position LLMs and agents as assistive tools rather than autonomous architects, since human expertise is still needed.</t>
  </si>
  <si>
    <t>Assistive tools, not autonomous architects</t>
  </si>
  <si>
    <t>Abstract; Section V-C, pp. 245, 253</t>
  </si>
  <si>
    <t>The models act as assistants that aid ROS2 architects in comprehending their systems, with potential for system exploration and validation; the authors suggest consulting several LLMs for a more nuanced understanding, and plan to involve humans in verifying their answers.</t>
  </si>
  <si>
    <t>Assistant for architecture comprehension</t>
  </si>
  <si>
    <t>Sections 1, 7 and 9, pp. 1, 9-11</t>
  </si>
  <si>
    <t>The model is a Socratic mentor: it guides students toward a possible solution by posing questions and thoughts, while the students design and draw the architecture themselves.</t>
  </si>
  <si>
    <t>Socratic mentor; student designs</t>
  </si>
  <si>
    <t>Abstract; Sections 4 and 5.3, pp. 1, 5, 8</t>
  </si>
  <si>
    <t>The models are best seen as capable assistants that draft an initial component map, recall common patterns and suggest extensions, with human architects validating coverage, pruning irrelevancies and steering the style.</t>
  </si>
  <si>
    <t>Assistants drafting component maps for architects</t>
  </si>
  <si>
    <t>Section VI-A, pp. 406-407</t>
  </si>
  <si>
    <t>The model took one of four roles: no role (2 pairs), information source (5), generator of artifacts that the pair refined (8) or producer of the entire design, steered by the pair's prompts (3); in every role the designers scrutinised, adapted or rejected its output.</t>
  </si>
  <si>
    <t>Four roles, from non-use to producer</t>
  </si>
  <si>
    <t>Section 4.2.1; Fig. 1, pp. 1786-1787</t>
  </si>
  <si>
    <t>The authors see the model as a competent assistant and sounding board that helps the architect scan the horizon of possible solutions and their pros and cons, while humans make the architectural decisions.</t>
  </si>
  <si>
    <t>Sounding board and horizon scanner; humans decide</t>
  </si>
  <si>
    <t>Abstract; closing section, pp. 87-88, 94</t>
  </si>
  <si>
    <t>In the long term the authors want LLMs to simplify creating and refining DEECo architectures, whose semantics are a hurdle for newcomers; this first step tests whether a generic model understands them, and concludes it could be employed in their design and development if given basic information on how ensembles are designed.</t>
  </si>
  <si>
    <t>Aid for designing ensemble architectures, first tested for understanding</t>
  </si>
  <si>
    <t>Abstract; Sections 1 and 6, pp. 208-209, 221</t>
  </si>
  <si>
    <t>The authors see LLMs as architecture design partners rather than one-shot migration automation: their decompositions are alternative proposals for architects to review and refine, most useful for exploring candidate service boundaries; the study pipeline itself runs without a human in the loop.</t>
  </si>
  <si>
    <t>Design partner proposing alternatives; pipeline unattended</t>
  </si>
  <si>
    <t>Sections III-D and VI-A, pp. 272, 276</t>
  </si>
  <si>
    <t>The model is positioned as a decision-support tool and a credible assistant that gives architects a rapid starting point for decomposition, with architects and stakeholders refining its output.</t>
  </si>
  <si>
    <t>Assistant giving architects a starting point</t>
  </si>
  <si>
    <t>Abstract; Sections 2.2 and 5, pp. 79, 81, 87</t>
  </si>
  <si>
    <t>AI is to replace manual architecting methods, generating MLOps architectures and giving continuous, self-adapting architectural guidance; the proposed model generation and conformance checks are automated pipeline stages, and only pipeline generation keeps a human in the loop.</t>
  </si>
  <si>
    <t>Automation replacing manual methods in a pipeline</t>
  </si>
  <si>
    <t>Sections 1, 3 and 5, pp. 156, 160, 164-165</t>
  </si>
  <si>
    <t>Models are to relieve architects of the effort of writing ADRs and to fill gaps in incomplete ADR collections retrospectively; the authors give defaults for tool builders.</t>
  </si>
  <si>
    <t>Drafting assistant for ADRs</t>
  </si>
  <si>
    <t>Sections 1 and 5.2.1, pp. 1, 8-9</t>
  </si>
  <si>
    <t>The study aims to establish what models can do before they are trusted with more autonomous architectural design, and suggests that locally hosted open models can support architectural decisions without sharing proprietary requirements with public services.</t>
  </si>
  <si>
    <t>Capability check before autonomy; local models for confidentiality</t>
  </si>
  <si>
    <t>Sections 1 and 6, pp. 2, 22</t>
  </si>
  <si>
    <t>The model acts as a decision-making part of the adaptation manager at runtime; a human only prepares the specification and, optionally, a strategy in natural language, and the authors see this as easier for domain experts than programming the strategy.</t>
  </si>
  <si>
    <t>Model as part of the adaptation manager</t>
  </si>
  <si>
    <t>Sections 3, 6.3.1 and 6.8, pp. 2, 6, 11</t>
  </si>
  <si>
    <t>The workflow is a decision-support and semi-automated documentation assistant, not a replacement for people: its ADRs are reviewable drafts, and the authors expect the barrier to ADR adoption to shift from writing records to reviewing them.</t>
  </si>
  <si>
    <t>Documentation assistant producing reviewable drafts</t>
  </si>
  <si>
    <t>Sections 1, 6 and 8, pp. 1, 5-6</t>
  </si>
  <si>
    <t>The models are positioned as producing plausible design drafts for architects to triage, with low-salience services and weakly supported links surfaced for human confirmation.</t>
  </si>
  <si>
    <t>Draft generator with human triage</t>
  </si>
  <si>
    <t>Sections 5 and 7, pp. 6-7</t>
  </si>
  <si>
    <t>The model is positioned as a complementary, not authoritative, evaluator whose outputs are hypotheses for expert review; in the study an expert (one of the authors) checked every rating and justification against the diagram and its description.</t>
  </si>
  <si>
    <t>Complementary evaluator; outputs as hypotheses for an expert</t>
  </si>
  <si>
    <t>Sections 3.5, 5 and 7, pp. 91-92, 94-95</t>
  </si>
  <si>
    <t>The agent may generate alternatives, detect inconsistencies or propose refinements but cannot commit architectural decisions; every output passes a human validation gate, and the architect keeps intent, constraints, interpretation and final validation; the current model assumes one architect and one agent.</t>
  </si>
  <si>
    <t>Advisory agent behind a human validation gate</t>
  </si>
  <si>
    <t>Sections 1, 3.3, 4 and 4.2, pp. 3, 8-11</t>
  </si>
  <si>
    <t>The recovery runs autonomously, steered by a user-specified goal such as a desired architectural style or decomposition pattern; no engineer takes part, and interactive refinement with engineers is future work.</t>
  </si>
  <si>
    <t>Autonomous recovery steered by a user goal</t>
  </si>
  <si>
    <t>Sections III-IV and VIII, pp. 495, 502</t>
  </si>
  <si>
    <t>The planned assistant is meant to support the decision-making of architects, researchers and practitioners by consulting curated security knowledge, above all for architects with less expertise in choosing patterns.</t>
  </si>
  <si>
    <t>Decision-support assistant for less experienced architects</t>
  </si>
  <si>
    <t>Abstract; Sections 1 and 7, pp. 1, 5</t>
  </si>
  <si>
    <t>The LLM acts as a semantic variation operator whose candidates are filtered by a formal kernel and ranked by computable proxies; no architect takes part in the loop, and an interactive human-in-the-loop workbench is future work.</t>
  </si>
  <si>
    <t>LLM as variation operator under formal control</t>
  </si>
  <si>
    <t>Sections 3 and 6, pp. 367, 370</t>
  </si>
  <si>
    <t>LLMs are positioned as structured first-pass assessors for review triage rather than certification: they flag diagrams and guidelines that deserve attention, while their assessments are not final judgements of architectural quality.</t>
  </si>
  <si>
    <t>First-pass assessor for review triage, not an authority</t>
  </si>
  <si>
    <t>Sections 5 and 7, pp. 9-10</t>
  </si>
  <si>
    <t>Proposed: users can add or correct knowledge by hand, the agent resolves minor inconsistencies itself but escalates critical conflicts, asks architects targeted questions on ambiguous decisions and seeks confirmation before removing or merging knowledge.</t>
  </si>
  <si>
    <t>Agent resolves minor issues, escalates critical ones</t>
  </si>
  <si>
    <t>Sections 1, 3.1 and 3.4, pp. 487-489</t>
  </si>
  <si>
    <t>The pipeline is meant as an automated drafting tool that helps engineers sketch architecture models and see how changes in a problem description affect them, a starting point to be refined afterwards; the authors judge it not yet ready for real-world use.</t>
  </si>
  <si>
    <t>Drafting tool and starting point, not ready for real use</t>
  </si>
  <si>
    <t>Sections I, IV-A and V, pp. 291, 298</t>
  </si>
  <si>
    <t>The recovered diagram is an initial baseline rather than a final source: it is used as is for internal engineering and knowledge transfer, but must be curated by people before it crosses the trust boundary to external or client-facing use; the architect's effort shifts from drawing diagrams to validating the discrepancies they expose.</t>
  </si>
  <si>
    <t>Baseline behind a trust boundary; architect validates</t>
  </si>
  <si>
    <t>Sections 6.1 and 7; Table 2, pp. 4-7</t>
  </si>
  <si>
    <t>Under a human-on-the-loop design the model drives the analysis, while the user can pause the loop to verify evidence, adjust objectives or constraints, re-instruct the agent, resolve conflicting relations, correct wrong nodes through a source-verification interface, and makes the final decision.</t>
  </si>
  <si>
    <t>Model analyses; human supervises, corrects and decides</t>
  </si>
  <si>
    <t>Sections I and III-C; Fig. 3, pp. 114, 116</t>
  </si>
  <si>
    <t>The model is placed as a co-pilot in the architecture process: concerns 'shall be mapped to architectural modules using proposals by AI', and AI is to propose component designs from the reference and current architecture.</t>
  </si>
  <si>
    <t>Model as co-pilot proposing mappings and designs</t>
  </si>
  <si>
    <t>Abstract; Section 5, pp. 119, 124</t>
  </si>
  <si>
    <t>The tool gives an initial, lightweight quality check of solutions submitted to the marketplace, to support experts and save their time; the study first asked how far an LLM-based expert could replace the human expert, and the target users then shifted from municipalities to developers and architects who receive feedback on their documentation.</t>
  </si>
  <si>
    <t>Lightweight first check supporting experts; feedback to developers</t>
  </si>
  <si>
    <t>Sections 4, 5.1 and 5.2, pp. 7, 9-10</t>
  </si>
  <si>
    <t>The model is cast by role prompting as a 'Meticulous Software Architect' that drafts the documentation; participants asked for human input and cross-checks with existing documentation, and the authors present the output as a usable reference whose inaccuracies are mostly local, leaving human-in-the-loop refinement to future work.</t>
  </si>
  <si>
    <t>Model drafts as an architect; humans review</t>
  </si>
  <si>
    <t>Sections III-C, V-D and VII, pp. 204, 209-210</t>
  </si>
  <si>
    <t>The authors conclude that the model grasps front-end architectural principles but that its understanding of software design is limited, so architects keep a critical role and LLMs are tools rather than replacements in development.</t>
  </si>
  <si>
    <t>Tool, not replacement; architects keep a critical role</t>
  </si>
  <si>
    <t>Section VI, pp. 8-9</t>
  </si>
  <si>
    <t>The long-term aim is to use LLMs to simplify designing and developing ensemble-based architectures, with understanding existing architectures as the first step; the authors conclude that models cannot be fully trusted when answering questions about the behaviour of complex ensemble-based architectures.</t>
  </si>
  <si>
    <t>Design aid in prospect; not trusted on behaviour</t>
  </si>
  <si>
    <t>Sections 1, 4.4.4 and 6, pp. 641-642, 650, 654</t>
  </si>
  <si>
    <t>The model was used as a support tool, not a source of truth: the team eliminated impractical solution paths, switched the model between researcher, architect and developer personas when it stalled, and had human experts validate every output before moving to the next phase.</t>
  </si>
  <si>
    <t>Support tool under expert validation at each phase</t>
  </si>
  <si>
    <t>Technical Requirements, GenAI Solution, pp. 7-8; Discussion, p. 11</t>
  </si>
  <si>
    <t>ChatGPT served as a development bot and support tool for novice students across all phases, from understanding requirements to deployment, within teams with predefined roles; the authors call for a balanced approach to relying on it.</t>
  </si>
  <si>
    <t>Development bot supporting novices; balanced use</t>
  </si>
  <si>
    <t>Abstract, p. 1; Sections 3.1 and 3.3, pp. 2-3; Section 6, p. 8</t>
  </si>
  <si>
    <t>The tool is meant to help system architects produce preliminary designs: the user takes over once the automatic loop ends, can ask for refinements and decides when to draw the diagram; in the evaluation this interaction was disabled, and the authors expect engineers to refine the drafts.</t>
  </si>
  <si>
    <t>Preliminary designs for architects to refine</t>
  </si>
  <si>
    <t>Sections 1, 3.4 and 5.3, pp. 27, 30, 36</t>
  </si>
  <si>
    <t>Engineers stay in the loop: they review each generated diagram, can ask for improvements or new diagrams, choose which diagrams to compare, and the erroneous inconsistencies are set aside before correction.</t>
  </si>
  <si>
    <t>Engineers review and select</t>
  </si>
  <si>
    <t>Section 4 (stages U4, B4, C1); Section 5.3, pp. 5-6, 9</t>
  </si>
  <si>
    <t>The model works as a one-shot generator: students had no part in the prompts and only evaluated the finished diagrams, and the authors propose LLM-generated scaffolding followed by human UML review.</t>
  </si>
  <si>
    <t>One-shot generator; human review proposed</t>
  </si>
  <si>
    <t>Section 5, pp. 16-17; Appendix B, p. 26</t>
  </si>
  <si>
    <t>The tool produces initial drafts for the system architect to refine: users can ask for refinements in the interface, can inspect the full interaction history, and remain responsible for assessing and refining the diagrams; in the evaluation no one modified the generated diagrams.</t>
  </si>
  <si>
    <t>Drafts for the architect to refine</t>
  </si>
  <si>
    <t>TTool-AI: An Overview, p. 3; Mechanisms, p. 5; Evaluation, pp. 14, 16</t>
  </si>
  <si>
    <t>ChatGPT acts as a question-answering assistant over a system's code and reconstructed structure, intended as an interactive documentation assistant for developers.</t>
  </si>
  <si>
    <t>Interactive documentation assistant</t>
  </si>
  <si>
    <t>Introduction, p. 2; Future Work, p. 20</t>
  </si>
  <si>
    <t>ChatGPT acts as a documentation assistant: the authors fed feedback back until each artefact was judged compliant or no longer improved, and human input was needed to refine responses and tune queries.</t>
  </si>
  <si>
    <t>Assistant refined through feedback</t>
  </si>
  <si>
    <t>Section 1, p. 1; Section 3.3, p. 3</t>
  </si>
  <si>
    <t>The engineer analyses each generated diagram, chooses which diagrams to compare and which detected inconsistencies to correct, and sets aside erroneous ones; the authors call user involvement essential because of false positives, and the graph method depends on the engineer's tags.</t>
  </si>
  <si>
    <t>Engineer selects and filters; tags elements</t>
  </si>
  <si>
    <t>Sections 4.2.1, 4.2.2 and 4.3.1, pp. 20, 22-23; Section 5.1.3, p. 28; Section 6.3, p. 34</t>
  </si>
  <si>
    <t>ChatGPT is presented not as a replacement for specialised tools such as Archie but as a complementary tool in architectural analysis workflows, and the authors propose combining the two in a hybrid solution.</t>
  </si>
  <si>
    <t>Complement to rule-based tools</t>
  </si>
  <si>
    <t>Abstract; Section 5, pp. 4363, 4368-4369</t>
  </si>
  <si>
    <t>The predictor is meant to sit in the development workflow and warn developers when they open an issue that it may grow architectural smells; the developer decides what to do, and the authors present it as a lightweight filter rather than a definitive verdict.</t>
  </si>
  <si>
    <t>Early-warning filter; developers decide</t>
  </si>
  <si>
    <t>Sections II-C and VII-A, pp. 45-46, 52; Fig. 3</t>
  </si>
  <si>
    <t>The agents run unattended, one on every push and one periodically, and report drift as comments on the pull request before merge; architects review the flagged drift in their governance work and can ask a conversational interface which initiatives carry drift warnings.</t>
  </si>
  <si>
    <t>Unattended agents; PR comments and architect queries</t>
  </si>
  <si>
    <t>Sections 1, 2.1, 3.1 and 5, pp. 1332-1335</t>
  </si>
  <si>
    <t>At design time, automated decomposition is reported to cut the time and effort of identifying service boundaries, improve its accuracy and yield more modular, cohesive architectures. The research question asks for benefits compared with methods that do not use AI, but no comparative figures are given.</t>
  </si>
  <si>
    <t>Automated decomposition reported to save effort and improve modularity</t>
  </si>
  <si>
    <t>1.6 Reported benefits in practice</t>
  </si>
  <si>
    <t>Section 5.2 (Q3), p. 12</t>
  </si>
  <si>
    <t>Beyond design, AI-informed designs are credited with better runtime scalability and resilience through AI-based autoscaling and proactive fault handling, and AI tools are said to reduce the cognitive load on architects and developers.</t>
  </si>
  <si>
    <t>Runtime scalability, resilience and lower cognitive load claimed</t>
  </si>
  <si>
    <t>Sections 5.2 (Q3) and 5.3, pp. 12, 14</t>
  </si>
  <si>
    <t>Benefits are stated in general terms: generative AI does well on tasks grounded in natural language and structured templates, grey sources present models as copilots giving quick recommendations, and the authors conclude that models can help architects in many respects. No benefit is quantified across the sources.</t>
  </si>
  <si>
    <t>Benefits stated qualitatively, not measured</t>
  </si>
  <si>
    <t>Sections 1, 5.4 and 7, pp. 2, 18</t>
  </si>
  <si>
    <t>Accuracy improved for all 90 input architectures on all five metrics; measured as reduction in distance to a perfect score the gains range from 17.72% to 43.35%, and relative increases reach 118.57% for MoJoFM and 100.41% for a2a_adj.</t>
  </si>
  <si>
    <t>Consistent accuracy gains on every input</t>
  </si>
  <si>
    <t>Section 4.2.1; Tables 2 and 3, pp. 1693-1694</t>
  </si>
  <si>
    <t>Combined with the strongest input tool (SARIF), SemRef gives the best recovery result on all nine projects, 24.49% closer to the ground truth on average than the best baseline.</t>
  </si>
  <si>
    <t>Best recovery results when combined with SARIF</t>
  </si>
  <si>
    <t>Section 4.2.1; Table 6, p. 1695</t>
  </si>
  <si>
    <t>Beyond accuracy, the flat module list becomes a hierarchy that users can read at the level of abstraction they need, and each module comes with a summary of its responsibility.</t>
  </si>
  <si>
    <t>Hierarchy and summaries aid comprehension</t>
  </si>
  <si>
    <t>Section 5.1, p. 1697</t>
  </si>
  <si>
    <t>Benefits are stated cautiously: text-driven generation can work where code and traces are missing, and richer descriptions may help interpretation, but the authors say the results are not evidence of architectural quality or suitability for deployment.</t>
  </si>
  <si>
    <t>Benefits claimed only as possibilities</t>
  </si>
  <si>
    <t>Sections 2.1, 4.3 and 7, pp. 3, 6, 8</t>
  </si>
  <si>
    <t>The claimed benefit is a significantly lower documentation effort, stated as an implication for practitioners rather than measured.</t>
  </si>
  <si>
    <t>Lower documentation effort, claimed not measured</t>
  </si>
  <si>
    <t>Section 5, p. 7</t>
  </si>
  <si>
    <t>Benefits claimed: reasonable suggestions even from minimal prompts, pattern lists close to those of human participants when guided by the decision tree, and less need for extensive human surveys when refining a decision method.</t>
  </si>
  <si>
    <t>Reasonable suggestions; fewer human surveys</t>
  </si>
  <si>
    <t>Abstract; Section I, pp. 276-277; Section VI, p. 282</t>
  </si>
  <si>
    <t>Claimed benefits: novices can learn architecture without fear of being judged, teachers and human tutors are relieved with large groups, and the initial tests show the models can basically assist students and encourage them to evaluate their own architectures.</t>
  </si>
  <si>
    <t>Learning without judgement; relief for teachers</t>
  </si>
  <si>
    <t>Section V, p. 96</t>
  </si>
  <si>
    <t>Benefits reported: design much faster than manual design (warehouse iterations took about 20 minutes each), complete documentation that one evaluator judged deeper, more structured and more traceable than most documentation met in practice, and a process that students replicated without difficulty.</t>
  </si>
  <si>
    <t>Faster design and deeper documentation</t>
  </si>
  <si>
    <t>Sections I, VI-A and VI-C, pp. 1, 12-13</t>
  </si>
  <si>
    <t>In image classification, the agentic strategies reached a final accuracy (F1) of 0.84-0.85 against about 0.79 for the strongest baseline, the rule-based Expert-Driven, although only the voting strategy was significantly more accurate than it; in text classification accuracy differed little, and all strategies significantly reduced training and communication time against all baselines.</t>
  </si>
  <si>
    <t>Accuracy and time gains from runtime pattern selection</t>
  </si>
  <si>
    <t>Section 5.2, pp. 9-10; Fig. 8; Table 5</t>
  </si>
  <si>
    <t>On a score weighting normalised accuracy and total time equally, the agentic strategies generally did better than the baselines, except the role-based strategy in image classification; voting and debate roughly halved the round time of random activation in image classification (about 192 and 194 s against 379 s).</t>
  </si>
  <si>
    <t>Accuracy-time balance mostly better than the baselines</t>
  </si>
  <si>
    <t>Sections 6.1 and 6.4, pp. 12-14; Fig. 10</t>
  </si>
  <si>
    <t>In a blind user study over 29 repositories, the agentic ADRs were rated higher than single-prompt ADRs on every criterion with both models (overall 3.8-3.9 against 3.3 on a 1-5 scale), with the largest gap in completeness; participants found them more structured and closer to 'actual architectural reasoning', and called single-prompt ADRs wordy, abstract and generic.</t>
  </si>
  <si>
    <t>Agentic ADRs rated better than single-prompt ADRs</t>
  </si>
  <si>
    <t>Section 4.3, p. 4; Table 1</t>
  </si>
  <si>
    <t>Early results of the ADR-review prompt with several LLMs are described as mostly positive, but without figures; a systematic evaluation is still under way.</t>
  </si>
  <si>
    <t>Early results mostly positive, not yet evaluated</t>
  </si>
  <si>
    <t>Section 4, p. 7</t>
  </si>
  <si>
    <t>With every strategy the models find most of the experts' arguments (recall above 0.6, above 0.7 with agents) without being told which perspectives to consider, and they add helpful arguments the experts overlooked, including disadvantages of a decision. Practitioners name four uses: comparing architecture designs, understanding unfamiliar architectures, understanding the decisions in the current system when documentation is missing, and guiding architectural evolution.</t>
  </si>
  <si>
    <t>Most of the experts' arguments found, more perspectives added</t>
  </si>
  <si>
    <t>Sections 4.4 and 5.2, pp. 24-25, 28-29</t>
  </si>
  <si>
    <t>Benefits are claimed, not shown: automated design is to make architectural work more efficient, scalable and consistent and to reduce the cost of human expertise, and interaction among agents is expected to improve reliability and creativity over zero-shot prompting.</t>
  </si>
  <si>
    <t>Efficiency and consistency claimed, not shown</t>
  </si>
  <si>
    <t>Abstract; Sections 1 and 5, pp. 530, 533</t>
  </si>
  <si>
    <t>With component names extracted by GPT-4o from the documentation, trace-link recovery reaches a weighted average F1 of 0.86 against 0.87 with the manual model, with no significant difference in either direction (p = 0.97 and 0.09), and significantly beats every approach without a model (ArDoCode 0.62; macro average 0.76 against 0.37; p of 0.031 or less); all eight models beat those approaches on weighted average.</t>
  </si>
  <si>
    <t>As good as a manual model for trace links</t>
  </si>
  <si>
    <t>Sections V-A and VI; Tables II-III, pp. 6, 10</t>
  </si>
  <si>
    <t>On 305 manually validated decisions, Marco-o1 reached accuracy 0.911 (MCC 0.844) and Qwen3 0.904, against 0.852 for Mistral-Nemo and 0.829 for Llama 3.1; all models did best on compliant decisions (F1 0.88-0.95). The authors see LLMs as able to automate routine reviews, highlight potential violations and help architects navigate large repositories when decisions are explicit and visible in code.</t>
  </si>
  <si>
    <t>Over 90% accuracy for the best models on code-visible decisions</t>
  </si>
  <si>
    <t>Sections IV-B and V, pp. 7-10; Tables VI-VII</t>
  </si>
  <si>
    <t>Across 15 projects SemArc improved on the average of seven baselines by 41 MoJoFM, 9 a2a, 42 ARI, 31 a2a_adj and 35 c2c_cvg points, and on the second-best method (SARIF) by 8, 4, 13, 10 and 19; on 30 further projects it improved on the baseline average by 15, 6, 35, 24 and 25 points. In the Bash case study the authors argue that its component view is clearer than the ground truth's large 'general' module.</t>
  </si>
  <si>
    <t>Better than seven baselines on 15 and 30 projects</t>
  </si>
  <si>
    <t>Sections IV-B and V-A; Tables VIII-IX, pp. 349-351, 355-356</t>
  </si>
  <si>
    <t>All models reach higher recall than precision. For components and connectors most models perform alike, so practitioners can choose among all but TinyLlama and Qwen; for quality solutions DeepSeek is recommended, and for rationale DeepSeek or GPT-4o mini, the distilled 70B model outperforming larger ones.</t>
  </si>
  <si>
    <t>Recall above precision; model choice by knowledge concept</t>
  </si>
  <si>
    <t>Sections 3 and 5; Fig. 2; Table 3, pp. 105-110</t>
  </si>
  <si>
    <t>The model's assessments aligned well with the expert's, above all for clarity and consistency, and it detected inconsistencies, vague labels, mismatched symbols and elements missing from diagrams; by our count of Table 1 the expert agreed fully with 14 of its 20 ratings, partially with 5 and disagreed with 1.</t>
  </si>
  <si>
    <t>Issues detected, largely in line with an expert</t>
  </si>
  <si>
    <t>Sections 4-5; Table 1, pp. 119-121</t>
  </si>
  <si>
    <t>Gemini 1.5 gave correct fixes in 90% of the 20 cases and ChatGPT-4o in 70%, Gemini never adding undesired changes; component omissions were the easiest violations to resolve, and the models correctly identified the missing target component.</t>
  </si>
  <si>
    <t>Most violations repaired correctly</t>
  </si>
  <si>
    <t>Sections IV-D and IV-E; Tables I-II, pp. 408-409</t>
  </si>
  <si>
    <t>The custom multi-agent approach did best (clarity failures 22.6%, level of detail met in 50% of human-rated views); the authors judge view generation practically viable for specific use cases, with control-flow and data-flow views the most reliable, and see even imperfect views as starting points for understanding unfamiliar or legacy systems.</t>
  </si>
  <si>
    <t>Best agent 22.6% clarity failures; views as starting points</t>
  </si>
  <si>
    <t>Abstract; Sections IV and V-C; Tables III-IV, pp. 245, 249-253</t>
  </si>
  <si>
    <t>Accuracy averaged 98.22% across models, with every model correct on the smallest system; gemini-2.5-pro answered all questions correctly, and the cheapest model, gemini-2.5-flash, reached 99.72%.</t>
  </si>
  <si>
    <t>Near-perfect accuracy on explicit facts</t>
  </si>
  <si>
    <t>Section 6.2; Table 5, pp. 6-8</t>
  </si>
  <si>
    <t>Students valued the mentor for foundational understanding, suggestions and structuring, detailed explanations and interactive reinforcement; the architectures designed with it were not rated significantly better (median 15 against 14.5 of 22), and time spent was similar (about 64 against 66 minutes).</t>
  </si>
  <si>
    <t>Valued by students; no measurable gain in design quality</t>
  </si>
  <si>
    <t>Sections 6.2-6.3, pp. 9-11</t>
  </si>
  <si>
    <t>o3 recovered 11 of the first system's 12 components under every prompt and Gemini up to 11; chaining a refining model after a drafting model raised the F1 of generated architectures from 19-72% in single passes to means of 66-86%.</t>
  </si>
  <si>
    <t>Most components recovered; refinement raises accuracy</t>
  </si>
  <si>
    <t>Section V; Tables I-III, pp. 403-407</t>
  </si>
  <si>
    <t>Designers reported more confidence, a sanity check for their designs and a quick starting point, found that reviewing the model's responses revealed omissions and reuse opportunities, and saw it as suited to early, high-level and greenfield design; whether it improves design quality was not assessed.</t>
  </si>
  <si>
    <t>Confidence, starting points and insights; quality not measured</t>
  </si>
  <si>
    <t>Sections 4.3.2, 4.4 and 5, pp. 1789-1790</t>
  </si>
  <si>
    <t>All 56 generated alternatives were judged appropriate by the authors, and none of those shown to workshop participants was flagged; the models agreed (at least four of five answers) on 12 of the 14 problems; enumerating pros and cons lets an architect eliminate many alternatives quickly.</t>
  </si>
  <si>
    <t>Appropriate alternatives; models largely agree</t>
  </si>
  <si>
    <t>Results RQ1-RQ2; Table 1; closing section, pp. 90-92, 94</t>
  </si>
  <si>
    <t>With hints, the model identified components and ensembles correctly and answered detailed role and membership questions satisfactorily for all three applications; its predictions of ensemble instantiation were mostly correct for two applications, and in boundary cases, such as a drone's low battery, its decision sometimes seemed better than the runtime's.</t>
  </si>
  <si>
    <t>Mostly correct with hints; boundary cases</t>
  </si>
  <si>
    <t>Section 4.1, pp. 217-218</t>
  </si>
  <si>
    <t>LLM decompositions had higher cyclic independence than the benchmark tools (87.83 against 65.11, close to the reference's 91.67), comparable modularity and business context purity, and lower variance across systems.</t>
  </si>
  <si>
    <t>Fewer cyclic dependencies than tools; comparable modularity</t>
  </si>
  <si>
    <t>Section V-B; Table II; Fig. 5, pp. 274-275</t>
  </si>
  <si>
    <t>Experts rated the one-shot architectures highest (correctness 4.75 and 4.5, plausibility 4.5 for both systems), above the zero-shot ones and the implemented reference architectures, which they found clean but incomplete.</t>
  </si>
  <si>
    <t>One-shot designs rated above the references</t>
  </si>
  <si>
    <t>Section 4.3; Table 3, pp. 84-86</t>
  </si>
  <si>
    <t>Benefits are claimed, not shown: automated model generation would dramatically reduce modelling effort early in a project, and LLM-based conformance checking would remove the remaining manual work of writing detectors and metrics.</t>
  </si>
  <si>
    <t>Reduced modelling and checking effort claimed</t>
  </si>
  <si>
    <t>Section 5, pp. 164-165</t>
  </si>
  <si>
    <t>With suitable context a compact local model (Gemma-3-4B) produced ADRs comparable to models with an order of magnitude more parameters, and the last-K strategy needs no retrieval infrastructure; the authors add that using models may encourage more self-contained ADRs.</t>
  </si>
  <si>
    <t>Small local models suffice with context; simple default</t>
  </si>
  <si>
    <t>Sections 5.1-5.2.1, pp. 7-9</t>
  </si>
  <si>
    <t>Larger models applied the requested patterns reliably, concise requirement lists sufficed for smaller models on simple systems, and with pattern-specific retrieved material even local models produced correct layered architectures.</t>
  </si>
  <si>
    <t>Reliable pattern application by large models; local models with RAG</t>
  </si>
  <si>
    <t>Sections 4.1-4.2; Figs. 7-9 and 12, pp. 14-15, 18</t>
  </si>
  <si>
    <t>No use-case-specific data or training is needed, unlike the ML and RL managers; a strategy can be stated in natural language instead of code; a reasoning model came up with an efficient heuristic of its own; and online prompting handled roughly three to five times larger problems than the constraint solver used before.</t>
  </si>
  <si>
    <t>No training data; strategy in text; larger problems than a solver</t>
  </si>
  <si>
    <t>Sections 1, 6.6.4, 6.8 and 8, pp. 2, 9, 11, 13</t>
  </si>
  <si>
    <t>Compared with zero-shot and few-shot prompting, the workflow gave more stable sets of ADRs with better adherence to the template and richer explanations; participants said the ADRs helped them recall decisions (51 of 55) and learn about architectural documentation (49 of 55).</t>
  </si>
  <si>
    <t>More stable, structured ADRs; recall and learning value</t>
  </si>
  <si>
    <t>Sections 5.1-5.2 and 6, pp. 4-5</t>
  </si>
  <si>
    <t>The models converged on each domain's core flows (for example, owner to pet to visit to vet), and the authors derive practical guidance on which model to use for recall, cleaner graphs or precision.</t>
  </si>
  <si>
    <t>Agreement on the domain spine; model-choice guidance</t>
  </si>
  <si>
    <t>Sections 4.2 and 5, pp. 5-6</t>
  </si>
  <si>
    <t>The model gave useful surface-level observations, such as spotting inconsistent labelling or uneven visual conventions, and was most stable on consistency and, to a lesser extent, clarity; the authors see it as a useful assistant for preliminary reviews.</t>
  </si>
  <si>
    <t>Surface checks useful for preliminary reviews</t>
  </si>
  <si>
    <t>Sections 1, 4.5 and 5, pp. 88-89, 94</t>
  </si>
  <si>
    <t>Absence: no benefit is measured; the prototype only illustrates feasibility, and the stated hypothesis that the collaboration improves the quality and consistency of architectural decisions is not tested.</t>
  </si>
  <si>
    <t>Absence: no benefit measured; hypothesis untested</t>
  </si>
  <si>
    <t>Section 4.3 is where it would appear, pp. 12-13</t>
  </si>
  <si>
    <t>The authors report semantically meaningful, coherent decompositions and see the function-level components as support for comprehension, documentation, piece-by-piece ('Chicken Little') migration, component extraction for microservices and interface documentation.</t>
  </si>
  <si>
    <t>Coherent decompositions; support for migration and comprehension</t>
  </si>
  <si>
    <t>Sections III and VIII, pp. 495, 502</t>
  </si>
  <si>
    <t>The authors conclude that LLMs can reasonably interpret workflow architectures to answer questions about their structure, behaviour and basic functionality, and that the methodology is viable for evaluating this.</t>
  </si>
  <si>
    <t>Reasonable interpretation of workflow architectures</t>
  </si>
  <si>
    <t>Sections 4.3 and 6, pp. 614, 617</t>
  </si>
  <si>
    <t>Grounding the model in the specialised corpus yielded better suggestions and verifiable references (traceability) than general-purpose models.</t>
  </si>
  <si>
    <t>Better suggestions and traceable references with the corpus</t>
  </si>
  <si>
    <t>Sections 6 and 9, pp. 5-6</t>
  </si>
  <si>
    <t>Formal validation stayed cheap relative to generation (3.13 s for Lean verification against 15.96 s for LLM generation in Fig. 3c), so it can stay inside the loop, and each result is an inspectable service graph.</t>
  </si>
  <si>
    <t>Cheap formal checks in the loop; inspectable service graphs</t>
  </si>
  <si>
    <t>Section 5; Fig. 3c, pp. 368-369</t>
  </si>
  <si>
    <t>The models were most reliable for checklist-like inspection of whether components, interactions, actors and technologies are present, and experts preferred image-based justifications in 60.8% of decided pairwise comparisons (113 against 73, with 67 ties; p = 0.0034).</t>
  </si>
  <si>
    <t>Useful checklist-style inspection; image-based reasoning preferred</t>
  </si>
  <si>
    <t>Sections 4.3 and 5; Tables 6-7, pp. 8-9</t>
  </si>
  <si>
    <t>Absence: nothing is implemented or evaluated, so no benefit is reported.</t>
  </si>
  <si>
    <t>Absence: no benefit reported</t>
  </si>
  <si>
    <t>Section 3 is where it would appear, pp. 488-489</t>
  </si>
  <si>
    <t>The authors see the benefit in immediacy: engineers can grasp a system's structure straight from an informal specification, without a rigorous, time-consuming requirements analysis, which helps in early phases while the problem is still poorly understood.</t>
  </si>
  <si>
    <t>Structure grasped early, without prior requirements analysis</t>
  </si>
  <si>
    <t>Sections II and V, pp. 293, 298</t>
  </si>
  <si>
    <t>Practitioners reported that creating an architectural baseline fell from hours to minutes, and saw value in documentation that stays current, in a starting canvas for kick-offs, readiness checks and onboarding, in an audit function that exposes documentation debt and drift, and in an incentive for better ticket hygiene.</t>
  </si>
  <si>
    <t>Hours to minutes; fresh documentation; audit and onboarding</t>
  </si>
  <si>
    <t>Analysis time fell by about 80% (a five-fold speedup) while the evidence path stayed explicit and auditable, and domain-agnostic papers brought in comparison points the expert had missed.</t>
  </si>
  <si>
    <t>About 80% less time; auditable evidence; new comparison points</t>
  </si>
  <si>
    <t>Abstract; Section IV-B, pp. 114, 117</t>
  </si>
  <si>
    <t>The authors report that the explicit intermediate artefacts improve the controllability and traceability of recovery and support high-fidelity architectural representations recovered directly from repository artefacts.</t>
  </si>
  <si>
    <t>Controllable, traceable, high-fidelity recovery</t>
  </si>
  <si>
    <t>Sections 5.3 and 6, p. 112</t>
  </si>
  <si>
    <t>The authors conclude that LLMs are a useful support that gives an initial impression of documentation quality, and that they recognise simple quality aspects reliably and evaluate them in a structured way, while more complex relationships are captured only to a limited extent.</t>
  </si>
  <si>
    <t>Useful first impression; simple aspects reliable</t>
  </si>
  <si>
    <t>Section 5.2, Discussion, pp. 15-16</t>
  </si>
  <si>
    <t>The authors conclude that an LLM-based approach, though fallible, works better than embeddings of ADR texts because it can reason about ADR semantics when given adequate prompting and context, makes an analysis at a scale infeasible by hand possible, and can be tailored to other architectural tasks such as conformance.</t>
  </si>
  <si>
    <t>Scalable analysis; better than embeddings; adaptable</t>
  </si>
  <si>
    <t>Sections 3, 3.4 and 6, pp. 4, 7, 15</t>
  </si>
  <si>
    <t>Participants found the documentation valuable: 15 of 22 agreed that it gives valuable architectural insights, 17 that it helps in understanding and maintaining the system's structure and 14 that they would use it in their own project; diagrams (13 mentions) and the components section (9) were valued most, and three participants used CIAO, or asked to, for closed-source systems at work.</t>
  </si>
  <si>
    <t>Perceived value; diagrams and components valued; uptake</t>
  </si>
  <si>
    <t>Sections V-A and V-F; Fig. 2, pp. 206-207, 210</t>
  </si>
  <si>
    <t>Better LLM performance on such tasks could lower development costs, support novice developers facing an architecture with a steep learning curve, and encourage adoption of robust designs.</t>
  </si>
  <si>
    <t>Lower costs; support novices; robust designs</t>
  </si>
  <si>
    <t>Abstract; Sections I and VI, pp. 6, 9</t>
  </si>
  <si>
    <t>The author claims that the approach is language-agnostic, needs only natural-language pattern descriptions instead of per-pattern metrics or labelled training data, is cheap (about US$2 for all runs) and fast, and protects business logic because IaC files rarely contain it, which should lower the entry barrier to pattern detection.</t>
  </si>
  <si>
    <t>Language-agnostic, cheap, no training data, privacy-friendly</t>
  </si>
  <si>
    <t>Sections IV-A, IV-C and VI, pp. 163-165</t>
  </si>
  <si>
    <t>Although ensembles are not an ordinary architectural style, the models grasped the concept, and with an anonymised application (neutral identifiers, no comments) all six still identified components and ensembles correctly and inferred plausible functionality from the specifications, and three suggested more descriptive identifiers.</t>
  </si>
  <si>
    <t>Concept grasped; answers survive anonymisation</t>
  </si>
  <si>
    <t>Sections 4.6 and 6, pp. 651-652, 654</t>
  </si>
  <si>
    <t>ChatGPT produced in five days what had taken more than 200 human hours from content and technical experts, and its outputs helped technical and non-technical team members communicate about the system.</t>
  </si>
  <si>
    <t>Five days against 200 hours; easier team communication</t>
  </si>
  <si>
    <t>Discussion, Results Summary, pp. 10-11</t>
  </si>
  <si>
    <t>Six students strongly agreed on the benefit of clear architecture representation, and the students reported faster requirements definition, improved coding and gains in understanding and soft skills.</t>
  </si>
  <si>
    <t>Clear architecture representation; efficiency and learning</t>
  </si>
  <si>
    <t>Sections 4.2-4.4, pp. 5-6</t>
  </si>
  <si>
    <t>Block diagrams were produced in 40 seconds on average, against 2700 seconds listed for students, which appears to be their time allotment rather than a measurement, with more consistent grades (standard deviation 16 against 26 for block diagrams).</t>
  </si>
  <si>
    <t>Seconds per diagram; steadier quality</t>
  </si>
  <si>
    <t>Sections 5.2-5.3; Table 1, pp. 35-37</t>
  </si>
  <si>
    <t>Block diagrams take about a minute (62.2 s on average with GPT-4o) and use case diagrams about half a minute; the authors also count the stochastic answers as a benefit, letting the tool propose radically different architectures for one specification.</t>
  </si>
  <si>
    <t>Fast drafts; varied alternative architectures</t>
  </si>
  <si>
    <t>TTool-AI: An Overview, p. 3; Evaluation; Table 3, pp. 15-16</t>
  </si>
  <si>
    <t>Answering from the current code and its reconstruction avoids documentation and summaries that go out of date, and the PO-CCG gives a concise view of architectural details in fewer tokens.</t>
  </si>
  <si>
    <t>Up-to-date answers; concise architectural context</t>
  </si>
  <si>
    <t>Unique Contribution, p. 4; Conclusions, p. 20</t>
  </si>
  <si>
    <t>The authors report that ChatGPT eases documentation and speeds up design replication, reducing time and effort, with relatively low effort to adapt its outputs, especially for textual artefacts.</t>
  </si>
  <si>
    <t>Less time and effort for documentation</t>
  </si>
  <si>
    <t>Abstract and Section 1, p. 1; Section 6, p. 5</t>
  </si>
  <si>
    <t>The LLM recognises that differently named elements denote the same entity, which rule-based checks could only do with synonym dictionaries or ontologies, so it complements formal rules, while the graph method complements the LLM on logical dependencies.</t>
  </si>
  <si>
    <t>Catches mismatches rules cannot</t>
  </si>
  <si>
    <t>Section 4.1, p. 17; Sections 6.1.1-6.2, pp. 33-34</t>
  </si>
  <si>
    <t>The authors credit ChatGPT with detecting modern architectural concepts, such as fault-tolerance tactics, that a rule-based tool misses, and with reading natural language and code together where rule sets must be updated by hand.</t>
  </si>
  <si>
    <t>Finds modern tactics rule-based tools miss</t>
  </si>
  <si>
    <t>Sections 1, 3.2 and 5, pp. 4363-4364, 4367-4368</t>
  </si>
  <si>
    <t>With OpenAI embeddings and an SVM, ArchGuard found on average 71% of the issues inducing Arcade-detected smells and 74% of those inducing Arcan-detected smells, at precision .243 and .405 (F1 .360 and .506); for Arcade-detected smells every configuration except the zero-shot one was significantly better than a random baseline, and adding pre-implementation comments changed the results by at most .011.</t>
  </si>
  <si>
    <t>About 71-74% of smell-inducing issues found at creation</t>
  </si>
  <si>
    <t>Sections VI-B and VI-C, pp. 50-51; Tables IV-VI</t>
  </si>
  <si>
    <t>The authors see proactive architectural quality assurance as the benefit: warnings at planning time let teams attend to the planned dependency structure, review the intended change with architecture in mind, or write ArchUnit rules while alternatives are still cheap to evaluate.</t>
  </si>
  <si>
    <t>Warnings while design alternatives are cheap</t>
  </si>
  <si>
    <t>Abstract; Section VII-A, p. 52</t>
  </si>
  <si>
    <t>In eight weeks of production use across more than 120 microservices and 20 teams, the system processed over 2,400 commits, identified 47 initiatives (72% matched to TDDs or epics) and flagged 18 drift instances with an 83% true-positive rate, on average 12 minutes after the commit; architects reported development observability as its main value.</t>
  </si>
  <si>
    <t>18 drift flags, 83% true positives; observability valued</t>
  </si>
  <si>
    <t>Section 5, pp. 1334-1335; Table 1</t>
  </si>
  <si>
    <t>Prompt engineering is named as important: the review points to a prompt pattern sequence for architecture decision-making (S1) and to work showing that well-crafted prompt patterns make generated output more reliable and applicable in architectural contexts.</t>
  </si>
  <si>
    <t>Prompt patterns named as a lever on output reliability</t>
  </si>
  <si>
    <t>2.1 Prompting strategies: chain-of-thought, few-shot, role and self-refinement</t>
  </si>
  <si>
    <t>T2. Techniques for Optimization</t>
  </si>
  <si>
    <t>Section 5.2 (Q4), p. 12</t>
  </si>
  <si>
    <t>T2: optimization technique</t>
  </si>
  <si>
    <t>Few-shot prompting is the most used technique (31%, 16), followed by zero-shot (12%, 6), chain-of-thought (8%, 4) and one-shot (2%, 1); 25% (13) of the sources do not say how they prompt and 23% (12) use no prompt engineering.</t>
  </si>
  <si>
    <t>Few-shot prompting most common; prompting often unreported</t>
  </si>
  <si>
    <t>Section 4.2.3; Table 13, pp. 9, 11</t>
  </si>
  <si>
    <t>Each decision is broken into sub-tasks in the manner of chain-of-thought prompting (summarise files, summarise a module’s function points, then decide on a split), with a separate prompt to format the decision as JSON.</t>
  </si>
  <si>
    <t>Decisions decomposed into chained sub-prompts</t>
  </si>
  <si>
    <t>Section 3.1.1, p. 1689</t>
  </si>
  <si>
    <t>To stop well-known projects being recognised from the model’s own knowledge, the model is told to ignore the project’s background when summarising files.</t>
  </si>
  <si>
    <t>Prompt instructs the model to ignore prior knowledge</t>
  </si>
  <si>
    <t>Consequential changes are double-checked: a move is accepted only if the model confirms it when shown both options in detail, and for hierarchy changes several questions are asked and the change is kept only when all answers agree.</t>
  </si>
  <si>
    <t>Double-check and self-consistency prompts</t>
  </si>
  <si>
    <t>Sections 3.2.2, 3.4.1, 3.4.2 and 5.2, pp. 1690-1692, 1697</t>
  </si>
  <si>
    <t>Zero-shot prompting (system description and decomposition objectives only) is compared with few-shot prompting that primes the model with example input-output decompositions.</t>
  </si>
  <si>
    <t>Zero-shot and few-shot prompting compared</t>
  </si>
  <si>
    <t>Section 3, p. 4</t>
  </si>
  <si>
    <t>Prompting strategy, not model provider, drives the outcome: few-shot prompting gives finer-grained architectures (about 11 services against 7.5) with lower communication density (0.12-0.13 against 0.51-0.57), and zero-shot gives coarser, more tightly connected ones.</t>
  </si>
  <si>
    <t>Prompting strategy shapes granularity and coupling</t>
  </si>
  <si>
    <t>Sections 4.1, 4.2, 4.4 and 4.5; Table 3, pp. 5-6</t>
  </si>
  <si>
    <t>Zero-shot prompting (commit message and diff only) is compared with few-shot prompting in which previously documented decisions are supplied as in-context examples.</t>
  </si>
  <si>
    <t>Section 3.2 (Experimentation), p. 4</t>
  </si>
  <si>
    <t>Few-shot prompting improved most metrics for all four models (Gemini BERT-F1 from 0.828 to 0.847) and shortened about half of the very long outputs, but it changed length and style only: implementation details remained, the missing rationale was not addressed, and Gemini's METEOR fell from 0.175 to 0.165.</t>
  </si>
  <si>
    <t>Few-shot fixes form, not content</t>
  </si>
  <si>
    <t>Section 4 (RQ2); Table 2, pp. 5-6</t>
  </si>
  <si>
    <t>A naive prompt is compared with an improved one that gives a role, context and examples; the improved prompt moves suggestions from design patterns (MVC, Singleton, Factory) to architectural ones (Microservices, API Gateway, Containerization) and improves consistency, while the reasonableness rating is largely unaffected.</t>
  </si>
  <si>
    <t>Role and examples shift output to architectural patterns</t>
  </si>
  <si>
    <t>Section IV-B, Figs. 3-4, p. 278; Section V-A, p. 280; Table II, p. 281</t>
  </si>
  <si>
    <t>Decision-tree-guided prompting, in which the model only answers the tree's questions (repeated until it gives yes or no), produced more complete pattern lists than asking the model for patterns directly.</t>
  </si>
  <si>
    <t>Decision-tree-guided prompting improves completeness</t>
  </si>
  <si>
    <t>Sections IV-C, V-B and VI-B, pp. 279, 281-282</t>
  </si>
  <si>
    <t>A four-step prompt sequence: role and target group, input of context, generation of example architectures, and user assistance with a relevance check and a self-check of each answer against the role before it is shown.</t>
  </si>
  <si>
    <t>Four-step role-based prompt sequence</t>
  </si>
  <si>
    <t>Section III and Fig. 1, pp. 94-95</t>
  </si>
  <si>
    <t>Role instructions interfered: under the tutor role both models refused to generate the reference architectures, so the prompts had to introduce an expert-architect role first and the tutor role afterwards.</t>
  </si>
  <si>
    <t>Tutor role blocked reference generation</t>
  </si>
  <si>
    <t>Section IV, pp. 95-96</t>
  </si>
  <si>
    <t>Prompting combines an explicit description of ADD given to the model (chain-of-thought or progressive prompting), a plan-and-solve iteration plan, an architect persona built with S1's persona pattern, and step-by-step execution that waits for the user after each step.</t>
  </si>
  <si>
    <t>Method description, plan-and-solve and persona combined</t>
  </si>
  <si>
    <t>Sections I and IV, pp. 1, 4-7</t>
  </si>
  <si>
    <t>Compared with a single zero-shot request, the ADD-guided process gave far more complete designs (warehouse: 5,091 against 1,068 lines, 51 against 16 diagrams, 92 against 7 recorded decisions) and a stable document structure, which varied between zero-shot runs; the design produced by an agentic IDE (Kiro) resembled the zero-shot result.</t>
  </si>
  <si>
    <t>Method-guided design far more complete than zero-shot</t>
  </si>
  <si>
    <t>Section VI-B; Table VIII, pp. 12-14</t>
  </si>
  <si>
    <t>Each agent's prompt has four parts, following Bass et al. (2025): a role ('expert software architect advising a Federated Learning system'), the task, guardrails (for example, at least two clients must take part in every round) and the output format (a rationale and a JSON object).</t>
  </si>
  <si>
    <t>Four-part prompt with architect role and guardrails</t>
  </si>
  <si>
    <t>Sections 4.4 and 5.1, pp. 7-8; Prompt 1, p. 9</t>
  </si>
  <si>
    <t>Few-shot prompts, with worked examples of situations and decisions (such as switching on the Client Selector to exclude a low-spec client that slows the round), generally gave higher accuracy than zero-shot prompts, while their effect on total time depended on the model family.</t>
  </si>
  <si>
    <t>Few-shot examples improve decisions over zero-shot</t>
  </si>
  <si>
    <t>Section 5.1, pp. 8-9; Prompt 1; Table 4</t>
  </si>
  <si>
    <t>Absence: the prompts of the agents and of the single-prompt baseline are not described in the paper; only the division of the task and the refinement loops are.</t>
  </si>
  <si>
    <t>Absence: prompts not described</t>
  </si>
  <si>
    <t>Sections 3-4, pp. 2-3</t>
  </si>
  <si>
    <t>Absence: the prompts of the three agents are not specified in the preregistered design.</t>
  </si>
  <si>
    <t>Absence: agent prompts not specified</t>
  </si>
  <si>
    <t>Section VI, pp. 539-540</t>
  </si>
  <si>
    <t>The example prompt is instantiated from a reusable template built with prompt patterns (Template, Persona, Meta Language Creation, Context Control, Output Formatter): an architect persona with 15 years of experience, five review criteria, aliases, a YAML response format and success criteria.</t>
  </si>
  <si>
    <t>Template-based prompt built from prompt patterns</t>
  </si>
  <si>
    <t>Prompts and skills are to be generated from templates that capture community knowledge and the project context instead of being written ad hoc, which the authors call inefficient and unable to scale.</t>
  </si>
  <si>
    <t>Model-driven generation of prompts and skills</t>
  </si>
  <si>
    <t>Sections 1, 2 and 5, pp. 2, 4, 7</t>
  </si>
  <si>
    <t>Zero-shot prompts give only the problem and the decision; the chain-of-thought template asks for four steps (understand the decision, its advantages, its disadvantages, the trade-off) without examples; both templates were chosen in pilots on ten samples. Compared with zero-shot, chain-of-thought raises recall (0.684 against 0.627) and the helpful share and lowers misleading arguments (2.33% against 3.24%), but lowers precision and F1 through more arguments, some of them superficial. The authors recommend an output template for zero-shot use.</t>
  </si>
  <si>
    <t>Chain-of-thought: more balanced, more arguments, lower precision</t>
  </si>
  <si>
    <t>Sections 3.4.1, 3.4.2, 4.2 and 5.1, pp. 10-12, 20-21, 26-27</t>
  </si>
  <si>
    <t>Absence: no prompts or prompting strategy are specified for the agents; zero-shot prompting is rejected, citing S4, in favour of interaction among agents.</t>
  </si>
  <si>
    <t>Absence: no prompts specified</t>
  </si>
  <si>
    <t>Sections 1-2 are where they would appear, pp. 530-532</t>
  </si>
  <si>
    <t>Prompting has two steps, which the authors call chain-of-thought: the model first elaborates on the documentation, or summarises the package list with respect to the high-level architecture, and then lists component names in a fixed format without common prefixes or suffixes. Names from both sources are merged by a third prompt or by normalised Levenshtein similarity (threshold 0.5), starting from the documentation's names. The authors did not engineer or compare prompts.</t>
  </si>
  <si>
    <t>Two-step elaborate-then-list prompts, not engineered</t>
  </si>
  <si>
    <t>Sections III-B and V-E, pp. 3-4, 7, 10</t>
  </si>
  <si>
    <t>Prompts combine a system message that makes the model a software architecture expert and fixes a JSON output (decision, judgement, reason) with a user message carrying the ADR sections, the single decision and the retrieved snippets; chain-of-thought with few-shot examples is used, and the prompts were refined over repeated debugging cycles on ten sample projects. In-context learning is preferred to fine-tuning as giving similar or better results at lower cost.</t>
  </si>
  <si>
    <t>Architect role, chain-of-thought and few-shot prompts with JSON output</t>
  </si>
  <si>
    <t>Sections III-D and III-E, pp. 3-5</t>
  </si>
  <si>
    <t>A zero-shot template chains two steps for code summarisation, first a detailed overview of each file and then a concise functionality description, with JSON output; a three-stage prompt chain then identifies the architectural pattern from the knowledge document, asks the model to justify it with the file descriptions, and defines the content and format of the component indicators.</t>
  </si>
  <si>
    <t>Chained summarisation and pattern-identification prompts</t>
  </si>
  <si>
    <t>Sections III-B1 and III-C2; Table II; Fig. 6, pp. 342-344</t>
  </si>
  <si>
    <t>The questions are zero-shot and freely phrased by software engineers, as practitioners would ask them; the authors propose advanced prompting such as chain-of-thought, or fine-tuning, because standard models are not yet suitable for architectural questions without customisation.</t>
  </si>
  <si>
    <t>Zero-shot questions; chain-of-thought and fine-tuning proposed</t>
  </si>
  <si>
    <t>Sections 2 and 5, pp. 102, 109</t>
  </si>
  <si>
    <t>One structured zero-shot prompt with a role, the five criteria, a three-level rating scale and a request for justifications and suggestions, using chain-of-thought and role prompting; the guidelines add telling the model to use both the diagram and the text, since it tends to favour the text, and asking it to summarise the diagram before assessing it.</t>
  </si>
  <si>
    <t>Structured criteria prompt; guidelines on text bias and step-by-step reading</t>
  </si>
  <si>
    <t>Section 3; Fig. 1; Section 5, pp. 118, 122</t>
  </si>
  <si>
    <t>Four zero-shot prompt skeletons, one per violation type, name the offending component and the violated rule and attach the two architectures, with no additional information so that the query stays generic and unbiased; no output format is imposed; few-shot prompting and RAG are planned.</t>
  </si>
  <si>
    <t>One zero-shot skeleton per violation type</t>
  </si>
  <si>
    <t>Section III-B; Listings 3-6; Sections III-C and VI, pp. 406-407, 409</t>
  </si>
  <si>
    <t>Zero-, one- and ten-shot prompts with an architect role are compared: examples reduced clarity failures from 40.0% (zero-shot) to 30.8% (few-shot) for the best model, with diminishing returns; syntactically invalid PlantUML is returned to the model with the compiler errors for up to three corrections.</t>
  </si>
  <si>
    <t>Few-shot helps marginally; compiler-feedback retries</t>
  </si>
  <si>
    <t>Abstract; Sections III-D and III-E, pp. 245, 247-248</t>
  </si>
  <si>
    <t>Each task fixes its own prompt templates, and how prompting strategies affect output quality is named as a research question the platform enables, not studied.</t>
  </si>
  <si>
    <t>Fixed prompt templates; prompting named as open question</t>
  </si>
  <si>
    <t>Sections II and IV, pp. 1-2, 4</t>
  </si>
  <si>
    <t>One prompt, refined over trial runs and held constant: a ROS2 assistant role, an instruction to answer solely from the given topology and to state what information is missing, tagged answer and explanation, a 100-word limit and a chain-of-thought cue; other prompting strategies are left for future work.</t>
  </si>
  <si>
    <t>One fixed prompt with role, grounding rule and chain-of-thought</t>
  </si>
  <si>
    <t>Sections 4.5-4.6; Listing 2; Section 7, pp. 4, 9</t>
  </si>
  <si>
    <t>The prompt encodes the seven steps of the framework in a Socratic style of methodical questioning and was refined over several iterations; the complete prompt is in the project repository.</t>
  </si>
  <si>
    <t>Framework steps as a Socratic prompt</t>
  </si>
  <si>
    <t>Section 4, p. 5</t>
  </si>
  <si>
    <t>Three prompts are compared: zero-shot, a prompt with an architect role and design principles labelled in-context learning, and chain-of-thought with four steps (requirements, use cases, domain model, architecture); chain-of-thought led o3 to the event-driven style, and more context helped only for the more complex system, the authors pointing to over-thinking on simple tasks.</t>
  </si>
  <si>
    <t>Prompting strategy shapes style and accuracy</t>
  </si>
  <si>
    <t>Section III; Fig. 3; Section VI-A, pp. 401, 403, 406</t>
  </si>
  <si>
    <t>Prompting varied with the role: short, targeted questions without context for information seeking, the whole requirements document or its core features for generating artifacts or the design, and prompt-review-revise cycles in which producer pairs added context and constraints to tune the output.</t>
  </si>
  <si>
    <t>Prompting varies with role; iterative prompt-review-revise</t>
  </si>
  <si>
    <t>Sections 4.2.2 and 4.3.3, pp. 1787, 1789</t>
  </si>
  <si>
    <t>The generation prompt gives an expert-architect persona and asks for exam-style questions with a short, unambiguous problem context (terms explained, metrics where possible), four options in a table with name, description, pros and cons, a suggested answer, and choices that are deliberately not obvious.</t>
  </si>
  <si>
    <t>Persona prompt for problems, options and pros and cons</t>
  </si>
  <si>
    <t>Prompt Definition, p. 89</t>
  </si>
  <si>
    <t>Questions are zero-shot in three variants: plain, hinted (stating that the application uses DEECo and how components and ensembles are realised) and with a paper describing the application; plain questions failed, hints improved the answers dramatically, and the paper helped only once the model was told also to read the specification files.</t>
  </si>
  <si>
    <t>Plain, hinted and paper-supported questions</t>
  </si>
  <si>
    <t>Sections 4 and 4.1, pp. 216-218</t>
  </si>
  <si>
    <t>The decomposition prompt is single-shot and structured: task framing with best practices (high cohesion, low coupling, domain-driven design), all six artefacts embedded, and a JSON schema listing services, classes, responsibilities and inter-service communication.</t>
  </si>
  <si>
    <t>Structured single-shot prompt with JSON schema</t>
  </si>
  <si>
    <t>Section IV-D, p. 273</t>
  </si>
  <si>
    <t>Zero-shot prompting (task and complete requirements) is compared with one-shot prompting that adds a single decomposition of another system, curated by the authors to match the domain and complexity of the targets; the prompt asks for service names, responsibilities and interactions.</t>
  </si>
  <si>
    <t>Zero-shot against one hand-made example</t>
  </si>
  <si>
    <t>Section 3, Step 2, pp. 81-82</t>
  </si>
  <si>
    <t>One example removed all missed services and most spurious links (link precision from about 0.5 to 0.72, recall to about 0.94), and experts preferred the result; the authors note that the example may steer the output beyond showing the format.</t>
  </si>
  <si>
    <t>One example improves coverage and precision</t>
  </si>
  <si>
    <t>Sections 4.1-4.3 and 6; Tables 1-3, pp. 83-84, 87</t>
  </si>
  <si>
    <t>Absence: no prompts or prompting approach are specified for the proposed tasks.</t>
  </si>
  <si>
    <t>Absence: no prompting specified</t>
  </si>
  <si>
    <t>Section 5 is where it would appear, pp. 164-165</t>
  </si>
  <si>
    <t>The prompt gives only the target ADR's title with an instruction, preceded by the prior ADRs each strategy selects; the retrieval strategy is retrieval-augmented few-shot generation; K was set from preliminary experiments.</t>
  </si>
  <si>
    <t>Title plus selected history as prompt</t>
  </si>
  <si>
    <t>Sections 3.1 and 3.4, pp. 2-5</t>
  </si>
  <si>
    <t>One fixed, self-contained prompt per phase states the task, the target pattern, the requirements and the PlantUML output instructions, without refinement or feedback; the requirement representation is varied instead: user-oriented or implementation-oriented lists, and a concise or an IEEE 29148-structured SRS.</t>
  </si>
  <si>
    <t>Fixed single prompt; requirement representation varied</t>
  </si>
  <si>
    <t>Sections 3 and 3.2-3.3, pp. 5, 8-10</t>
  </si>
  <si>
    <t>SRS documents helped only large online models and a very large local model; for smaller models concise requirement lists worked better, and longer SRS inputs led them to neglect elements.</t>
  </si>
  <si>
    <t>SRS helps large models; lists better for small ones</t>
  </si>
  <si>
    <t>Section 4.2, RQ2; Figs. 10-11, pp. 16-17</t>
  </si>
  <si>
    <t>Prompts are rendered from a Jinja2 template out of the specification and state: domain description, environment state, task, components and allowed ensembles, strategy and answer-format instructions, with prompt-engineering hints (answer format component-first or ensemble-first, chain of thought, conversation history, context summary, maximum retries).</t>
  </si>
  <si>
    <t>Prompts generated from the architecture specification and state</t>
  </si>
  <si>
    <t>Sections 4.1-4.2, pp. 3-4</t>
  </si>
  <si>
    <t>Giving a strategy significantly improved all models; step-by-step instructions helped GPT-4o mini but hindered o3-mini; five previous conversations and a context summary did not help; the ensemble-first format produced far more constraint violations; reordering or paraphrasing the prompt mattered less than the choice of model.</t>
  </si>
  <si>
    <t>Strategy helps; history and summaries do not; format matters</t>
  </si>
  <si>
    <t>Sections 6.4.2-6.4.6; Figs. 3-4, pp. 7-8</t>
  </si>
  <si>
    <t>The extraction prompt casts the model as a senior software architect; a critique step classifies problems (overlap, fragmentation, missing, noise, scope duplicate) that drive refinement in later iterations; zero-shot and few-shot prompts over the whole transcript are the baselines.</t>
  </si>
  <si>
    <t>Architect role, critique categories, iterative refinement</t>
  </si>
  <si>
    <t>Sections 3.2 and 4.3; Table 1, pp. 2-4</t>
  </si>
  <si>
    <t>One structured prompt family with a fixed output schema is used for all models; the one-shot variant prepends a single example from another domain; the example did not improve service coverage, pruned spurious links in Bookstore but reduced link coverage in PetClinic, and model choice mattered more than prompting.</t>
  </si>
  <si>
    <t>Fixed schema prompts; one example has system-dependent effects</t>
  </si>
  <si>
    <t>Sections 3, 4.1-4.2 and 5, pp. 3-6</t>
  </si>
  <si>
    <t>One fixed prompt template, used unchanged for all cases, lists the five criteria with guidance and a three-level scale and asks for a justified rating and suggestions per criterion, in a single pass; the authors describe it as role prompting with explicit output constraints and deliberately left out steps such as first listing the components seen. Their guidelines add stating the diagram's scope and audience in the prompt, a perception pass before judging completeness and accuracy, and requiring suggestions to cite concrete elements.</t>
  </si>
  <si>
    <t>Fixed criteria template, single pass; guidelines add scope, perception pass, evidence</t>
  </si>
  <si>
    <t>Sections 3.2 and 7; Fig. 1, pp. 90, 95</t>
  </si>
  <si>
    <t>Role prompts ('You are a software architecture expert') carry the architectural context, past queries, their rationale and summarised results; a free-form reasoning prompt is followed by a reformatting prompt; failed Cypher queries are re-prompted with the error message; queries are kept narrow under a token budget; output examples, query templates and shortcodes for functions and components reduce malformed and long responses.</t>
  </si>
  <si>
    <t>Role, memory and dual prompts; self-correction; token budgeting</t>
  </si>
  <si>
    <t>Section V.C; Figs. 2-5; Section VI.B, pp. 496-498</t>
  </si>
  <si>
    <t>Each prompt has four parts (a description of the ADL variant, the workflow or a reference to it, instructions, the question) and asks for step-by-step reasoning and a short explanation before a final answer in a fixed form; precise wording mattered (adding 'specified via the param keyword' fixed wrong answers), and instructions tuned for GPT-4 Turbo misled GPT-4o.</t>
  </si>
  <si>
    <t>Four-part prompt with step-by-step reasoning; wording sensitivity</t>
  </si>
  <si>
    <t>Sections 4.2-4.4.1; Fig. 2, pp. 613-615</t>
  </si>
  <si>
    <t>Two zero-shot templates give a persona and five variables (person of interest, technical domain, application domain, security requirement, security problem); the second also asks for supporting references; few-shot and chain-of-thought prompting were not used.</t>
  </si>
  <si>
    <t>Zero-shot templates with persona and five variables</t>
  </si>
  <si>
    <t>Sections 4.1 and 8, pp. 3, 6</t>
  </si>
  <si>
    <t>The first prompt holds only the user stories and the required JSON structure; later prompts add a valid parent and up to three valid 'inspirations' from the search history, and all state lightweight design heuristics.</t>
  </si>
  <si>
    <t>Stories plus JSON schema; parents and inspirations as examples</t>
  </si>
  <si>
    <t>Section 3, p. 367</t>
  </si>
  <si>
    <t>Criterion-specific zero-shot prompts give the task, the criterion's definition, its guideline checks, the diagram and the project description, and require strict JSON with a score and a concise, evidence-based justification per guideline; no few-shot examples or explicit chain-of-thought are used.</t>
  </si>
  <si>
    <t>Criterion-specific zero-shot prompts with JSON output</t>
  </si>
  <si>
    <t>Section 3.3; Fig. 3, pp. 5-6</t>
  </si>
  <si>
    <t>A system prompt gives the model the role of an expert software engineer, defines components, interfaces and the two link types, fixes a two-part answer format (PlantUML diagram, then methods per interface) and includes one worked specification with its diagram; earlier attempts with the local models used prompt engineering and in-context learning.</t>
  </si>
  <si>
    <t>Role prompt with notation rules, answer format and one example</t>
  </si>
  <si>
    <t>Section III-A, pp. 293-294</t>
  </si>
  <si>
    <t>A two-step prompt chain first generates the System Context and then the Containers inside its boundary, reusing its element IDs; the prompts combine a JSON schema, a structured chain of thought (an architecture_reasoning key filled first), a one-shot C4 example and negative constraints against non-architectural components.</t>
  </si>
  <si>
    <t>Two-step chain; schema, structured CoT, one-shot C4 example, negative constraints</t>
  </si>
  <si>
    <t>Sections 2 and 4; Table 1, pp. 2-3</t>
  </si>
  <si>
    <t>Knowledge-graph construction uses four staged prompts (theme extraction by slot filling, node and relation extraction, rewriting of ambiguous mentions, hierarchy and clean-up), and the analysis agent issues template-constrained queries rather than free-form ones.</t>
  </si>
  <si>
    <t>Staged extraction prompts; template-constrained queries</t>
  </si>
  <si>
    <t>Sections III-B and III-C, pp. 115-116</t>
  </si>
  <si>
    <t>The final synthesis prompt is a reusable template with fields for role, goal, backstory, examples, input, task and expected output, joined by fixed sentences into one task specification, with the intermediate JSON artefacts embedded as its context.</t>
  </si>
  <si>
    <t>Role-based prompt template with embedded artefacts</t>
  </si>
  <si>
    <t>Section 4.2, p. 109</t>
  </si>
  <si>
    <t>Each of the 25 criteria has its own prompt, phrased as the statement to be rated, for example 'The key design decisions relating to the solution concepts are presented and justified', some with rating instructions (explicit better, implicit less good, absent 0); a file and its images are sent with each prompt, and the model returns a score.</t>
  </si>
  <si>
    <t>One statement prompt per criterion, with rating instructions</t>
  </si>
  <si>
    <t>Section 5.2; Appendix A, pp. 12, 18-19</t>
  </si>
  <si>
    <t>Three prompting strategies were compared on the ground truth: zero-shot with taxonomy definitions; static few-shot examples per category with chain-of-thought-style reasoning instructions and disambiguation rules for often confused categories; and dynamic few-shot with examples selected by semantic similarity. Static few-shot worked best for quality attributes and dynamic few-shot for the two decision taxonomies, at higher latency and token use; the model was told to rely only on what the ADR states.</t>
  </si>
  <si>
    <t>Zero-shot, static and dynamic few-shot with reasoning instructions</t>
  </si>
  <si>
    <t>Sections 3.4-3.5, pp. 8-9</t>
  </si>
  <si>
    <t>A single zero-shot chain-of-thought template fills in the person of interest, technical and application domain, security attribute, requirements and security problem; few-shot and tree-of-thought prompting were not tried and are left for future evaluations.</t>
  </si>
  <si>
    <t>One zero-shot chain-of-thought template with variables</t>
  </si>
  <si>
    <t>Sections 2 and 4, pp. 2-3</t>
  </si>
  <si>
    <t>Prompts are decomposed by task, one per template section, each combining a global prompt (role, audience, style, grounding rules) with a section-specific prompt from the template; role prompting, light motivational cues, instructions that forbid architectural elements not present in the repository, and selective few-shot Markdown or PlantUML skeletons guide structure and level of detail.</t>
  </si>
  <si>
    <t>One prompt per section; role, rules and skeletons</t>
  </si>
  <si>
    <t>Section III-C, p. 204</t>
  </si>
  <si>
    <t>Every question uses one fixed template stating that the project is an iOS app using VIPER, followed by the question and the project tree; the questions were first run on GPT-3.5 Turbo and reworded until they were clear.</t>
  </si>
  <si>
    <t>One fixed template; questions piloted for clarity</t>
  </si>
  <si>
    <t>Section IV-C, p. 8</t>
  </si>
  <si>
    <t>The prompts carry the pattern catalogue as a Python file of strings with instructions on how to process the input; artefacts are split into chunks sent in sequential prompts to stay within rate limits, and the tool is non-interactive, only generating the report.</t>
  </si>
  <si>
    <t>Catalogue and instructions; chunked, non-interactive prompts</t>
  </si>
  <si>
    <t>Section IV-B, p. 163</t>
  </si>
  <si>
    <t>Questions were asked sequentially in one context in three variants: plain, hinted (stating that the application is DEECo and how components and ensembles are realised as classes) and with a paper describing the framework; hints were needed for consistent answers, and the authors advise telling the model to use the tool and naming the relevant files.</t>
  </si>
  <si>
    <t>Plain, hinted and paper variants; hints needed</t>
  </si>
  <si>
    <t>Sections 3.5, 4.3 and 4.4.1, pp. 645-649</t>
  </si>
  <si>
    <t>A prompt framework of role, detailed problem description and ask, with each output checked for inconsistency and hallucination and the prompt updated until the output was satisfactory; the authors found role-play with detailed problems and clear asks most effective.</t>
  </si>
  <si>
    <t>Role, problem and ask; check and re-prompt</t>
  </si>
  <si>
    <t>Prompt Generation Framework; Figure 1, p. 3; Discussion, p. 11</t>
  </si>
  <si>
    <t>Absence: how students prompted ChatGPT, in design or any other phase, is not reported.</t>
  </si>
  <si>
    <t>Absence: prompts and prompting practice</t>
  </si>
  <si>
    <t>Sections 3.3 and 4.2 are where it would appear, pp. 3, 5</t>
  </si>
  <si>
    <t>Each diagram type has its own question, and the block diagram is split into two successive questions, the second updating the JSON returned by the first; the model is asked for JSON only, without explanation.</t>
  </si>
  <si>
    <t>Split questions; JSON-only answers</t>
  </si>
  <si>
    <t>Sections 4.2.1-4.2.2, pp. 31-32</t>
  </si>
  <si>
    <t>Rules are given to the model in natural language within the request; included rules made the model focus on them alone, so checks with and without rules are offered as separate operations; correcting one inconsistency at a time is expected to work better than sending the whole list.</t>
  </si>
  <si>
    <t>Rules in prompt narrowed focus; one at a time suggested</t>
  </si>
  <si>
    <t>Section 4; Section 6, pp. 6-7, 9-10</t>
  </si>
  <si>
    <t>A rule-based framework extracts elements, maps relationships and defines UML constraints from the scenario and composes one zero-shot prompt per diagram, accepted only if it covers at least half the required elements and constraints (thresholds of 0.5); the deployment prompt also lists follow-up instructions, such as adding a load balancer, but the paper speaks of a single prompt and the generated diagram shows no load balancer.</t>
  </si>
  <si>
    <t>Rule-based zero-shot prompts with validation thresholds</t>
  </si>
  <si>
    <t>Sections 3.1-3.3, pp. 5-9; Section 4.3, p. 16; Appendix B, pp. 24-25</t>
  </si>
  <si>
    <t>Queries are forged automatically for each feature from contextual knowledge, a fixed question and the user input, and sliced into successive sub-queries (for instance actors, use cases, then relationships), which the authors liken to least-to-most prompting.</t>
  </si>
  <si>
    <t>Automatic, sliced queries</t>
  </si>
  <si>
    <t>Mechanism 2, pp. 6-7; pp. 9-10</t>
  </si>
  <si>
    <t>Prompts have role, context and task parts; for questions that need a definition, such as 'service dependency graph', the model first defined the term and the definition was placed before the question, and technical words such as 'call' were replaced by 'communicate'; twelve prompt variants were tried.</t>
  </si>
  <si>
    <t>Role, context, task; definitions prefixed</t>
  </si>
  <si>
    <t>Prompt Engineering, pp. 8-11; Discussion, p. 18; Construct Validity, p. 19</t>
  </si>
  <si>
    <t>A generic prompt asks ChatGPT to impersonate a software engineer, gives the problem statement and earlier artefacts, and requests PlantUML for UML artefacts; one chat kept the project context, and prompt structures were pre-tested to reduce prompt-related bias.</t>
  </si>
  <si>
    <t>Role prompt; one chat; PlantUML for UML</t>
  </si>
  <si>
    <t>Section 3.3, p. 3; Section 5, pp. 4-5</t>
  </si>
  <si>
    <t>Prompt format (plain text, structured text, JSON configuration, code templates) and granularity changed correctness: plain text sufficed for a basic web service but struggled with complex scenarios, and giving requirements gradually worked better than all at once.</t>
  </si>
  <si>
    <t>Prompt format and granularity matter</t>
  </si>
  <si>
    <t>Requests are forged automatically with an output-format constraint and, optionally, cross-view rules; with rules included the model attended to them alone, so detection is best run twice, with and without rules; the correction request lists the inconsistencies to fix, and the authors expect one inconsistency at a time to work better than the whole list.</t>
  </si>
  <si>
    <t>Rules narrow focus; run detection twice</t>
  </si>
  <si>
    <t>Sections 4.2.2, 5.1.3 and 5.1.4, pp. 22, 25, 28; Sections 6.2-6.3, pp. 34-35</t>
  </si>
  <si>
    <t>Prompts are single plain instructions, such as 'Use this zipped file to extract the architectural patterns in this system in a form of a table'; for snippets, ChatGPT is first asked which snippets it needs and then asked to extract patterns with a description and code reference. The authors note that prompt optimisation is not discussed and that results depend on prompt quality.</t>
  </si>
  <si>
    <t>Single plain instructions; no prompt optimisation</t>
  </si>
  <si>
    <t>Sections 2.2 and 4.1, pp. 4365-4366, 4368; Figs. 2-4</t>
  </si>
  <si>
    <t>The prompted model is used zero-shot: the system prompt holds the smell definition, the issue text is given, and the model is asked whether the issue is likely to trigger smell evolution; the template is in the replication package, and no prompt engineering, retrieval or chain-of-thought was tried, which the authors say may underestimate LLMs.</t>
  </si>
  <si>
    <t>Zero-shot prompt with the smell definition</t>
  </si>
  <si>
    <t>Sections IV-C and VII-C, pp. 48, 53</t>
  </si>
  <si>
    <t>Absence: the prompts, the model behind the agents and its settings are not described.</t>
  </si>
  <si>
    <t>Absence: prompts and model not given</t>
  </si>
  <si>
    <t>Section 2.2, p. 1333, is where they would appear</t>
  </si>
  <si>
    <t>The inputs reported are textual requirements, user stories, use cases with domain entities, UML diagrams and design documents, with runtime traces and metrics in a secondary role; generative AI is described as drawing on historical architectural knowledge and patterns.</t>
  </si>
  <si>
    <t>Design artefacts and past architectural knowledge as model inputs</t>
  </si>
  <si>
    <t>2.2 Knowledge grounding: RAG, knowledge graphs and architecture repositories</t>
  </si>
  <si>
    <t>Section 5.2 (Q5); Table 1, pp. 13-15</t>
  </si>
  <si>
    <t>Retrieval-augmented generation is applied in 20% (10) of the sources, plus one proprietary variant, for example to retrieve architecture knowledge management information; one grey source uses a knowledge graph for reconstruction.</t>
  </si>
  <si>
    <t>RAG used in one fifth of the sources</t>
  </si>
  <si>
    <t>Sections 4.2.3 and 4.3.4; Tables 13 and 16, pp. 9, 11, 13-14</t>
  </si>
  <si>
    <t>Structural knowledge is supplied alongside text: normalised file-to-module dependency strength and module cohesion are computed from the dependency graph, used to flag candidate misplacements and to rank candidate modules, and given to the model with the file and module summaries.</t>
  </si>
  <si>
    <t>Dependency analysis grounds the model’s judgement</t>
  </si>
  <si>
    <t>Sections 3.1-3.4; Equations 1-3, pp. 1689-1691</t>
  </si>
  <si>
    <t>To work beyond the context window, the model sees the project through hierarchical summaries and can ask for any module’s summary by its path, which the system retrieves automatically.</t>
  </si>
  <si>
    <t>Hierarchical summaries and on-demand retrieval</t>
  </si>
  <si>
    <t>Section 3.3.2, p. 1690</t>
  </si>
  <si>
    <t>Input is structured architecture documentation (components, responsibilities, dependencies) produced by static and domain analysis in an earlier study, used instead of parsing code so that the reasoning task is isolated from low-level noise.</t>
  </si>
  <si>
    <t>Pre-validated architecture documentation as input</t>
  </si>
  <si>
    <t>Section 3 (Phases I and II), pp. 4</t>
  </si>
  <si>
    <t>Few-shot examples are retrieved by embedding similarity over earlier (commit diff, decision) pairs, which grounds the prompt in documented decisions; the authors note the retrieved examples carry the decisions but not the reasoning behind them.</t>
  </si>
  <si>
    <t>Similar past decisions retrieved as examples</t>
  </si>
  <si>
    <t>Sections 3.2 and 4, pp. 4, 6</t>
  </si>
  <si>
    <t>Structured external knowledge steers the model: the CAPI decision tree, built from a review of microservice and DevOps patterns, and a curated tool list; the categories in the tool list changed which patterns the models chose.</t>
  </si>
  <si>
    <t>Decision tree and tool list as external knowledge</t>
  </si>
  <si>
    <t>Section III, p. 277; Sections IV-D and VI-C, pp. 279, 283</t>
  </si>
  <si>
    <t>The model is grounded by sending the project documentation into the conversation (requirements, assumptions, hazards and a component diagram), and the reference architectures it generates become its basis for evaluating students' work.</t>
  </si>
  <si>
    <t>Project documents and own references as context</t>
  </si>
  <si>
    <t>Section III-B and III-C, p. 94; Section IV, p. 95</t>
  </si>
  <si>
    <t>The design method (ADD.md), the prioritised drivers (ArchitecturalDrivers.md) and a template of the architecture document are supplied as files, in an IDE that lets the model read and modify several files at once; the architect persona is set as an IDE user rule.</t>
  </si>
  <si>
    <t>Method, drivers and template supplied as files</t>
  </si>
  <si>
    <t>Sections IV-A, IV-B and V-A, pp. 4-7</t>
  </si>
  <si>
    <t>The agents work under retrieval-augmented generation over two files that the server updates every round: the system configuration file (clients, CPU and RAM, data distribution, active patterns) and the evaluation-metrics report with the history of previous rounds.</t>
  </si>
  <si>
    <t>Retrieval over the running system's configuration and metric history</t>
  </si>
  <si>
    <t>Section 4.4, pp. 6-7; Tables 1-2; Prompt 1, p. 9</t>
  </si>
  <si>
    <t>The repository is summarised first, so that generation works from a validated summary instead of repository content fed to a single prompt, which the authors say is constrained by the context window.</t>
  </si>
  <si>
    <t>Validated summary as condensed context</t>
  </si>
  <si>
    <t>Sections 1, 2 and 4.1, pp. 1, 3</t>
  </si>
  <si>
    <t>Retriever agents are proposed to ground generation in the project's own knowledge: past ADRs through vector retrieval, existing diagrams, requirement documents through file-system search, plus web search and a knowledge base; they were not part of the evaluated instantiation.</t>
  </si>
  <si>
    <t>Retrieval of past decisions and documents proposed</t>
  </si>
  <si>
    <t>Section 3.2, pp. 2-3; Fig. 1</t>
  </si>
  <si>
    <t>Knowledge is injected in graded treatments with the same pipeline: repository artefacts only (T0), a general library of styles, patterns and typical constraints (T1), project-specific facts given upfront such as dominant style, layer and component definitions, forbidden dependencies and invariants (T2), and answers from bounded interaction with an architect (T3).</t>
  </si>
  <si>
    <t>Graded injection of general, project-specific and elicited knowledge</t>
  </si>
  <si>
    <t>Sections I, IV and VI-B, pp. 535, 537, 539</t>
  </si>
  <si>
    <t>Project-specific information (requirements, constraints, decisions already made) is modelled in human- and machine-readable form and injected into prompt and skill templates; the AI services can also query the model on demand through an MCP server and open API, closing the loop between the project and the AI.</t>
  </si>
  <si>
    <t>Modelled project context injected and queryable</t>
  </si>
  <si>
    <t>Sections 1 and 3, pp. 2, 5-6</t>
  </si>
  <si>
    <t>The Information_Collector agent grounds the analysis in web search instead of a RAG database, which the diversity of problems ruled out: three keywords per aspect, the top 20 DuckDuckGo results for each, URLs of the dataset discarded, and the ten passages most similar to the problem and decision selected with FAISS. The retrieved content is not checked by hand, so the analyst agent is told to verify it, and its effect on the rationale is hard to discern.</t>
  </si>
  <si>
    <t>Web retrieval for the agents, effect unclear</t>
  </si>
  <si>
    <t>Sections 3.4.3 and 5.1, pp. 13-14, 28</t>
  </si>
  <si>
    <t>All six practitioners say that more project context (business goals, future plans, upstream and downstream dependencies, expected workload) would make the rationale more trustworthy, and some also name the designs and rationale of similar projects and domain knowledge; collecting that context is the challenge they name most often. The authors propose an Information_Collector that extracts context from the project's own code, documentation and configuration files.</t>
  </si>
  <si>
    <t>Project context wanted but costly to supply</t>
  </si>
  <si>
    <t>Sections 4.4, 5.2 and 5.3, pp. 24-25, 29-31</t>
  </si>
  <si>
    <t>Knowledge from existing designs: the architectures of open-source projects are to be recovered with architecture recovery tools (among them the authors' own) and correlated with quality attributes measured by static or dynamic analysis tools, and each agent is to draw on it, for example the Modeler on patterns and their trade-offs and the Evaluator on documented mismatches and their resolutions.</t>
  </si>
  <si>
    <t>Knowledge mined from recovered designs and quality metrics</t>
  </si>
  <si>
    <t>Section 3.1, p. 532</t>
  </si>
  <si>
    <t>Knowledge from textbooks, papers and standards (such as ISO/IEC 42020) is to be parsed with NLP into structured guidelines on styles, quality trade-offs, patterns and evaluation, and experts' tacit knowledge elicited through interviews, workshops, surveys and the Delphi method, with recordings transcribed and analysed with NLP.</t>
  </si>
  <si>
    <t>Knowledge from literature and elicited from experts</t>
  </si>
  <si>
    <t>Sections 3.2 and 3.3, pp. 532-533</t>
  </si>
  <si>
    <t>Knowledge injection is named as the key strategy for reliability, with retrieval-augmented generation grounding the agents in case studies and authoritative literature.</t>
  </si>
  <si>
    <t>RAG as the main route to reliability</t>
  </si>
  <si>
    <t>Section 4, p. 533</t>
  </si>
  <si>
    <t>Because the whole code is too large for the model, it is condensed to the names of its non-empty packages, while the documentation is given in full; future work would add decision records, architecture diagrams, other parts of the documentation and code summaries as context.</t>
  </si>
  <si>
    <t>Package names as condensed code input</t>
  </si>
  <si>
    <t>Sections III-A and VI, pp. 3, 10</t>
  </si>
  <si>
    <t>Because whole codebases exceed the context window, the code is embedded (all-MiniLM-L6-v2) and indexed with FAISS, and the five snippets closest to each decision are given to the model as evidence; the authors conclude that retrieval quality limits the models' reasoning and that improving retrieval and context reconstruction may help more than further prompt refinement.</t>
  </si>
  <si>
    <t>Five retrieved code snippets as evidence</t>
  </si>
  <si>
    <t>Sections III-E and V, pp. 4, 10</t>
  </si>
  <si>
    <t>A hand-built description of eight common architectural patterns (definition, main components, communication, advantages, applicable scenarios and domains), drawn from two textbooks, is placed in the prompt as a lightweight knowledge base 'without requiring full RAG'; dependency types are weighted with the weights learnt for SARIF.</t>
  </si>
  <si>
    <t>Pattern knowledge base in the prompt</t>
  </si>
  <si>
    <t>Sections III-A2 and III-C1, pp. 342, 344</t>
  </si>
  <si>
    <t>Project-specific component descriptions gave the best recovery in most projects, especially complex, mixed-pattern systems (libxml, Chromium, OODT, Teammates), while generic, pattern-level descriptions did best in simple systems that follow one pattern (Archstudio, Jabref, ENRE-py), where project-specific ones over-segmented.</t>
  </si>
  <si>
    <t>Project-specific descriptions for complex systems, generic for simple ones</t>
  </si>
  <si>
    <t>Section IV-D, pp. 353-354; Fig. 10</t>
  </si>
  <si>
    <t>Absence: no documentation, code or retrieved context is given to the models; by design they answer from their embedded knowledge of a well-known open-source system.</t>
  </si>
  <si>
    <t>Absence: no grounding in system artefacts</t>
  </si>
  <si>
    <t>Section 2 is where it would appear, pp. 101-103</t>
  </si>
  <si>
    <t>Absence: the model receives only the diagram and its description; no code, project documentation or knowledge of the system's stakeholders is supplied, although its misjudgements are traced to missing context about design intent and audience.</t>
  </si>
  <si>
    <t>Absence: no context beyond diagram and description</t>
  </si>
  <si>
    <t>Section 3 is where it would appear, p. 118</t>
  </si>
  <si>
    <t>Each prompt carries the formal reference architecture, the concrete architecture in the same modelling language and the violation reported by the conformance checker, combining the model's reasoning with the formalisation of architectures as (meta)models.</t>
  </si>
  <si>
    <t>Prompt grounded in formal architecture models and checker output</t>
  </si>
  <si>
    <t>Sections I and III-B, pp. 404, 406</t>
  </si>
  <si>
    <t>A pilot compared four ways of giving the model the repository (its link, a task specification, its folder structure, its code) and found hierarchical code summarisation best; each prompt also carries the concern and behaviour the view must address, and view quality was bound by the accuracy of the summary.</t>
  </si>
  <si>
    <t>Code summaries and concern specifications as context</t>
  </si>
  <si>
    <t>Sections III-C to III-E and V-B, pp. 246-248, 253</t>
  </si>
  <si>
    <t>Each prompt carries the system's computation graph in JSON, extracted by a script from the running simulation, which gave the best results among the representations tried; the authors propose integrating telemetry through RAG or a tool-based agent and grounding questions in developers' GitHub issues and pull requests.</t>
  </si>
  <si>
    <t>Runtime computation graph as context; telemetry proposed</t>
  </si>
  <si>
    <t>Sections 4.4-4.7, 7 and 9, pp. 4-5, 10-11</t>
  </si>
  <si>
    <t>Absence: the model works only from the project description and requirements the student supplies and from its own knowledge; no course material or architectural knowledge is retrieved, and vague input produced generic output.</t>
  </si>
  <si>
    <t>Absence: no grounding beyond student input</t>
  </si>
  <si>
    <t>Sections 4 and 6.1, pp. 5-6, 9</t>
  </si>
  <si>
    <t>Absence: the models receive only the system description of at most 500 tokens; no knowledge base or retrieval is used, which the authors name as a limitation of their off-the-shelf approach.</t>
  </si>
  <si>
    <t>Absence: no retrieval or knowledge base</t>
  </si>
  <si>
    <t>Sections III, IV-C and VII, pp. 401, 403, 408</t>
  </si>
  <si>
    <t>Context came only from what designers put in their prompts, ranging from none to the whole requirements document; only four pairs told the model about decisions made outside it, and missing context explained some unhelpful responses.</t>
  </si>
  <si>
    <t>Designer-supplied context only; missing context hurt</t>
  </si>
  <si>
    <t>Sections 4.2.2 and 4.3.1, pp. 1787-1789</t>
  </si>
  <si>
    <t>Absence: the models answer short, isolated problems from their own knowledge; no project context or knowledge base is supplied, and the authors attribute the gap to human decisions to the missing context.</t>
  </si>
  <si>
    <t>Absence: no project context or grounding</t>
  </si>
  <si>
    <t>Methodology; closing section, pp. 89-90, 94</t>
  </si>
  <si>
    <t>The model reads the application's specification and code, and optionally a paper, from the file system; the notation decided the outcome: the external DSL and the Python-based DSL were understood, the Scala-based DSL was not, which the authors relate to training exposure, and code comments probably helped.</t>
  </si>
  <si>
    <t>Specification read from files; notation decisive</t>
  </si>
  <si>
    <t>Sections 3, 4.1-4.2, pp. 214, 218-219</t>
  </si>
  <si>
    <t>The model is grounded in a repository summary (six chunked strategies or hierarchical summarisation) and a statically extracted dependency and call graph, added to keep it from inventing entities; a pilot found that adding dynamic interaction views let it identify patterns such as CQRS and event sourcing; context size and summarisation strategy had no measurable effect on quality.</t>
  </si>
  <si>
    <t>Summaries, generated views and a static dependency graph as context</t>
  </si>
  <si>
    <t>Sections III-B, IV-B, IV-C and V-D, pp. 270-275</t>
  </si>
  <si>
    <t>Absence: the model receives only the requirements text and, in one-shot, one example; no retrieval or external knowledge is used, and domain ontologies and reference architecture models are proposed to constrain it.</t>
  </si>
  <si>
    <t>Absence: requirements text only</t>
  </si>
  <si>
    <t>Sections 3 and 5, pp. 81-82, 87</t>
  </si>
  <si>
    <t>The proposed LLM tasks are grounded in the authors' consolidated architectural knowledge (design-decision catalogues and formal decision models in Python) and constrained by their metamodel; their existing LLM check of RL practices combines the model with that knowledge.</t>
  </si>
  <si>
    <t>Grounded in design-decision catalogues and a metamodel</t>
  </si>
  <si>
    <t>Sections 3, 3.1 and 5, pp. 159-161, 164-165</t>
  </si>
  <si>
    <t>Retrieval embeds the title and earlier ADRs with all-MiniLM-L6-v2 and picks the K most similar by cosine similarity, in memory, over whole records; it matched the last-K strategy in aggregate, and an informal look at samples suggested an advantage for cross-cutting, non-sequential decisions.</t>
  </si>
  <si>
    <t>Similarity retrieval over prior ADRs; parity with recency</t>
  </si>
  <si>
    <t>Sections 3.4 and 4.3, pp. 4-5, 7</t>
  </si>
  <si>
    <t>RAG retrieved the top five chunks from textbook chapters (whole or split by pattern) or curated web descriptions, embedded with two models and chunked recursively or semantically, in a Chroma store; it helped most local models with requirement lists, semantic chunking and pattern-separated textbook material helped most, the embedding model mattered little, and with SRS inputs or microservices it helped only the largest local model.</t>
  </si>
  <si>
    <t>RAG helps within context capacity; source and chunking matter</t>
  </si>
  <si>
    <t>Sections 3.2-3.3 and 4.2, RQ3; Figs. 12-14, pp. 8-9, 18-19</t>
  </si>
  <si>
    <t>Each decision is grounded in the architecture specification written in a DSL (component and ensemble types, instantiation constraints, strategy) and in the current attribute values of components and environment, without retrieval.</t>
  </si>
  <si>
    <t>Grounding in the architecture DSL and current state</t>
  </si>
  <si>
    <t>Each accepted decision is enriched by hybrid retrieval, from a local ChromaDB store of ADRs from open-source repositories and from web search, re-ranked to the most relevant facts; this deepened the ADRs but brought in details not in the transcript, such as a user count copied from an unrelated project's ADR; the authors suggest retrieving from the project's own ADR history.</t>
  </si>
  <si>
    <t>Retrieval enriches but imports foreign details</t>
  </si>
  <si>
    <t>Sections 3.2, 4.2 and 5.1, pp. 2-4</t>
  </si>
  <si>
    <t>Absence: the models receive only the requirements text and, in one-shot, one example; hybrid pipelines with static or runtime signals and domain ontologies are proposed.</t>
  </si>
  <si>
    <t>Sections 3 and 5, pp. 3, 6</t>
  </si>
  <si>
    <t>Absence: the model receives only the diagram and the description excerpt; the diagram's purpose, audience and the wider paper are not supplied, although context-blindness is a main failure pattern and the guidelines recommend stating scope and audience in the prompt.</t>
  </si>
  <si>
    <t>Section 3.4 is where it would appear, pp. 90-91; Section 7, p. 95</t>
  </si>
  <si>
    <t>Artefacts serve as durable contextual memory: the agent reasons over a queryable design state and the artefact repository rather than conversational history; in the prototype this state is a session-scoped local cache, and RAG over industrial knowledge bases and a PostgreSQL store are planned.</t>
  </si>
  <si>
    <t>Artefact repository as context; RAG planned</t>
  </si>
  <si>
    <t>Sections 3.3, 4.1, 4.3 and 5, pp. 8, 10-11, 13-14</t>
  </si>
  <si>
    <t>The model is grounded in a property graph of directories, files, functions and components with containment, dependency, call and allocation edges, holding names, signatures, paths and partial bodies; it retrieves context through its own Cypher queries, and the graph acts as a blackboard that stores every intermediate result, so a run can resume after failure.</t>
  </si>
  <si>
    <t>Code knowledge graph queried by the model; blackboard state</t>
  </si>
  <si>
    <t>Sections V.A-B and VI, pp. 495-497</t>
  </si>
  <si>
    <t>The specification is supplied either up front, with all relevant workflow files in the prompt, or in agent mode, where the model requests the files it needs through function calls; three variants of the ADL are compared; in agent mode with imports the model missed tasks of imported workflows, while up front it sometimes answered from inside a sub-workflow.</t>
  </si>
  <si>
    <t>Specification up front or fetched by function calls; ADL variants</t>
  </si>
  <si>
    <t>Sections 4.1-4.3; Table 2; Fig. 3, pp. 613-616</t>
  </si>
  <si>
    <t>A corpus of security strategies was built through a systematic mapping with snowballing (112 studies; 98 patterns, 10 tactics, 4 principles), formatted by hand and loaded into NotebookLM; the planned assistant ingests, chunks and indexes the corpus in a vector database and retrieves from it for each query.</t>
  </si>
  <si>
    <t>Curated corpus from a mapping study as the RAG source</t>
  </si>
  <si>
    <t>Sections 5, 5.2 and 7, pp. 4-5</t>
  </si>
  <si>
    <t>Absence: the model receives only story cards (and earlier candidates); acceptance criteria and richer domain artefacts are not available, which the authors say constrains the granularity of the result.</t>
  </si>
  <si>
    <t>Absence: story cards only</t>
  </si>
  <si>
    <t>Section 4 is where it would appear, p. 368</t>
  </si>
  <si>
    <t>The same diagram is supplied as a rendered image or as its textual source, each with the repository's official description; the authors recommend treating the rendered diagram as the primary input and the source as a complement for labels and hidden metadata.</t>
  </si>
  <si>
    <t>Image versus textual source input; rendered diagram recommended</t>
  </si>
  <si>
    <t>Sections 3.3, 4 and 5, pp. 5-9</t>
  </si>
  <si>
    <t>Proposed: a knowledge graph as the structured base for question answering through retrieval-augmented generation, adapting the authors' HubLink approach, with trace links recovered by retrieval-augmented techniques from their earlier work.</t>
  </si>
  <si>
    <t>Knowledge-graph RAG over the architecture knowledge base</t>
  </si>
  <si>
    <t>Sections 2.5, 3.2 and 3.5, pp. 488-489</t>
  </si>
  <si>
    <t>Absence: no retrieval or pattern knowledge is supplied beyond the one example in the system prompt; adding more detailed architectural patterns to the prompt is proposed as future work.</t>
  </si>
  <si>
    <t>Absence: no grounding beyond one example</t>
  </si>
  <si>
    <t>Sections III-A and IV-A, pp. 293, 298</t>
  </si>
  <si>
    <t>Absence: no retrieval is used; the filtered backlog is passed whole as a hierarchical Markdown document, and retrieval-augmented or hierarchical extraction is proposed for backlogs of thousands of tickets.</t>
  </si>
  <si>
    <t>Absence: whole backlog as context; RAG proposed</t>
  </si>
  <si>
    <t>Sections 4 and 8, pp. 3, 8</t>
  </si>
  <si>
    <t>A provenance-aware knowledge graph of text-chunk nodes, built from research papers retrieved through OpenAlex (4, 36 and 43 papers, title, abstract and introduction only), is explored by semantic search, traversal of requirement-architecture and hierarchical relations and provenance lookup in an agentic RAG-style think-act loop.</t>
  </si>
  <si>
    <t>Knowledge graph from papers, explored by agentic RAG</t>
  </si>
  <si>
    <t>Sections III-B, III-C and IV-A, pp. 115-116</t>
  </si>
  <si>
    <t>Recovery is grounded in a UML-based blueprint that fixes the admissible elements and relations, in deterministic extraction of node definitions, and in two JSON artefacts built before synthesis, a list of atomic ROS nodes and a launch-file dependency description with node instances and namespace scopes.</t>
  </si>
  <si>
    <t>Blueprint constraints and intermediate JSON artefacts as context</t>
  </si>
  <si>
    <t>Sections 4.1-4.2; Tables 1-3, pp. 104-109</t>
  </si>
  <si>
    <t>The model chooses among the 40 modules of the product-line reference architecture, each of which is described in text; how the module list and descriptions reach the model is not stated. For deriving concerns (Use Case 2), the authors plan to draw on hauler function descriptions, laws and regulations, the operator's manual and ADRs of similar past features.</t>
  </si>
  <si>
    <t>Reference-architecture modules as context; documentation planned</t>
  </si>
  <si>
    <t>Sections 2 and 5, pp. 120-121, 124</t>
  </si>
  <si>
    <t>Without retrieval-augmented generation, files are converted with Docling and filtered by comparing their content with a keyword list, and those that match (text, images and diagrams) are passed to the model; the authors note that some information may have been lost this way.</t>
  </si>
  <si>
    <t>Keyword filtering instead of RAG</t>
  </si>
  <si>
    <t>Section 5.2, pp. 11-12, 15</t>
  </si>
  <si>
    <t>Dynamic few-shot prompting retrieves annotated ADRs similar to the input as examples, and the judge receives a description of each section's intended purpose; the authors attribute the remaining confusions to missing project context and propose adding it, since it usually lies outside the ADR.</t>
  </si>
  <si>
    <t>Similarity-retrieved examples; project context missing</t>
  </si>
  <si>
    <t>Sections 3.4, 3.6 and 4.2, pp. 8-9, 12</t>
  </si>
  <si>
    <t>ArchSec.AI follows a standard RAG design (ingestion into a vector database, retrieval of the six top chunks, generation over the augmented prompt) over a corpus of security patterns from a systematic mapping; retrieval proved the main weakness, and the authors propose re-ranking, hybrid search and semantic or hybrid chunking.</t>
  </si>
  <si>
    <t>Standard RAG over a pattern corpus; retrieval the weak point</t>
  </si>
  <si>
    <t>Sections 1-3 and 5, pp. 1-4</t>
  </si>
  <si>
    <t>Grounding is by full context rather than retrieval: the whole repository, filtered of comments, binaries, build outputs and generated documentation but keeping Dockerfiles, orchestration descriptors and dependency manifests, is flattened with its folder structure into one text file and appended to every section prompt; retrieval tailored to architectural artefacts is left for future work.</t>
  </si>
  <si>
    <t>Flattened repository in every prompt; no retrieval</t>
  </si>
  <si>
    <t>Sections III-B and VII, pp. 204, 210</t>
  </si>
  <si>
    <t>The model is grounded only in the project's file tree: no source code, documentation or retrieval is given, and the authors attribute its weaker answers on lower-level questions partly to this limited context.</t>
  </si>
  <si>
    <t>Project tree only; no code or retrieval</t>
  </si>
  <si>
    <t>Sections IV-C and VI-A, pp. 8-9</t>
  </si>
  <si>
    <t>Grounding comes from a curated catalogue of pattern descriptions, and the input is deliberately restricted to IaC artefacts, selected to keep costs down and avoid sending business logic to a hosted model; which artefacts carry pattern information is itself a research question (RQ1).</t>
  </si>
  <si>
    <t>Pattern catalogue as knowledge; input restricted to IaC</t>
  </si>
  <si>
    <t>Sections I, III and IV-B, pp. 162-163</t>
  </si>
  <si>
    <t>Code was given either through a file-reading tool or inlined in the first prompt: with the tool, models often ignored it, read only some files, requested non-existent files or read only the paper; inlining gave more relevant answers but failed when the code exceeded the 128,000-token context window (a 400 kB SVG environment file for TCOOF-ADL, about 20,000 tokens of ML-DEECo code for local models); a hybrid is suggested.</t>
  </si>
  <si>
    <t>Tool access ignored; inlining limited by context window</t>
  </si>
  <si>
    <t>Sections 3.4, 4.3 and 4.4.1, pp. 645-649</t>
  </si>
  <si>
    <t>The architecture prompt was grounded in the outputs of the requirements phase and in the team's stated platform and integration choices; no retrieval or other external knowledge was supplied.</t>
  </si>
  <si>
    <t>Previous-phase outputs and stated constraints as context</t>
  </si>
  <si>
    <t>Architectural Design, GenAI Solution, p. 9; Figure 5A caption</t>
  </si>
  <si>
    <t>Knowledge on systems engineering, the expected JSON format and SysML constraints is injected before the specification as input-answer pairs of at most 200 words each; after an incorrect model the chat is reset and only the relevant knowledge reinjected, because long knowledge was poorly assimilated.</t>
  </si>
  <si>
    <t>Injected format and constraint knowledge; chat reset</t>
  </si>
  <si>
    <t>Sections 3.2 and 5.1.1, pp. 29-30, 34</t>
  </si>
  <si>
    <t>Diagrams are passed to the model in a condensed textual export from TTool to save tokens, together with the specification; the block type (system or environment) is not exported, so the model has to infer it.</t>
  </si>
  <si>
    <t>Condensed textual export; block type missing</t>
  </si>
  <si>
    <t>Sections 4 and 6, pp. 5-7, 9-10</t>
  </si>
  <si>
    <t>Knowledge of TTool's SysML profiles, JSON answer formats, naming rules and the AMULET mutation language is injected because it is unlikely to be in the model's training data; without it GPT invented an AMULET syntax. A feedback loop checks each answer's structure and constraints, or compiles the mutation script, and re-asks with the errors until none remain or an iteration limit is reached.</t>
  </si>
  <si>
    <t>Injected tool knowledge; checking feedback loop</t>
  </si>
  <si>
    <t>Mechanisms 1 and 3; Algorithm 1, pp. 5-8; Model Mutation in Practice, pp. 12-14</t>
  </si>
  <si>
    <t>Context is given one message per method, with file path, method name, source code and the PO-CCG in natural language, and was cut to controllers and services because of the 16k-token limit; there is no retrieval or fine-tuning, and the authors suggest retrieval to inject only the relevant context.</t>
  </si>
  <si>
    <t>Per-method context; scope cut by token limit</t>
  </si>
  <si>
    <t>Prompt Engineering, pp. 8-9; Implementation, p. 14; Future Work, p. 20</t>
  </si>
  <si>
    <t>Diagrams are passed as a concise list-based export rather than the verbose SysML v2 text, to limit context size and cost; block types and tags are not exported, and internal consistency rules are injected, checked in a feedback loop capped at 20 iterations (never reached) and partly enforced when the diagram is drawn.</t>
  </si>
  <si>
    <t>Concise export; rules injected and checked</t>
  </si>
  <si>
    <t>Sections 4.2.1-4.2.2, pp. 20-22; Section 5.1.3, p. 25; Section 5.2.2, p. 32</t>
  </si>
  <si>
    <t>The context is the code itself: the whole repository uploaded as an archive, or snippets that ChatGPT first asks for; no retrieval, catalogue of patterns and tactics, or other architectural knowledge is supplied.</t>
  </si>
  <si>
    <t>Raw code as context; no architectural knowledge supplied</t>
  </si>
  <si>
    <t>Sections 2.1 and 2.2, pp. 4364-4366</t>
  </si>
  <si>
    <t>Absence: the prompted model receives no project context, dependency structure or retrieved history; it sees only the smell definition and the issue text.</t>
  </si>
  <si>
    <t>Absence: no grounding for the prompted model</t>
  </si>
  <si>
    <t>The agents are grounded in a two-tier memory: per-commit events in short-term memory, namespaced by repository and business domain, from which long-term semantic memory, episodic memory with reflection and per-domain session summaries are extracted; MCP tool servers give access to the code, the Confluence TDDs, the ADRs and the Jira epics, so drift is judged against explicit architectural documents.</t>
  </si>
  <si>
    <t>Two-tier agent memory and MCP access to design documents</t>
  </si>
  <si>
    <t>Sections 1 and 2.2, pp. 1332-1333</t>
  </si>
  <si>
    <t>The techniques reported are mostly trained models rather than prompted ones: clustering and word embeddings, BERT-based transformers, deep Q-learning for self-adaptive distributed microservices, LSTM and Bi-LSTM networks for workload prediction, and Bayesian networks with graphical variational autoencoders for performance debugging.</t>
  </si>
  <si>
    <t>Trained ML models dominate the reviewed techniques</t>
  </si>
  <si>
    <t>2.3 Fine-tuning, model adaptation and multi-agent orchestration</t>
  </si>
  <si>
    <t>Section 5.2 (Q1, Q2), pp. 10-11</t>
  </si>
  <si>
    <t>The comparison table lists domain-specific fine-tuning as a need of generative AI and language models in microservices design, and describes hybrid models that combine rule-based architectural decision frameworks with AI-driven insights, at the cost of added system complexity and integration effort.</t>
  </si>
  <si>
    <t>Fine-tuning needed; hybrid rule-based and AI models</t>
  </si>
  <si>
    <t>Table 1, p. 15</t>
  </si>
  <si>
    <t>Fine-tuning is applied in 12% (6) of the sources, for example to generate serverless functions; 48% (24) report no model enhancement at all and 26% (12) use models as they are.</t>
  </si>
  <si>
    <t>Little fine-tuning; most models used off the shelf</t>
  </si>
  <si>
    <t>OpenAI GPT models account for 62% of the model uses counted, Google models 9% and LLaMA 8%; DeepSeek and Qwen appear from 2024, and cloud-hosted models are preferred over on-premises ones because of resource requirements.</t>
  </si>
  <si>
    <t>GPT dominance with emerging open alternatives</t>
  </si>
  <si>
    <t>Section 4.2.2; Table 12; Fig. 3, pp. 8, 10</t>
  </si>
  <si>
    <t>Absence: no fine-tuning or adaptation of the model, and no multiple agents; a single off-the-shelf model is called through a fixed pipeline of prompts.</t>
  </si>
  <si>
    <t>Absence: no fine-tuning and no agents</t>
  </si>
  <si>
    <t>Sections 3 and 4.1.4, pp. 1689-1693</t>
  </si>
  <si>
    <t>Swapping the model changes results: GPT-4o, Gemini-2.0-flash and DeepSeek-V3 improve on GPT-4o-mini for most metrics, while Llama 3.3 (70B) did worse and failed on the two largest projects because it did not keep to the required JSON format on long inputs.</t>
  </si>
  <si>
    <t>Stronger models help; a smaller open model fails on large inputs</t>
  </si>
  <si>
    <t>Section 4.5 and Table 7, pp. 1696-1697</t>
  </si>
  <si>
    <t>Absence: no fine-tuning, retrieval or agents; the clustering step of the decomposition framework is replaced by a single model inference per configuration.</t>
  </si>
  <si>
    <t>Absence: no adaptation, retrieval or agents</t>
  </si>
  <si>
    <t>Absence: no fine-tuning, agents or multi-stage pipeline; four off-the-shelf models, chosen from the Arena leaderboard by rank, size and availability, are prompted directly.</t>
  </si>
  <si>
    <t>Absence: models used as they are</t>
  </si>
  <si>
    <t>Section 3.2 (LLM Selection); Table 1, pp. 3-4</t>
  </si>
  <si>
    <t>Absence: no fine-tuning, retrieval or agents; six off-the-shelf models are queried through a research API at temperature 0.5 and top-p 0.5, with a fresh chat per query.</t>
  </si>
  <si>
    <t>Section IV-A and IV-B, p. 278; Table I</t>
  </si>
  <si>
    <t>Absence: no model fine-tuning, retrieval pipeline or agents; a second model that checks the first model's answers is mentioned only as another author's proposal.</t>
  </si>
  <si>
    <t>Absence: prompting only</t>
  </si>
  <si>
    <t>Section III-D, p. 95</t>
  </si>
  <si>
    <t>Absence: no fine-tuning, model adaptation or multi-agent set-up; one off-the-shelf model per run works through an agentic IDE (Cursor, Antigravity). Multi-agent design (MAAD) appears only as related work, and an agentic version of the approach is future work.</t>
  </si>
  <si>
    <t>Absence: models used as they are, in agentic IDEs</t>
  </si>
  <si>
    <t>Sections IV and V-A, pp. 4, 7</t>
  </si>
  <si>
    <t>Several LLM agents are orchestrated through three coordination strategies taken from an agent design-pattern catalogue: voting (a coordinator applies the majority of the agents' on/off votes), role-based (one 'Pattern Architect' agent per pattern, merged by a coordinator) and debate (proposals and critiques over at most five turns under a coordinator).</t>
  </si>
  <si>
    <t>Voting, role-based and debate coordination of agents</t>
  </si>
  <si>
    <t>Sections 4.2-4.3, pp. 5-6; Figs. 4-6</t>
  </si>
  <si>
    <t>Three small open models were compared without fine-tuning (Llama 3.2 3B, DeepSeek-r1 8B, gpt-oss 20B, temperature 1.0); DeepSeek-r1 with few-shot prompting was chosen for its accuracy (0.84), although only Llama 3.2 finished faster than the Never and Expert-Driven baselines, and gpt-oss added about 180 s of reasoning.</t>
  </si>
  <si>
    <t>Small open models compared; accuracy traded against reasoning time</t>
  </si>
  <si>
    <t>Section 5.1, pp. 8-9; Tables 3-4</t>
  </si>
  <si>
    <t>The role-based agents, each specialised in one pattern, switched patterns on most often and gave the least favourable accuracy-time balance in image classification, because each reasons about its own pattern without seeing how combined patterns interfere; the authors advise a global coordination strategy.</t>
  </si>
  <si>
    <t>Per-pattern specialists ignore interactions between patterns</t>
  </si>
  <si>
    <t>Section 6.3, p. 13; Fig. 11</t>
  </si>
  <si>
    <t>Architecture knowledge management is divided among four groups of specialised agents (extractor, retriever, generator, validator), each with its own tools, coordinated by a central orchestrator; the authors argue that decomposition, specialisation, collaboration and validation overcome the limits of a single prompt.</t>
  </si>
  <si>
    <t>Stage-based multi-agent decomposition under an orchestrator</t>
  </si>
  <si>
    <t>Sections 1-3, pp. 1-3; Fig. 1</t>
  </si>
  <si>
    <t>Validator agents act as quality gates: a rejected summary or ADR set goes back to its generator, for up to three refinement rounds at each stage.</t>
  </si>
  <si>
    <t>Generator-validator refinement loops</t>
  </si>
  <si>
    <t>Sections 2 and 4.1, pp. 2-3</t>
  </si>
  <si>
    <t>Three agents work in a loop at each abstraction level: an Architecture Reasoner proposes components with names, responsibilities and interfaces, a Component Assembler assigns each node to one component, and an Architectural Validator checks conformance and evidence, sending unsupported claims back for re-analysis until validation passes or assignments stabilise.</t>
  </si>
  <si>
    <t>Reasoner, assembler and validator in a feedback loop</t>
  </si>
  <si>
    <t>Section VI-B, pp. 539-540; Fig. 1</t>
  </si>
  <si>
    <t>Models and agent frameworks sit behind a port-and-adapter component that decouples the tool from specific models and APIs, logs and archives interactions and validates responses semi-automatically; no model is adapted and no agents are orchestrated.</t>
  </si>
  <si>
    <t>Model access isolated behind adapters</t>
  </si>
  <si>
    <t>Section 3, p. 5</t>
  </si>
  <si>
    <t>Five agents built on MetaGPT's role-based cooperation (Aspect_Identifier, at most six aspects; Information_Collector; Aspect_Analyst; Aspect_Reviewer, which is not given the retrieved knowledge so that it stays independent; Trade-off_Analyst) work in a single path, since richer interaction did not greatly improve the rationale in pilots. The pipeline gives the highest recall (0.715) and F1 (0.389) and the fewest uncertain and misleading arguments, credited to the reviewer and trade-off agents, but one rationale can take up to 20 rounds of conversation with the model. No model is fine-tuned.</t>
  </si>
  <si>
    <t>Five-agent pipeline: best recall, fewest misleading arguments</t>
  </si>
  <si>
    <t>Sections 3.4.3, 4.3 and 5.1, pp. 12-14, 22-23, 27-28</t>
  </si>
  <si>
    <t>Four role agents collaborate in sequence, and the Evaluator returns mismatches to the responsible agent until it confirms the artefacts; each role could comprise several LLM-based agents, which calls for mechanisms for information sharing, conflict handling (negotiation, arbitration, goal prioritisation) and collective decisions (consensus algorithms, aggregation of preferences).</t>
  </si>
  <si>
    <t>Four role agents with an evaluation feedback loop</t>
  </si>
  <si>
    <t>Sections 2.1 and 4, pp. 531, 533</t>
  </si>
  <si>
    <t>Fine-tuning on collected architectural data is proposed as a way for agents to internalise best practices and industry standards; how to use or combine retrieval and fine-tuning for architectural decision making is left open.</t>
  </si>
  <si>
    <t>Fine-tuning as an alternative to retrieval</t>
  </si>
  <si>
    <t>Eight off-the-shelf models are compared without fine-tuning: from the documentation, OpenAI's five closed models reach weighted F1 of 0.85-0.86 and the three locally deployed Llama-based models 0.68-0.71, although Llama 3.1 70b was the best model when names came from code (0.81).</t>
  </si>
  <si>
    <t>Closed models ahead of local open models; no fine-tuning</t>
  </si>
  <si>
    <t>Sections IV-A and V; Tables II and IV, pp. 5-7</t>
  </si>
  <si>
    <t>Several models work in fixed roles: a small reasoning model (7.6B) detects violations and three other open models (8-15B) validate its reasoning, all unquantised and run with vLLM on up to four A100 GPUs; no model is fine-tuned, and model calibration and cross-model ensembles are named as ways to improve reliability.</t>
  </si>
  <si>
    <t>One detector and three validator models, no fine-tuning</t>
  </si>
  <si>
    <t>Sections III-D, III-E and V, pp. 3-5, 10; Table II</t>
  </si>
  <si>
    <t>No model is fine-tuned. Replacing GPT-3.5 with DeepSeek-V2 (16B) or Llama3 (8B) changed the average score little (65-66), while the smaller CodeT5, used for summaries only, reached 62; the authors attribute the stability to the pipeline design rather than the model.</t>
  </si>
  <si>
    <t>Stable across LLMs; smaller code model worse</t>
  </si>
  <si>
    <t>Section IV-E; Table XI, pp. 354-355</t>
  </si>
  <si>
    <t>Seven off-the-shelf models from five vendors are compared without fine-tuning (open models in 4-bit quantisation): the smallest model and the one trained on the least data did worst, the largest models (GPT-4o, Mistral Large) were no better than mid-sized ones, and the distilled DeepSeek model did best, so the authors point to training methodology rather than size; they propose voting among models whose false answers differ, such as DeepSeek and Mistral.</t>
  </si>
  <si>
    <t>Size saturates; distilled model best; voting proposed</t>
  </si>
  <si>
    <t>Sections 2 and 5; Table 1, pp. 102-103, 109</t>
  </si>
  <si>
    <t>A single off-the-shelf multimodal model, ChatGPT-4o, chosen for its visual and reasoning capabilities, is used through its web interface without fine-tuning; other models are left to future work.</t>
  </si>
  <si>
    <t>One multimodal model, used as it is</t>
  </si>
  <si>
    <t>Sections 3 and 6, pp. 118, 122</t>
  </si>
  <si>
    <t>Two off-the-shelf models, Gemini 1.5 and ChatGPT-4o, are compared with temperatures left at their defaults: Gemini was less creative and avoided unrequested changes, while ChatGPT acted more independently and sometimes optimised beyond the request.</t>
  </si>
  <si>
    <t>Two models compared; different tendencies to over-edit</t>
  </si>
  <si>
    <t>Sections I, IV-D and IV-E, pp. 404, 408</t>
  </si>
  <si>
    <t>Three off-the-shelf models (DeepSeek-V2.5, Claude 3.5 Sonnet, GPT-4o) are compared with a general-purpose coding agent (Claude Code) and a custom multi-agent approach, ArchView (prompt builder, view generator, image renderer with tools for cloning, folder extraction and summarisation), all at default settings and without fine-tuning.</t>
  </si>
  <si>
    <t>Three models, a general agent and a custom multi-agent approach</t>
  </si>
  <si>
    <t>Sections III-E, VI; Table II, pp. 248-249, 254</t>
  </si>
  <si>
    <t>The inference engine sends the same task prompts to standalone models or LLM-based coding agents of any provider through one interface, and shared architecture datasets are expected to support fine-tuning of models tailored to software architecture.</t>
  </si>
  <si>
    <t>Any model or agent through one interface; fine-tuning envisaged</t>
  </si>
  <si>
    <t>Abstract; Sections II and IV, pp. 1-2, 4</t>
  </si>
  <si>
    <t>Nine commercial models from four providers are used as they are, with default settings; fine-tuning or instruction alignment for reasoning about ROS2 systems is proposed as a research direction.</t>
  </si>
  <si>
    <t>Nine off-the-shelf models; fine-tuning proposed</t>
  </si>
  <si>
    <t>Sections 4.3 and 7; Table 3, pp. 4, 9</t>
  </si>
  <si>
    <t>A small open model, Mistral-7B-Instruct-v0.2, is used as it is, chosen over Llama-2-7b-chat because it kept more consistently to the designed instructions; more advanced models able to draw the architecture are named as future work.</t>
  </si>
  <si>
    <t>Small open model chosen for instruction following</t>
  </si>
  <si>
    <t>Sections 4 and 7, pp. 5, 11</t>
  </si>
  <si>
    <t>Two off-the-shelf models are chained, the first drafting and the second diagnosing and fixing the draft, in all 81 ordered pairs of the nine model-prompt settings; the drafter mattered more than the refiner, Gemini drafts scored best on the Meetings System and Llama drafts on Online Boutique, Llama drafting with o3 refining balanced precision and recall, and Gemini produced more invalid outputs.</t>
  </si>
  <si>
    <t>Drafter-refiner chains of two models</t>
  </si>
  <si>
    <t>Sections III, V-D and VI-A, pp. 401, 405-407; Table III</t>
  </si>
  <si>
    <t>One off-the-shelf model, GPT-3.5 Turbo, is used through a wrapper that mirrors a commercial chat interface; the authors call for repeating the study with a more recent model.</t>
  </si>
  <si>
    <t>One older chat model, used as it is</t>
  </si>
  <si>
    <t>Sections 3.1 and 6, pp. 1785, 1790</t>
  </si>
  <si>
    <t>One model (ChatGPT 4o) generates the alternatives and four off-the-shelf models (ChatGPT 4o, DeepSeek R1, Claude 3.7, Gemini 2.5 Pro) choose among them through their web interfaces; comparing several models as generators is future work.</t>
  </si>
  <si>
    <t>One generator, four choosing models, used as they are</t>
  </si>
  <si>
    <t>Methodology; Future Work, pp. 89-90, 95</t>
  </si>
  <si>
    <t>One generic model, GPT-4 Turbo, is used as it is; the authors plan to compare several models, including ones trained specifically on ensembles.</t>
  </si>
  <si>
    <t>One generic model; others planned</t>
  </si>
  <si>
    <t>Sections 4, 4.5 and 6, pp. 216, 220-221</t>
  </si>
  <si>
    <t>Four off-the-shelf model families, two proprietary and two open, are compared at default settings; their decompositions were remarkably similar (MoJoFM within 0.53 points), which the authors take to mean that architectural heuristics rather than the model drive the outcome.</t>
  </si>
  <si>
    <t>Four models converge</t>
  </si>
  <si>
    <t>Sections IV-A, V-C and VIII; Table III, pp. 273-275, 277</t>
  </si>
  <si>
    <t>Absence: one model, without fine-tuning or agents; fine-tuning on architectural patterns or on negative examples of smells is proposed.</t>
  </si>
  <si>
    <t>Absence: one model, no adaptation</t>
  </si>
  <si>
    <t>Sections 3 and 5, pp. 81, 87</t>
  </si>
  <si>
    <t>Absence: no model, adaptation or agent design is specified for the architectural tasks; agentic AI appears only as a kind of system to be architected for production systems.</t>
  </si>
  <si>
    <t>Absence: no model or agents for architecting</t>
  </si>
  <si>
    <t>Sections 4-5, pp. 163-165</t>
  </si>
  <si>
    <t>Four off-the-shelf models of different scale and licence are compared, without adaptation; context strategy mattered more than model scale.</t>
  </si>
  <si>
    <t>Four models; context over scale</t>
  </si>
  <si>
    <t>Sections 3.3.2 and 5.1-5.2, pp. 4, 7-8</t>
  </si>
  <si>
    <t>Local quantised models of 8B-70B parameters and online commercial models are compared, without adaptation; model capacity decided pattern adherence as complexity and prompt length grew.</t>
  </si>
  <si>
    <t>Local and online models; capacity decides</t>
  </si>
  <si>
    <t>Sections 3.2-3.3 and 4.2, pp. 8-9, 15</t>
  </si>
  <si>
    <t>Five API models are compared (GPT-4o mini, Gemini 2.0 Flash, GPT-4o, Claude 3.7 Sonnet, o3-mini), without adaptation; bigger models did better and the reasoning model best, and a single model is used in the loop.</t>
  </si>
  <si>
    <t>Five API models; reasoning model best</t>
  </si>
  <si>
    <t>Sections 6.2.1 and 6.4.1; Table 1, pp. 6-7</t>
  </si>
  <si>
    <t>One model (Gemini 3.1 Pro) runs in a LangGraph finite-state machine whose nodes share a mutable state, which the authors present as making each reasoning step auditable.</t>
  </si>
  <si>
    <t>Graph-orchestrated agents over one model</t>
  </si>
  <si>
    <t>Sections 2.2 and 3-3.2, pp. 2-3</t>
  </si>
  <si>
    <t>Three general-purpose models are compared under identical conditions; OpenAI favoured coverage with many extra links, Claude was the most parsimonious, and DeepSeek the most precise on the compact system; multi-model ensembling with union or intersection policies is proposed.</t>
  </si>
  <si>
    <t>Three models with distinct profiles; ensembling proposed</t>
  </si>
  <si>
    <t>Sections 3, 4.2 and 5, pp. 3, 5-6</t>
  </si>
  <si>
    <t>A single off-the-shelf multimodal model, ChatGPT-4o, is used through the web interface with default settings, chosen to characterise a readily accessible frontier model under realistic use rather than the best model; no fine-tuning; comparing several multimodal models is left to future work.</t>
  </si>
  <si>
    <t>One multimodal model through the web interface</t>
  </si>
  <si>
    <t>Sections 3.3, 6 and 8, pp. 90, 95</t>
  </si>
  <si>
    <t>A single agent built with the OpenAI Agents SDK, chosen over LangChain or CrewAI for lower-level control of phase transitions, orchestrates the DSM activities as internal responsibilities, follows a planning strategy and can invoke rendering services, query the repository and request validations; the model itself is not named.</t>
  </si>
  <si>
    <t>One tool-aware agent on the OpenAI Agents SDK; model not named</t>
  </si>
  <si>
    <t>Sections 4.1 and 4.3, pp. 10-12</t>
  </si>
  <si>
    <t>Absence: the LLM is never named, and no model comparison or fine-tuning is reported; the only orchestration is a fixed pipeline that combines the model with the Graph Max Shift heuristic.</t>
  </si>
  <si>
    <t>Absence: model not named or compared</t>
  </si>
  <si>
    <t>Sections V-VII are where it would appear, pp. 495-499</t>
  </si>
  <si>
    <t>Two OpenAI models with stated versions are compared through LangChain, which the authors say lets another model be swapped in with a few lines of code; no fine-tuning.</t>
  </si>
  <si>
    <t>Two OpenAI models; model swap through LangChain</t>
  </si>
  <si>
    <t>Sections 4, 4.1 and 4.5, pp. 613, 615</t>
  </si>
  <si>
    <t>Two general-purpose models are used through their web interfaces with basic subscriptions and no hyperparameters set, and NotebookLM Pro serves as the RAG tool; the model for the planned assistant is still to be chosen, and it is to be built with LangChain.</t>
  </si>
  <si>
    <t>Web-interface models and NotebookLM; assistant planned on LangChain</t>
  </si>
  <si>
    <t>Sections 4.1, 5.1 and 7, pp. 3, 5</t>
  </si>
  <si>
    <t>The LLM is orchestrated by an elitist evolutionary search with a Lean 4 kernel that checks three invariants (no self-calls, every caller and every callee exists) and a fitness function summing a cohesion proxy, maximum operations per service, parameter dispersion and maximum fan-out, with a penalty of 10^6 plus the message length for invalid candidates.</t>
  </si>
  <si>
    <t>Neuro-symbolic evolutionary search with a Lean 4 kernel</t>
  </si>
  <si>
    <t>Two multimodal models are used through their APIs and their outputs are pooled, since the aim is not to compare models; no fine-tuning.</t>
  </si>
  <si>
    <t>Two multimodal models via APIs, pooled</t>
  </si>
  <si>
    <t>Sections 3.3 and 3.5, pp. 5-6</t>
  </si>
  <si>
    <t>Three quantised local models (Llama-3-8B, Llama-3-13B, NeuralHermes 2.5 Mistral 7B) were tried first and produced off-specification diagrams, class diagrams or hallucinated elements, so the pipeline uses GPT-4o through ChatGPT; there is no fine-tuning.</t>
  </si>
  <si>
    <t>Local models abandoned for GPT-4o; no fine-tuning</t>
  </si>
  <si>
    <t>Section III-A, p. 293</t>
  </si>
  <si>
    <t>One model, GPT-5.1 (version 2025-11-13), runs on a private EU-hosted Azure OpenAI instance with temperature 0.01, default top_p and a fixed seed; a Pydantic layer validates the JSON output before it is converted to PlantUML; there is no fine-tuning.</t>
  </si>
  <si>
    <t>GPT-5.1 with near-zero temperature and fixed seed; no fine-tuning</t>
  </si>
  <si>
    <t>Section 4, p. 3</t>
  </si>
  <si>
    <t>One general model, GPT-4o at temperature 0.7, with OpenAI's text-embedding-3-small for embeddings; no fine-tuning.</t>
  </si>
  <si>
    <t>GPT-4o at temperature 0.7; no fine-tuning</t>
  </si>
  <si>
    <t>Sections III-B and IV, pp. 115-116</t>
  </si>
  <si>
    <t>The pipeline divides recovery among agents and agent teams (NodeAnalyzer, LaunchFileAnalyzer, ComponentArchitectureTeam, SystemArchitectureTeam) that call an external LLM, which is not named; there is no fine-tuning.</t>
  </si>
  <si>
    <t>Agents and agent teams over an unnamed external LLM</t>
  </si>
  <si>
    <t>Section 4.2; Fig. 2, pp. 106-109</t>
  </si>
  <si>
    <t>One open model, meta-llama-3-3-70b-instruct, used through prompting from an application that implements the interface to the model; no fine-tuning is reported.</t>
  </si>
  <si>
    <t>Llama 3.3 70B Instruct through prompting</t>
  </si>
  <si>
    <t>Section 5; Fig. 2, pp. 124-125</t>
  </si>
  <si>
    <t>Two open models hosted locally, Qwen2, multimodal and able to read diagrams with their accompanying text, and Llama 3.1, text only, are reached through an LLM client component that decouples the evaluators from the concrete model; there is no fine-tuning.</t>
  </si>
  <si>
    <t>Local Qwen2 and Llama 3.1 behind an LLM client</t>
  </si>
  <si>
    <t>Sections 4 and 5.2; Fig. 3, pp. 8-9, 12</t>
  </si>
  <si>
    <t>One general model, GPT-4.1-mini, accessed through LangChain at temperature 0, with each ADR processed independently without conversational memory; it was chosen for reasoning, structured output, latency and cost rather than benchmarked, and there is no fine-tuning.</t>
  </si>
  <si>
    <t>GPT-4.1-mini at temperature 0; no fine-tuning</t>
  </si>
  <si>
    <t>Section 3 and footnote 6, pp. 5-6</t>
  </si>
  <si>
    <t>ArchSec.AI is built with LangChain, and its generating model is not named, although its settings are (temperature 0.1, top_p 0.2, 2,048 tokens); the judge is OpenAI GPT-4 at temperature 0 with an OpenAI embedding model, run through RAGAs 0.4.3; there is no fine-tuning.</t>
  </si>
  <si>
    <t>Unnamed generator; GPT-4 judge through RAGAs</t>
  </si>
  <si>
    <t>In a pilot on three repositories discussed in focus groups, GPT-5 was chosen over Claude Sonnet 4.5, Gemini 2.5 and Mistral Large 2 for the most accurate, stable and template-aligned output, more syntactically correct PlantUML and fewer speculative elements; the tool can be configured for other models, and there is no fine-tuning.</t>
  </si>
  <si>
    <t>GPT-5 chosen in a pilot of four models</t>
  </si>
  <si>
    <t>Section III-D, pp. 204-205</t>
  </si>
  <si>
    <t>One model is evaluated, ChatGPT 4 Turbo (2024-04-09) through the OpenAI API, without fine-tuning; an open-source model as a baseline is planned.</t>
  </si>
  <si>
    <t>One proprietary model; no fine-tuning</t>
  </si>
  <si>
    <t>Sections IV-C, VI-A and VI-B, pp. 8-9</t>
  </si>
  <si>
    <t>GPT-4o mini was used as the most cost-effective model after informal trials: GPT-4o cost much more, Gemini variants gave lacking results, and small local models were worse and slower.</t>
  </si>
  <si>
    <t>GPT-4o mini chosen for cost after informal trials</t>
  </si>
  <si>
    <t>Section IV-A, p. 163</t>
  </si>
  <si>
    <t>The six models were two OpenAI models run remotely (GPT-4o mini, o3-mini) and four open models run locally (Llama 3.3, Qwen2.5, Qwen2.5-Coder and DeepSeek-R1, the last of which could not use tools); most explained 'ensembles' as machine-learning ensembles, the newer ones knew DEECo from training data, and results varied between models and applications.</t>
  </si>
  <si>
    <t>Six remote and local models; prior DEECo knowledge varies</t>
  </si>
  <si>
    <t>Sections 3.2, 4.1, 4.2 and 4.4.1; Tables 1-2, pp. 644-648</t>
  </si>
  <si>
    <t>A single commercial model, ChatGPT-4 with its available plugins, was used through the chat interface, made to play several roles in turn; there was no fine-tuning and no multi-agent set-up.</t>
  </si>
  <si>
    <t>ChatGPT-4 with plugins; one model in several roles</t>
  </si>
  <si>
    <t>ChatGPT-PAMS Experiment Design, p. 2; Architectural Design, p. 9</t>
  </si>
  <si>
    <t>ChatGPT in its GPT-3.5 and GPT-4 versions was used, without fine-tuning or any other adaptation.</t>
  </si>
  <si>
    <t>GPT-3.5 and GPT-4 through ChatGPT</t>
  </si>
  <si>
    <t>Section 3.1, p. 2</t>
  </si>
  <si>
    <t>A single model, GPT-3.5 Turbo with a 16,000-token context, is used through the API, without fine-tuning.</t>
  </si>
  <si>
    <t>GPT-3.5 Turbo through the API</t>
  </si>
  <si>
    <t>Sections 2.3 and 5.1.1-5.2, pp. 28-29, 34-35</t>
  </si>
  <si>
    <t>Diagram generation used GPT-3.5 for two systems and GPT-4 for the third, and GPT-4 detected and corrected inconsistencies; Section 4 instead names GPT-4-turbo and GPT-4o as the underlying models.</t>
  </si>
  <si>
    <t>GPT-3.5 and GPT-4 (GPT-4-turbo and GPT-4o named)</t>
  </si>
  <si>
    <t>Sections 4 and 5.2, pp. 5, 9</t>
  </si>
  <si>
    <t>A single model, GPT-4-turbo, is used, chosen because it handles longer scenario text than GPT-3.5 and GPT-4 and is familiar to students; the authors note that this familiarity may have biased the results.</t>
  </si>
  <si>
    <t>GPT-4-turbo only</t>
  </si>
  <si>
    <t>Section 3, p. 5; Section 6, pp. 17-18</t>
  </si>
  <si>
    <t>GPT-3.5 Turbo was used in the first evaluation and GPT-4o in the second, through the OpenAI API; GPT-4o gave better block diagrams but not better state machines.</t>
  </si>
  <si>
    <t>GPT-3.5 Turbo, then GPT-4o</t>
  </si>
  <si>
    <t>Mechanisms, p. 4; Evaluation, pp. 14-16</t>
  </si>
  <si>
    <t>A single model, gpt-3.5-turbo-16k, is used through the API without modification.</t>
  </si>
  <si>
    <t>gpt-3.5-turbo-16k</t>
  </si>
  <si>
    <t>Implementation, p. 14</t>
  </si>
  <si>
    <t>ChatGPT with GPT-3.5 was used, as GPT-4 was rate-limited at the time.</t>
  </si>
  <si>
    <t>GPT-3.5 through ChatGPT</t>
  </si>
  <si>
    <t>Section 5, p. 5</t>
  </si>
  <si>
    <t>A single model, GPT-4, was used.</t>
  </si>
  <si>
    <t>GPT-4</t>
  </si>
  <si>
    <t>In the evaluation GPT 3.5 generated the diagrams of two systems and GPT 4 those of the third and did all detection and correction; GPT-5.1 was used for one comparison in the walkthrough, and other LLMs are left for future work.</t>
  </si>
  <si>
    <t>GPT 3.5 and GPT 4; GPT-5.1 once</t>
  </si>
  <si>
    <t>Section 5.2.2, p. 31; Section 6.1, p. 32; Section 7, p. 36</t>
  </si>
  <si>
    <t>A single general-purpose chat model is used as it is, through the chat interface with file upload; there is no fine-tuning and no multi-model set-up, and the version used is not named.</t>
  </si>
  <si>
    <t>One unmodified chat model</t>
  </si>
  <si>
    <t>Sections 1, 2.1 and 2.2, pp. 4364-4366; Figs. 2-4</t>
  </si>
  <si>
    <t>Three families are compared: encoders (TF-IDF, Sentence-BERT, OpenAI text-embedding-3-small with an 8k-token window) feeding seven classifiers (feed-forward network, naive Bayes, logistic regression, random forest, SVM, XGBoost, k-nearest neighbours); RoBERTa fine-tuned with issues split into chunks whose results are averaged; and GPT-5-mini prompted zero-shot. LLM embeddings with an SVM did best, and fine-tuning RoBERTa did not beat them.</t>
  </si>
  <si>
    <t>LLM embeddings with classifiers, fine-tuned RoBERTa, zero-shot GPT-5-mini</t>
  </si>
  <si>
    <t>Sections IV-A to IV-C, V-B and VI-B, pp. 48-51</t>
  </si>
  <si>
    <t>Two agents with separate roles run on the AWS Strands framework: a lightweight real-time agent that summarises each commit in seconds, and an asynchronous synthesis agent, run two to three times a week, that reasons over hundreds of commits; no fine-tuning is reported.</t>
  </si>
  <si>
    <t>Real-time commit agent and periodic synthesis agent</t>
  </si>
  <si>
    <t>Section 2.2, p. 1333</t>
  </si>
  <si>
    <t>The evidence base is a PRISMA-guided review: IEEE Xplore, ACM Digital Library and Google Scholar searched for 2018-2024, 97 full texts read (20 more could not be accessed), 43 studies included, screening done manually by two of the authors, and studies without empirical data or validation excluded.</t>
  </si>
  <si>
    <t>PRISMA review of 43 studies from three sources</t>
  </si>
  <si>
    <t>3.1 Evaluation designs: benchmarks, case studies, expert judgement, experiments</t>
  </si>
  <si>
    <t>T3. Techniques for Evaluation</t>
  </si>
  <si>
    <t>Section 4, pp. 6-8</t>
  </si>
  <si>
    <t>T3: evaluation technique</t>
  </si>
  <si>
    <t>The authors acknowledge that the quality of the included studies was not formally assessed, that relevant work outside the chosen databases, period or language may be missing, and that the selection may be biased.</t>
  </si>
  <si>
    <t>No quality assessment of included studies; coverage threats acknowledged</t>
  </si>
  <si>
    <t>Section 6, p. 15</t>
  </si>
  <si>
    <t>The review is a multivocal literature review: four digital libraries and five search engines searched in February 2025, 1053 unique records screened to 46 sources, each decision made by two authors with a third for disagreements and Cohen’s kappa reported, snowballing, a quality assessment for peer-reviewed and for grey sources, and open coding of the extracted data.</t>
  </si>
  <si>
    <t>Multivocal review with dual screening and quality assessment</t>
  </si>
  <si>
    <t>Sections 3.2 and 3.3; Tables 2-5, pp. 5-6, 8</t>
  </si>
  <si>
    <t>Across the sources, case studies are the most common design (40%, 28), then method proposals (29%, 20) and experiments (14%, 10); 93% (43) report no method for validating model output, and the only methods reported are ATAM, SAAM and static analysis, once each.</t>
  </si>
  <si>
    <t>Validation of generated output almost never reported</t>
  </si>
  <si>
    <t>Sections 4.1 and 4.3.4; Tables 8 and 18, pp. 6, 8, 14</t>
  </si>
  <si>
    <t>The authors acknowledge that they could not evaluate the external validity of all included studies, so the synthesis inherits their limitations, and that some relevant studies may be missing.</t>
  </si>
  <si>
    <t>External validity of sources not assessed</t>
  </si>
  <si>
    <t>Section 6, p. 18</t>
  </si>
  <si>
    <t>Evaluation uses nine open-source projects with published ground-truth architectures (25.7K to 11.7M lines, Java, C and C++) and ten implementations of eight recovery tools, giving 90 input architectures compared with the ground truth before and after refinement.</t>
  </si>
  <si>
    <t>Ground-truth comparison over 90 inputs</t>
  </si>
  <si>
    <t>Section 4.1; Tables 1 and 2, pp. 1692-1693</t>
  </si>
  <si>
    <t>Because the output is a hierarchy, it is cut at the depth whose module count is closest to the ground truth; to address the concern that this choice drives the result, top-level and leaf-level cuts are also reported and still show gains.</t>
  </si>
  <si>
    <t>Flattening strategy checked with alternative cuts</t>
  </si>
  <si>
    <t>Sections 4.2.1; Table 5, pp. 1693-1695</t>
  </si>
  <si>
    <t>One-way ANOVA across input tools and projects finds no significant difference in gains for four metrics, with c2c_cvg varying by project; an ablation of the five stages shows iterative refinement contributes most and hierarchy construction least.</t>
  </si>
  <si>
    <t>ANOVA and stage-by-stage ablation</t>
  </si>
  <si>
    <t>Sections 4.2.1 and 4.3; Table 4; Figure 5, pp. 1694-1696</t>
  </si>
  <si>
    <t>A case study on Bash compares the SARIF result, the refined result and the ground truth module by module, including one module (general) that the refinement split differently and the authors defend as reasonable.</t>
  </si>
  <si>
    <t>Module-level case study on Bash</t>
  </si>
  <si>
    <t>Section 4.2.2; Figure 4, pp. 1695-1696</t>
  </si>
  <si>
    <t>The design is exploratory and comparative: two systems, two model providers, two prompting strategies, one run per configuration, following an adapted M2MDF workflow in which optimisation and deployment phases are out of scope.</t>
  </si>
  <si>
    <t>Two-by-two comparison, one run each</t>
  </si>
  <si>
    <t>Section 3; Table 1, pp. 3-5</t>
  </si>
  <si>
    <t>No ground truth is used: multiple decompositions may be equally valid, so outputs are not validated against a reference and are characterised instead of judged.</t>
  </si>
  <si>
    <t>Characterisation without ground truth</t>
  </si>
  <si>
    <t>Sections 2.2, 3 and 3.1, pp. 3-5</t>
  </si>
  <si>
    <t>Preliminary exploratory design: 30 developer-written decisions from Apache Cassandra, Hadoop and Tajo, taken from the Maestro dataset (6,416 Jira tickets labelled for decisions across 173 projects), linked to commits by ticket ID and selected for being clearly written, tied to one commit and 60-100 words long.</t>
  </si>
  <si>
    <t>Thirty curated decision-commit pairs</t>
  </si>
  <si>
    <t>Section 3.2 (Dataset Curation), pp. 3-4</t>
  </si>
  <si>
    <t>Outputs are compared with the documented decision automatically, and one author inspected all 60 outputs of the best model (Gemini 3 Pro) against a rubric fixed before coding.</t>
  </si>
  <si>
    <t>Reference comparison plus single-author inspection</t>
  </si>
  <si>
    <t>Section 3.2 (Evaluation), pp. 4-5</t>
  </si>
  <si>
    <t>Three experiments on four scenarios reused from the authors' CAPI user study: ten runs per model and prompt in Experiment 1 (480 prompts), one decision-tree traversal per model and scenario in Experiment 2, compared with ten human participants from the earlier study, and a tool-mapping run in Experiment 3.</t>
  </si>
  <si>
    <t>Three experiments; comparison with human participants</t>
  </si>
  <si>
    <t>Sections III and IV, pp. 277-279</t>
  </si>
  <si>
    <t>The reference against which pattern lists are scored is the authors' own list of must, could and must-not patterns per scenario, which they state is not objective and represents only their implementation approach.</t>
  </si>
  <si>
    <t>Reference list the authors call not objective</t>
  </si>
  <si>
    <t>Section IV-C, p. 279</t>
  </si>
  <si>
    <t>Absence: the paper does not say who assigned the ordinal ratings in Experiment 1, how many raters there were or whether agreement was checked.</t>
  </si>
  <si>
    <t>Absence: raters of the ordinal scores unreported</t>
  </si>
  <si>
    <t>Sections IV-B and V-A, pp. 278-281</t>
  </si>
  <si>
    <t>The test is exploratory: the authors send example questions a student could ask to both models, using the MobSTr dataset of an automotive driver assistance system, and describe the answers qualitatively.</t>
  </si>
  <si>
    <t>Simulated student questions on one dataset</t>
  </si>
  <si>
    <t>Absence: no students take part, and the number of questions, runs, judging criteria and judges are not reported; there is no comparison with a human tutor.</t>
  </si>
  <si>
    <t>Absence: procedure of the test unreported</t>
  </si>
  <si>
    <t>Two case studies: a hotel pricing system from the first two authors' book, with a proven reference solution that the authors compared themselves (Claude Sonnet 3.7, May 2025), and an unpublished warehouse management system designed by three models (January 2026), of which Claude Opus 4.5's design was rated by four professional architects on seven drivers, a scenario-based evaluation in the style of ATAM.</t>
  </si>
  <si>
    <t>Reference comparison plus expert scenario-based evaluation</t>
  </si>
  <si>
    <t>Section V, pp. 7-9; Table I</t>
  </si>
  <si>
    <t>The runs gave the model no feedback between steps, so the results show what the process yields without human correction, a conservative lower bound; the benefit of in-the-loop guidance is left untested.</t>
  </si>
  <si>
    <t>No-feedback runs as a lower bound</t>
  </si>
  <si>
    <t>Sections VI-C and VII, pp. 13-14</t>
  </si>
  <si>
    <t>Controlled experiment in an emulated federation (Docker Compose on one 24-core workstation): five clients with two hardware profiles, IID and non-IID data, one-shot or batched data inflow, and stable or unstable networks with 20-50 s of injected latency; image (CNN, FashionMNIST) and text (MLP, AG_NEWS) classification over 10 rounds, each configuration repeated 10 times and compared with Mann-Whitney U tests and Vargha-Delaney A12.</t>
  </si>
  <si>
    <t>Repeated experiment in an emulated heterogeneous federation</t>
  </si>
  <si>
    <t>Section 5, pp. 7-8; Tables 1-3</t>
  </si>
  <si>
    <t>Three baselines: no patterns (Never), random activation with probability 0.5 per pattern and round (Random), and a rule-based Expert-Driven policy whose activation conditions come from the authors' earlier empirical studies of the patterns (for example, activate the Message Compressor when communication time rises).</t>
  </si>
  <si>
    <t>Static, random and rule-based baselines</t>
  </si>
  <si>
    <t>Section 5, p. 8</t>
  </si>
  <si>
    <t>Blind comparative user study: 13 participants (students and professionals, 0-6 years of industry experience) each rated four anonymised ADR sets (single prompt and agentic, each with GPT-5 and Gemini 2.5 Pro) for repositories they knew, 29 repositories in all (17 Python, 12 JavaScript, 1,000 to 350,000 lines).</t>
  </si>
  <si>
    <t>Blind user study on participants' own repositories</t>
  </si>
  <si>
    <t>Section 4.2, pp. 3-4</t>
  </si>
  <si>
    <t>Preregistered staged design: reproduce the SARIF (T0) and SemArc (T1) baselines on seven benchmark projects, check that the new pipeline matches SemArc, then test project-specific facts (T2) and bounded interaction (T3) on four arc42-by-Example Java projects, and finally assess T1-T3 with architects of an industrial partner; four research questions with hypotheses H1-H4.</t>
  </si>
  <si>
    <t>Staged preregistered experiment and industrial expert study</t>
  </si>
  <si>
    <t>Sections IV-V, pp. 537-539; Tables I-II</t>
  </si>
  <si>
    <t>The analysis plan compares adjacent treatments within each repository with paired t-tests or Wilcoxon signed-rank tests (alpha 0.05) and effect sizes (Cohen's d or Cliff's delta), checks inter-rater agreement (Krippendorff's alpha) for expert ratings, and correlates evidence and quality measures (Spearman).</t>
  </si>
  <si>
    <t>Paired tests, effect sizes and agreement planned</t>
  </si>
  <si>
    <t>Section V-D, pp. 538-539</t>
  </si>
  <si>
    <t>Requirements were gathered by asking practicing architects and through action research in a design-science approach, without the number of architects or the procedure being reported; the example prompt was run on one ADR with six LLMs, and a systematic evaluation following guidelines for empirical studies with LLMs is under way.</t>
  </si>
  <si>
    <t>Practitioner input and one example; evaluation pending</t>
  </si>
  <si>
    <t>Sections 1, 2 and 4, pp. 2-3, 7</t>
  </si>
  <si>
    <t>A new dataset avoids leakage: 100 decisions with their problem and expert rationale from Stack Overflow (50 posts), GitHub issues (25) and GitHub discussions (25), all created after the models' cut-off dates (from 1 May 2023, collected on 18 June 2024), with answered posts and repositories of more than 200 stars. Labelling (pilot kappa 0.834) and extraction were done by the first author and reviewed by four authors. The choice of models traded recency against data: with GPT-4o only 28 Stack Overflow posts would have remained.</t>
  </si>
  <si>
    <t>Post-cut-off dataset of 100 decisions</t>
  </si>
  <si>
    <t>Sections 3.2 and 3.3, pp. 6-9</t>
  </si>
  <si>
    <t>Two authors compared the arguments of 15 rationales with the experts' (kappa 0.863) and classified them (0.738); the first author then evaluated all output, reviewed by four authors. The strategies are compared with each other, zero-shot as the reference. Practitioners' views come from semi-structured interviews (25-30 minutes) with six developers invited through Stack Overflow and LinkedIn (2-25 years in development, 2-10 in architecture design), who reviewed five samples beforehand.</t>
  </si>
  <si>
    <t>Author-rated arguments and six interviews</t>
  </si>
  <si>
    <t>Sections 3.5, 3.6 and 4.4; Table 9, pp. 14-17, 23</t>
  </si>
  <si>
    <t>Absence: nothing is evaluated, and no evaluation is described or planned; the framework is only illustrated with an online-bookstore example.</t>
  </si>
  <si>
    <t>Absence: no evaluation, illustration only</t>
  </si>
  <si>
    <t>Sections 2.1 and 5 are where it would appear, pp. 531-533; Fig. 2</t>
  </si>
  <si>
    <t>The evaluation reuses TransArC's benchmark, five open-source projects (6-14 components, 13-198 documentation sentences, 97-1,979 code files, 50-8,240 gold-standard links), and compares with five baselines whose results are taken from Keim et al.; one-sided Wilcoxon signed-rank tests compare GPT-4o with each baseline, and an error analysis compares generated with manual models for selected projects.</t>
  </si>
  <si>
    <t>Established benchmark, reused baselines, significance tests</t>
  </si>
  <si>
    <t>Sections IV and V-A to V-D; Tables I and III, pp. 5-9</t>
  </si>
  <si>
    <t>The data come from an existing ADR dataset: of 921 repositories, 882 could be cloned; projects in the top quartile of code size (more than 28,696 lines) and above the first quartile of commits were kept (166), with ADRs in a recognised template still at their recorded paths (980 files, 109 projects). The detector extracted 1,471 decisions, of which 1,317 were accepted after 20 status labels were mapped (proposed, work in progress and submitted counted as accepted). Agreement is measured over all 1,317 decisions and accuracy against 305 decisions labelled by three authors with majority voting; the 92 misjudged cases were coded thematically and axially by two authors, with a third resolving disagreements.</t>
  </si>
  <si>
    <t>Mined ADR dataset; 305 decisions validated by the authors</t>
  </si>
  <si>
    <t>Sections III-C to III-E, pp. 3-6; Tables I and III</t>
  </si>
  <si>
    <t>Evaluation on 15 projects: eight with ground truths from earlier recovery studies and seven (Teammates, Jabref and five Python projects) annotated by the authors, with two or more annotators starting from an existing recovery technique's clustering and preferring finer and directory-aligned groupings; seven baselines, with RELAX reimplemented; ablations of code semantics, architectural semantics, anchors and implicit dependencies; comparisons of description types and models; 30 further projects annotated the same way; and a Bash case study.</t>
  </si>
  <si>
    <t>Benchmark plus author-annotated ground truths</t>
  </si>
  <si>
    <t>Sections IV-A to IV-E and V-A, pp. 347-356; Table IV</t>
  </si>
  <si>
    <t>The study reuses S5's 229 questions and ground truth on HDFS and collects 1,603 responses from seven models; because manual analysis of all responses was not feasible, answers are extracted by a script per response format, matched to the ground truth by fuzzy matching (threshold 0.65, precision 0.92 on a sample of 400 responses), and all false positives are checked by two authors; differences between model pairs are tested with t-tests or Mann-Whitney U tests.</t>
  </si>
  <si>
    <t>Reused dataset; semi-automatic answer matching; significance tests</t>
  </si>
  <si>
    <t>Section 2, pp. 102-105</t>
  </si>
  <si>
    <t>Four projects covering different domains are taken from an existing dataset of architectural views in open-source projects; one software architecture expert reviewed the model's assessments per criterion, and where they disagreed the expert's judgement was taken as ground truth.</t>
  </si>
  <si>
    <t>Four diagrams; one expert reviews the model output</t>
  </si>
  <si>
    <t>Section 3, pp. 118-119</t>
  </si>
  <si>
    <t>One IoT reference architecture and four platform architectures from an earlier study are mutated by the authors into 16 faulty architectures with four violation types; each suggested fix is compared by hand with the original, unmutated architecture.</t>
  </si>
  <si>
    <t>Mutation-based test bed; manual comparison with the original</t>
  </si>
  <si>
    <t>Section IV-A and IV-B, p. 407</t>
  </si>
  <si>
    <t>The ground truth is 340 repositories whose views were manually coded by Migliorini et al.; 13 configurations generated 4,137 views; two authors rated 110 views from 22 randomly sampled repositories blind to the approach; differences are tested with Friedman and Wilcoxon tests (RQ1) and Kruskal-Wallis and Dunn tests (RQ2, RQ3), with effect sizes.</t>
  </si>
  <si>
    <t>Manually coded ground truth; blinded human rating; non-parametric tests</t>
  </si>
  <si>
    <t>Sections III-C, III-E; Section IV, pp. 246-250</t>
  </si>
  <si>
    <t>A shared benchmark platform: tasks from published studies, included with their authors' permission, run through a standard pipeline (dataset download, inference with full trajectory logging, automated evaluation against ground truth), and results reach a public leaderboard through pull requests reviewed by maintainers; so far only ADR generation and trace-link recovery are evaluated automatically, and the other three tasks show their original studies' results.</t>
  </si>
  <si>
    <t>Standard benchmark pipeline and community leaderboard</t>
  </si>
  <si>
    <t>Sections I-IV; Figs. 1-3, pp. 1-4</t>
  </si>
  <si>
    <t>A controlled experiment with a repeated-measures design: an algorithm generates 29,406 questions with their answers from the three computation graphs, 1,230 are sampled (at least 30 and at most 100 per category and type where available), each model answers each once, answers are compared with the ground truth by regex, and all 300 marked incorrect plus a sample of 273 marked correct are checked by hand.</t>
  </si>
  <si>
    <t>Generated questions with ground truth; controlled experiment</t>
  </si>
  <si>
    <t>Sections 4.6-5, pp. 4-6; Table 4</t>
  </si>
  <si>
    <t>The framework was derived from 18 engineers' step-by-step descriptions for two project ideas; 39 of 179 invited first-year students were randomly split into groups with and without the mentor, their architectures were scored by five raters, and chat protocols and questionnaires were analysed.</t>
  </si>
  <si>
    <t>Engineer-derived framework; randomised two-group study</t>
  </si>
  <si>
    <t>Sections 3 and 5, pp. 4-9</t>
  </si>
  <si>
    <t>Two systems are chosen from 25 GitHub repositories found by keyword and filtered for a description and an architecture diagram; their descriptions are stripped of implementation detail and their documented architectures recreated in PlantUML as references, against which every generated diagram is compared.</t>
  </si>
  <si>
    <t>Two documented systems as references</t>
  </si>
  <si>
    <t>Section IV-A, pp. 401-402</t>
  </si>
  <si>
    <t>An exploratory laboratory study: 18 pairs of professionals with a 90-minute remote design task and optional LLM access; LLM logs coded abductively, session videos analysed with memos, and exit interviews analysed thematically, with coding reviewed between researchers.</t>
  </si>
  <si>
    <t>Lab study of 18 pairs; qualitative analysis of logs, videos, interviews</t>
  </si>
  <si>
    <t>Section 3, pp. 1784-1786</t>
  </si>
  <si>
    <t>Five steps: define a generation prompt, generate and review 14 problems, have four LLMs choose and check their consensus, have human participants choose for five problems at a workshop, and compare; after answering individually, participants saw the model answers and discussed four questions in groups.</t>
  </si>
  <si>
    <t>Model choices compared with workshop participants</t>
  </si>
  <si>
    <t>Methodology, pp. 89-90</t>
  </si>
  <si>
    <t>Questions structured along structural or functional and qualitative or quantitative dimensions are asked in three steps about three example applications; ensemble predictions for one application are checked against a modified runtime that executes a single step of ensemble instantiation, and an anonymised version tests whether answers are guessed from names and comments.</t>
  </si>
  <si>
    <t>Structured questions in steps; runtime check; anonymised variant</t>
  </si>
  <si>
    <t>Sections 3.1-3.2, 4 and 4.3, pp. 215-219</t>
  </si>
  <si>
    <t>The four systems and the tools' results come from Wang et al.'s benchmark of decomposition tools, with service reference models derived from the microservice versions; each model and strategy is run once per system, fully automatically, and LLM results are compared with the tools using Mann-Whitney U and Kruskal-Wallis tests and Cliff's delta.</t>
  </si>
  <si>
    <t>Established benchmark; automated factorial runs; non-parametric tests</t>
  </si>
  <si>
    <t>Sections III-C, III-D and IV, pp. 271-274</t>
  </si>
  <si>
    <t>Two systems from a curated microservice dataset, with requirements refined by the authors and reference decompositions extracted from source code, are used; outputs are counted against the references and reviewed blind by experienced architects with ratings and open questions, whose 48 comments the authors analysed themselves.</t>
  </si>
  <si>
    <t>Reference comparison plus blind expert review</t>
  </si>
  <si>
    <t>Section 3, Steps 1, 3 and 4, pp. 81-82; Section 4.3, pp. 84-86</t>
  </si>
  <si>
    <t>Absence: the proposed tasks are not evaluated and no evaluation is planned; the validations of the earlier contributions are only named and deferred to their papers.</t>
  </si>
  <si>
    <t>Absence: no evaluation of the proposals</t>
  </si>
  <si>
    <t>Sections 3 and 5, pp. 159-160, 163-164</t>
  </si>
  <si>
    <t>A GQM goal and three research questions; a sequential ADR corpus curated from an existing MSR dataset by the first author with rule-based criteria; four models and eight context conditions (80,000+ generations) scored automatically against the human records; samples reviewed informally by two authors without criteria or agreement measures.</t>
  </si>
  <si>
    <t>Large automated comparison; informal manual review</t>
  </si>
  <si>
    <t>Sections 3 and 5.3, pp. 2-5, 9</t>
  </si>
  <si>
    <t>Two phases on small systems the authors implemented themselves as references; a scripted pipeline ran every scenario once; the four authors scored each diagram independently on a 0-5 rubric, and the authors computed the metrics by hand as ground truth; variability across runs is not studied.</t>
  </si>
  <si>
    <t>Author-built references; rubric scoring by the four authors; single runs</t>
  </si>
  <si>
    <t>Sections 3-3.5 and 5.1, pp. 4-12, 20</t>
  </si>
  <si>
    <t>The managers run in simulations of two collective adaptive systems, online variants five times and offline three, against a rule-based manager written by a domain expert and DQN and PPO reinforcement-learning managers; prompt facets are varied one at a time; offline managers were generated and refined by hand in the ChatGPT web interface.</t>
  </si>
  <si>
    <t>Simulation with expert and RL baselines; repeated runs</t>
  </si>
  <si>
    <t>Sections 6-6.3 and 6.7, pp. 5-6, 10-11</t>
  </si>
  <si>
    <t>Engineering research following the SIGSOFT empirical standards, scoped as a feasibility probe: five transcripts, three rounds per approach, a questionnaire to the teams, and four senior architects who listed reference decisions, mapped to the ADRs at decision level.</t>
  </si>
  <si>
    <t>Feasibility probe: rounds, questionnaire, expert reference</t>
  </si>
  <si>
    <t>Sections 4.1-4.4, pp. 3-4</t>
  </si>
  <si>
    <t>Two systems from a curated dataset with requirements revised by the authors and references recovered from code and deployments; three models, two prompts and one run per configuration; outputs normalised and matched one-to-one to the references; descriptive results without hypothesis tests.</t>
  </si>
  <si>
    <t>Reference comparison; single runs; no tests</t>
  </si>
  <si>
    <t>Sections 3 and 6, pp. 2-3, 7</t>
  </si>
  <si>
    <t>Four of the 15 SBES 2024 Tools Track papers were selected for having at least one architecture diagram and a textual description of it, and the diagrams were used at original resolution without preprocessing; one expert, an author with over 20 years of experience in software architecture, classified each of the model's judgements, not as ground truth but to check its claims against the artefacts and flag context-blind advice.</t>
  </si>
  <si>
    <t>Four tool papers; one author-expert reviews the model output</t>
  </si>
  <si>
    <t>Sections 3.4-3.5, pp. 90-92</t>
  </si>
  <si>
    <t>Feasibility is illustrated with one screen capture of the prototype, in which requirements for a shop-floor monitoring and predictive maintenance system are consolidated and a generated specification is rendered as a diagram; there is no evaluation, baseline or participant.</t>
  </si>
  <si>
    <t>One illustrated session; no evaluation</t>
  </si>
  <si>
    <t>Section 4.3; Fig. 4, pp. 12-13</t>
  </si>
  <si>
    <t>Three open-source C systems (cJSON 3K SLOC, Bash 4.2 115K, SQLite 3.42.1 150K): cJSON checked manually by the authors, SQLite compared with the architecture on its website, and Bash with a published file-level decomposition used as gold standard; no baseline recovery technique and no repeated runs.</t>
  </si>
  <si>
    <t>Three C systems; manual, documentation and gold-standard checks</t>
  </si>
  <si>
    <t>Section VII; Table I, pp. 499-501</t>
  </si>
  <si>
    <t>Twenty-five test instances from 8 of the test patterns listed in Table 1, on ExtremeXP workflows, in three ADL variants, with GPT-4o in agent and up-front mode and GPT-4 Turbo in agent mode; each instance was prompted five times, scored against reference answers and inspected manually.</t>
  </si>
  <si>
    <t>Pattern-based test instances; three variants; five runs</t>
  </si>
  <si>
    <t>Sections 3-4; Tables 1-2, pp. 609-614</t>
  </si>
  <si>
    <t>An exploratory study following Wohlin et al.: five treatments from five randomly selected security patterns (control group), run on two models with two prompts, then on NotebookLM with the corpus and one prompt; the outputs were coded by researchers with experience in architecture patterns and security, who checked them against the expected pattern and its sources.</t>
  </si>
  <si>
    <t>Five treatments against known patterns; qualitative coding</t>
  </si>
  <si>
    <t>Sections 4.1-4.2 and 5.1-6, pp. 3-5</t>
  </si>
  <si>
    <t>The 22 publicly available user-story datasets of the Dalpiaz corpus are used; the evaluation measures internal improvement across generations only, with no expert judgement, LLM judge, significance tests or baselines against LLM-only, clustering or search-based alternatives.</t>
  </si>
  <si>
    <t>Twenty-two story datasets; internal improvement only</t>
  </si>
  <si>
    <t>Sections 4-5, pp. 368-369</t>
  </si>
  <si>
    <t>Six systems selected from a curated dataset of open-source microservice projects, each with a diagram in PNG and in SVG or draw.io XML; 120 model calls give 360 guideline scores; 16 software engineers took part in an audit, 12 of whose responses (two per diagram, chosen by experience) form the reference scores, with the researchers deciding labels where the two disagreed across the high-low boundary, and 253 pairwise comparisons of anonymised justifications.</t>
  </si>
  <si>
    <t>Six systems; audit by 16 engineers; 253 pairwise comparisons</t>
  </si>
  <si>
    <t>Sections 3.2-3.4; Tables 2-3, pp. 4-6</t>
  </si>
  <si>
    <t>Planned evaluation: a literature review to derive a taxonomy of architectural knowledge types, empirical evaluation of each pipeline step, and evaluation of how accurately and efficiently the question-answering system answers common architectural queries.</t>
  </si>
  <si>
    <t>Planned review, taxonomy and step-by-step evaluation</t>
  </si>
  <si>
    <t>Sections 3 and 3.5, pp. 488-489</t>
  </si>
  <si>
    <t>Twelve exam traces from an M.Sc. software engineering course (2020-2024), each a short problem description asking for a component diagram, are compared with ground-truth diagrams developed and peer-reviewed by the course professors; the authors note that the traces are compact and that other valid solutions exist.</t>
  </si>
  <si>
    <t>Twelve course exam traces against professors' solutions</t>
  </si>
  <si>
    <t>Industrial case study with mixed methods: semi-structured interviews with three senior practitioners on fixed baseline diagrams, analysed by thematic synthesis; a traceability analysis of the discrepancies they flagged against the input tickets; and ten runs per project for each diagram level (40 diagrams); a third project was used only to calibrate the pipeline.</t>
  </si>
  <si>
    <t>Interviews with three practitioners; traceability analysis; 40 repeated runs</t>
  </si>
  <si>
    <t>Section 5, pp. 3-4</t>
  </si>
  <si>
    <t>A single case study varies the evidence scope (three paper sets), the participant's expertise and the interaction mode (papers only, graph only, full loop), with an expert reading papers as the baseline and runs constrained to the baseline's comparison points; an LLM-only baseline is deliberately omitted.</t>
  </si>
  <si>
    <t>One case study across scope, expertise and interaction mode</t>
  </si>
  <si>
    <t>Section IV-A, p. 116</t>
  </si>
  <si>
    <t>A single case study on one open-source ROS 2 repository, chosen as more complex than the examples of the earlier study, with a reference architecture the authors built by inspecting all source and launch files; there is no baseline within this paper.</t>
  </si>
  <si>
    <t>One repository against an author-built reference model</t>
  </si>
  <si>
    <t>Sections 3 and 5.1, pp. 102-104, 110</t>
  </si>
  <si>
    <t>A preliminary evaluation on five functional requirements chosen as representative of articulated hauler functionality, each to be mapped to several modules, with ground truth from past feature development and no baseline.</t>
  </si>
  <si>
    <t>Five requirements against past allocations, no baseline</t>
  </si>
  <si>
    <t>Section 5, p. 124</t>
  </si>
  <si>
    <t>Two marketplace projects from different providers were chosen for their contrasting documentation (266 files with 95 Markdown files, 23 PDFs and 126 images, against 11 Markdown files with 25 images); two software architects rated both on the same 25 statements, Quasar ran three times per project, and, with no official reference evaluation, the runs were checked for consistency and their average compared with the human rating.</t>
  </si>
  <si>
    <t>Two projects, two architects, three runs, no reference</t>
  </si>
  <si>
    <t>Section 5.2, pp. 10-12</t>
  </si>
  <si>
    <t>A ground truth of 200 randomly sampled ADRs was labelled by two authors (125 each, 50 labelled by both, disagreements resolved by discussion) and used to compare prompting strategies with an embedding-based baseline; two authors reviewed a random sample of 100 judge assessments; the approach was then applied to the whole corpus.</t>
  </si>
  <si>
    <t>200-ADR ground truth, baseline, review of 100 judgements</t>
  </si>
  <si>
    <t>Sections 3.4-3.6, pp. 7-10</t>
  </si>
  <si>
    <t>An exploratory study with one tool and five questions, one per randomly selected pattern, executed by the first author, with reference answers written as summaries of the pattern descriptions; null and alternative hypotheses are stated, but no test is run.</t>
  </si>
  <si>
    <t>Five questions, one tool, reference summaries, no test</t>
  </si>
  <si>
    <t>Each of 22 participants (15 researchers, 5 PhD students and 2 software developers, recruited by convenience from the authors' networks) supplied a repository they knew, of 3-447 files and 81-238,951 lines, and rated the documentation generated for it; there is no baseline, because the closest tool (CodeDocs-GenAI) has no available implementation, and no expert ground truth.</t>
  </si>
  <si>
    <t>Participants rate documentation of their own repositories; no baseline</t>
  </si>
  <si>
    <t>Sections IV and VI; Table I, pp. 205-206, 210</t>
  </si>
  <si>
    <t>The evaluation uses one small Swift project with UIKit, built by the first author with contributions from novice developers and containing realistic architectural errors, and open-ended questions across six Bloom levels, some without a definitive answer to test how the model handles ambiguity and hallucination; the comparison with human developers (RQ3) is left for future work.</t>
  </si>
  <si>
    <t>One small project with real errors; Bloom-level questions</t>
  </si>
  <si>
    <t>Sections I, IV-A, IV-B and VI, pp. 6, 8</t>
  </si>
  <si>
    <t>The 30 most-starred GitHub repositories tagged 'microservices' were taken, 22 remaining after excluding non-code repositories and those hitting rate limits; one researcher studied each repository's artefacts to judge whether each detected instance was present, and recall was not assessed; a team-built ground truth and an experiment with practitioners are planned.</t>
  </si>
  <si>
    <t>Top-starred repositories; one verifier; precision only</t>
  </si>
  <si>
    <t>Sections III and IV-A to IV-C, pp. 162-164</t>
  </si>
  <si>
    <t>The questions span two dimensions, structural or functional and qualitative or quantitative; the three applications come from the authors' own DEECo work, ensemble formation for ML-DEECo was checked against a modified runtime executing one instantiation step, and an anonymised ML-DEECo application tests whether answers rest on names (Step-3 questions were not asked for it).</t>
  </si>
  <si>
    <t>Two-dimensional question set; runtime check; anonymised variant</t>
  </si>
  <si>
    <t>Sections 3.1, 3.3, 4.4.3 and 4.6, pp. 644-652</t>
  </si>
  <si>
    <t>The design recreates a system the team had already built and compares ChatGPT's artefacts with the human-made ones phase by phase; for the architecture, the two diagrams are shown side by side (Figure 5A and 5B), with no element-by-element comparison reported.</t>
  </si>
  <si>
    <t>Recreation of a built system; side-by-side diagrams</t>
  </si>
  <si>
    <t>ChatGPT-PAMS Experiment Design, p. 2; Figure 5, p. 9</t>
  </si>
  <si>
    <t>Seven first- and second-year undergraduates with limited experience worked in two teams on three projects from public procurement and partner organisations for three months; entry and exit web surveys on 5-point Likert scales were analysed with descriptive statistics, and the few open answers with open coding.</t>
  </si>
  <si>
    <t>Seven novices, three projects, entry and exit surveys</t>
  </si>
  <si>
    <t>Sections 3.1-3.5, pp. 2-3</t>
  </si>
  <si>
    <t>The evaluation runs TTool-AI, with user interaction disabled, on three system specifications from European projects and compares its diagrams with those of about 15 master's students who had 21 hours of instruction and 1.5 hours for the task, graded with the same criteria.</t>
  </si>
  <si>
    <t>Three systems; tool against students</t>
  </si>
  <si>
    <t>Section 5.2, pp. 35-36</t>
  </si>
  <si>
    <t>Evaluation on three systems, two taken from European projects, each with two generated block diagrams and two use case diagrams checked in all four pairings, with a step-by-step illustration on the dynamic positioning system.</t>
  </si>
  <si>
    <t>Three systems; all diagram pairings</t>
  </si>
  <si>
    <t>Sections 5.1-5.2, pp. 7-9</t>
  </si>
  <si>
    <t>About 121 students (80 undergraduate and 41 graduate) at three U.S. universities rated four generated and four textbook diagrams for one system, element by element, as part of a final course assessment with a 120-minute limit; the correctness scores are also set beside those of an earlier single-university study.</t>
  </si>
  <si>
    <t>Student survey; one system; three universities</t>
  </si>
  <si>
    <t>Sections 3.5 and 4.3, pp. 9-10, 15-16</t>
  </si>
  <si>
    <t>Tool against students on exam questions</t>
  </si>
  <si>
    <t>Evaluation Setup, p. 14</t>
  </si>
  <si>
    <t>Experiment on one open microservice benchmark, TrainTicket (41 microservices), with 33 questions (8 endpoint details, 13 remote calls, 12 dependency) under three knowledge-base conditions, each question run three times.</t>
  </si>
  <si>
    <t>One benchmark; 33 questions; three conditions</t>
  </si>
  <si>
    <t>Testbench and Questions, pp. 9-12; Implementation, pp. 14-15</t>
  </si>
  <si>
    <t>One completed student project (Rojina Review, about 100k lines of code, built by three students and supervised by the authors) serves as the oracle; the first three authors compare each generated artefact with the project's until they agree it is acceptable.</t>
  </si>
  <si>
    <t>One oracle project; author judgement</t>
  </si>
  <si>
    <t>Sections 3.2-3.3, pp. 2-3</t>
  </si>
  <si>
    <t>Preliminary experiment on three common serverless scenarios with four prompt formats, deployed to Azure Functions; no data are reported.</t>
  </si>
  <si>
    <t>Three scenarios; no data</t>
  </si>
  <si>
    <t>Three systems; author-designed variants</t>
  </si>
  <si>
    <t>Section 5, p. 24; Section 5.2, p. 28; Section 6.1, p. 32</t>
  </si>
  <si>
    <t>Five open-source systems from different domains (Apache Storm, Flink and Spark, Gradle, Maven) are analysed by ChatGPT and by Archie as a baseline, but results are reported only for Apache Flink, the rest said to be attached to the submission; true and false positives were judged by the authors, a procedure they acknowledge is not detailed.</t>
  </si>
  <si>
    <t>Five systems, one reported; author-judged positives</t>
  </si>
  <si>
    <t>Sections 1, 3 and 4.2, pp. 4364, 4366-4368</t>
  </si>
  <si>
    <t>Labels come from a traceability chain: smells detected in each release are matched across versions (Jaccard similarity of component sets, threshold 0.3), and growing smells are linked to issues whose dependency-changing commits touched the smell's new components (overlap above 0). Between 41.2% (StackGres, Arcan) and 100% of growing smells could be traced to issues.</t>
  </si>
  <si>
    <t>Smell-to-issue traceability builds the labels</t>
  </si>
  <si>
    <t>Sections III and V-B, VI-A, pp. 46-50; Table III</t>
  </si>
  <si>
    <t>Two Java projects (StackGres and Shepard, analysed with both detectors) were selected by stated criteria and Inkscape (C/C++, Arcade only) was added as the example Arcade recommends, giving 37 releases, 7,715 issues and 4,664 merge requests collected in October 2025. Each predictor is evaluated with two runs of five-fold cross-validation and compared with a random baseline by Wilcoxon signed-rank tests, then under two information conditions (issue text only, or with comments posted before the first merge request) and in leave-one-project-out transfer.</t>
  </si>
  <si>
    <t>Three projects; cross-validation, temporal and cross-project experiments</t>
  </si>
  <si>
    <t>Sections V-B and V-C, pp. 49-50; Table II</t>
  </si>
  <si>
    <t>Evaluation draws on eight weeks of production commits; each flagged drift instance is checked by automated trace-rule validation of the chain from commit to initiative to ADR violation and by architects reviewing it in their usual governance work. A separate demonstration runs on six LangChain repositories with 100 pull requests and synthetic TDDs and ADRs.</t>
  </si>
  <si>
    <t>Production deployment; trace rules plus architect review</t>
  </si>
  <si>
    <t>Sections 4 and 5, pp. 1334-1335</t>
  </si>
  <si>
    <t>Decompositions are judged by cohesion, coupling and service granularity, and the review cites the lack of standardised metrics for assessing the quality of a service decomposition as a complication for evaluation.</t>
  </si>
  <si>
    <t>Cohesion and coupling as criteria; no standard decomposition metric</t>
  </si>
  <si>
    <t>3.2 Metrics and quality criteria used to judge generated architectures</t>
  </si>
  <si>
    <t>Sections 1, 2 and 5.2 (Q2), pp. 2, 4, 11</t>
  </si>
  <si>
    <t>Most sources evaluate tools on usability or accuracy; few address the effect on architectural quality attributes such as modifiability, scalability or maintainability, and the absence of standardised, task-specific evaluation metrics is named as a barrier to validating generated decisions.</t>
  </si>
  <si>
    <t>Accuracy and usability measured; quality attributes rarely</t>
  </si>
  <si>
    <t>Sections 1 and 4.4, pp. 2, 15</t>
  </si>
  <si>
    <t>Five established similarity metrics are used (MoJoFM, a2a, c2c_cvg, ARI, a2a_adj), and the authors introduce reduction in distance to perfect (normalised gain) because absolute differences overstate small gains near the bottom of the scale and a2a has a narrow range.</t>
  </si>
  <si>
    <t>Five similarity metrics plus normalised gain</t>
  </si>
  <si>
    <t>Sections 4.1.5 and 4.2.1, pp. 1693-1694</t>
  </si>
  <si>
    <t>Eight metrics are extracted from the CSV output: number of services, total and average communications, communication density, isolated services, average responsibility length, vocabulary size and redundancy ratio, treated as proxies for tendencies, not measures of quality.</t>
  </si>
  <si>
    <t>Structural and textual metrics as descriptive proxies</t>
  </si>
  <si>
    <t>Sections 3 and 3.1; Table 2, pp. 4-5</t>
  </si>
  <si>
    <t>Lexical metrics (ROUGE-L, BLEU, METEOR) and a semantic one (BERTScore) measure alignment with the documented decision, and the rubric judges abstraction level, verbosity and rationale.</t>
  </si>
  <si>
    <t>Similarity metrics plus a three-part rubric</t>
  </si>
  <si>
    <t>The authors conclude that similarity metrics cannot tell architectural reasoning from paraphrased implementation detail: all models exceed BERT-F1 0.81 while word overlap stays low, and the manual inspection finds the same outputs verbose and lacking rationale.</t>
  </si>
  <si>
    <t>Similarity metrics miss architectural meaning</t>
  </si>
  <si>
    <t>Answers are rated on three-point ordinal scales for reasonableness, variance across the ten runs and pattern type (architectural against design patterns); decision-tree results are compared by number of patterns and a penalty-based distance to the reference list (one point per missing required pattern, 1.5 per unsuitable pattern suggested); tool mapping by JSON compliance and reasonableness.</t>
  </si>
  <si>
    <t>Ordinal ratings and a penalty-based distance</t>
  </si>
  <si>
    <t>Sections IV-B, IV-C and IV-D, pp. 278-280</t>
  </si>
  <si>
    <t>Absence: no metric or quality criterion is applied to the generated reference architectures or to the tutor's answers; the judgement is descriptive (answers sometimes concrete, sometimes too broad).</t>
  </si>
  <si>
    <t>Absence: no criteria for architectures or answers</t>
  </si>
  <si>
    <t>Section IV, p. 96</t>
  </si>
  <si>
    <t>Driver satisfaction is judged by the equivalence of design decisions with the reference solution across eleven aspects and by 1-5 ratings per driver with justification, risks and issues; completeness by document length, number of diagrams, container and communication detail and number of recorded decisions.</t>
  </si>
  <si>
    <t>Decision equivalence, expert ratings and completeness counts</t>
  </si>
  <si>
    <t>Section V-B, pp. 8-9; Tables IV and VIII</t>
  </si>
  <si>
    <t>Decisions are judged indirectly through system metrics, since there are no ground-truth decisions: F1 of the global model, training, communication, round and total time, agent reasoning time, and a configuration efficiency score that weights normalised accuracy and total time equally.</t>
  </si>
  <si>
    <t>System metrics and an accuracy-time efficiency score</t>
  </si>
  <si>
    <t>Sections 5, 6.1 and 6.5, pp. 7-8, 12, 14; Table 2</t>
  </si>
  <si>
    <t>ADR sets were rated from 1 to 5 on relevance, coherence, completeness, conciseness and overall quality, with written comments on strengths and weaknesses; results are reported as averages, with no statistical test, although the improvement is called significant.</t>
  </si>
  <si>
    <t>Five-criterion ratings, averages only</t>
  </si>
  <si>
    <t>Sections 4.2-4.3, pp. 3-4; Table 1</t>
  </si>
  <si>
    <t>Planned measures: structural agreement (MoJoFM, ARI) and assignment quality (a2a, a2a_adj, c2c_cvg) against ground truth; evidence coverage, unsupported-claim rate and linked artefacts per component; expert ratings of usefulness, satisfaction, controllability, acceptance and effort; and an LLM-as-a-judge proxy with Likert ratings.</t>
  </si>
  <si>
    <t>Recovery metrics plus evidence-grounding measures</t>
  </si>
  <si>
    <t>Section V-C, p. 538</t>
  </si>
  <si>
    <t>Responses are checked for YAML syntax and judged on plausibility, relevance and actionability, presented as domain-specific refinements of precision and recall.</t>
  </si>
  <si>
    <t>Syntax, plausibility, relevance, actionability</t>
  </si>
  <si>
    <t>Arguments are the unit of analysis: precision, recall and F1 against the experts' rationale, weighted by the number of arguments per rationale because experts give few (usually fewer than three), and the share of insightful, helpful, uncertain and misleading arguments (IHUM), adapted from a study of Stack Overflow answers. BLEU, ROUGE and METEOR were rejected because expert and model texts differ so much that the scores were very low in a pilot.</t>
  </si>
  <si>
    <t>Argument-level precision, recall and IHUM; text metrics rejected</t>
  </si>
  <si>
    <t>Section 3.5, pp. 14-16</t>
  </si>
  <si>
    <t>The authors caution that the experts' rationale is not the only correct answer and may be incomplete, so precision understates quality; the IHUM categories were added to judge the arguments the experts did not give.</t>
  </si>
  <si>
    <t>Expert rationale incomplete as ground truth</t>
  </si>
  <si>
    <t>Sections 5.2 and 6, pp. 28, 31</t>
  </si>
  <si>
    <t>The Evaluator agent's criteria (quality attribute scenarios, performance evaluations, domain-specific evaluation standards) are specified for the agents to judge the design against the requirements, not for judging the framework.</t>
  </si>
  <si>
    <t>Criteria for the agents' own evaluation</t>
  </si>
  <si>
    <t>Section 2.2.4, p. 532</t>
  </si>
  <si>
    <t>Trace links are scored with precision, recall and F1 against the gold standard, as macro averages over projects and as averages weighted by the number of gold-standard links; the extracted models have no gold standard of their own and are judged through the trace links they enable, with manual matching for a few projects.</t>
  </si>
  <si>
    <t>Trace-link metrics; models judged indirectly</t>
  </si>
  <si>
    <t>Sections IV-A and V-D, pp. 5, 9</t>
  </si>
  <si>
    <t>Agreement among models is measured with Fleiss' kappa (0.724, substantial), agreement per label and pairwise Jaccard coefficients (0.73-0.94); performance with overall accuracy, MCC and macro- and micro-averaged precision, recall and F1 per label, the macro averages and MCC being reported against class imbalance.</t>
  </si>
  <si>
    <t>Agreement and multi-class accuracy metrics</t>
  </si>
  <si>
    <t>Sections III-E, IV and VI, pp. 5-7, 10; Tables IV-VII</t>
  </si>
  <si>
    <t>Recovered architectures are scored against ground truth with MoJoFM, a2a, ARI, a2a_adj and c2c_cvg (threshold 0.66), scaled to 0-100 and compared with the baseline average and SARIF; no statistical tests are reported.</t>
  </si>
  <si>
    <t>Five recovery metrics against ground truth</t>
  </si>
  <si>
    <t>Sections IV-A2 and IV-B, pp. 347-351</t>
  </si>
  <si>
    <t>Accuracy is measured by precision and recall per response; similarity between models by BERTScore of full responses (0.597-0.756) and by the share of true and false answers two models have in common, matched by fuzzy matching (threshold 0.6) with manual checks of false answers.</t>
  </si>
  <si>
    <t>Precision, recall, BERTScore and shared answers</t>
  </si>
  <si>
    <t>Sections 2-4, pp. 104-108; Fig. 3</t>
  </si>
  <si>
    <t>Each criterion is rated as meeting, partially meeting or not meeting expectations, and the expert's judgement of each rating is recorded as agrees, partially agrees or disagrees; no quantitative agreement measure or statistics are reported.</t>
  </si>
  <si>
    <t>Three-level ratings and expert agreement, without statistics</t>
  </si>
  <si>
    <t>Fig. 1; Table 1, pp. 118, 120</t>
  </si>
  <si>
    <t>Each suggestion is classed as a correct match (any admissible fix), a wrong match (the fix introduces another violation) or an undesired action (changes unrelated to the violation, or a trivial fix such as removing the offending element); the success rate is the share of correct matches.</t>
  </si>
  <si>
    <t>Correct match, wrong match, undesired action; success rate</t>
  </si>
  <si>
    <t>Section IV-B, p. 407</t>
  </si>
  <si>
    <t>LLM judge, human ratings and SSIM; metrics insufficient</t>
  </si>
  <si>
    <t>Sections III-E and V-B, pp. 249, 253</t>
  </si>
  <si>
    <t>Metrics are chosen per task: text-similarity metrics for generated text, set-based precision, recall and F1 for trace links, test pass rates, CodeBLEU and complexity for code, and optionally an LLM judge; the authors note that text metrics may not capture architectural quality and test pass rates measure functional correctness rather than design quality.</t>
  </si>
  <si>
    <t>Task-specific metrics; limits of text and test metrics</t>
  </si>
  <si>
    <t>Sections II and IV, pp. 2, 4</t>
  </si>
  <si>
    <t>Accuracy is the share of correct answers; output tokens measure verbosity; perplexity of the explanations, computed with GPT-2, is used as a measure of coherence; and BERTopic identifies the topics the explanations mention, with their coherence.</t>
  </si>
  <si>
    <t>Accuracy, output tokens, perplexity and topics</t>
  </si>
  <si>
    <t>Sections 4.6 and 4.8, pp. 4-5</t>
  </si>
  <si>
    <t>Eleven rubric categories from the course's grading scheme, scored 0-2 (essential components and relationships, sensible dependencies, needless complexity, quality concerns such as performance or security, clarity, responsibilities, terminology, the diagram's components and relationships, alignment of text and diagram), calibrated to Kendall's W above 0.6; Mann-Whitney U tests per category and a t-test on totals; time and message counts.</t>
  </si>
  <si>
    <t>Eleven-category rubric; non-parametric tests</t>
  </si>
  <si>
    <t>Sections 5.2-5.3; Table 1; Section 6.3, pp. 7-8, 10-11</t>
  </si>
  <si>
    <t>Components and connections are counted as true positives, false positives and false negatives, with similar names matched by hand, giving precision, recall and F1; a tree edit distance on diagrams converted to XMI measures overall similarity, and penalised plausible additions such as an API gateway.</t>
  </si>
  <si>
    <t>Element counts with hand matching; tree edit distance</t>
  </si>
  <si>
    <t>Sections IV-B and V-B, pp. 402-404</t>
  </si>
  <si>
    <t>Absence: the quality, creativity and completeness of the designs, and the correctness of the model's output, are not measured, by the authors' choice.</t>
  </si>
  <si>
    <t>Absence: no measure of design or output quality</t>
  </si>
  <si>
    <t>Section 6, p. 1790</t>
  </si>
  <si>
    <t>Agreement is counted as the number of model answers that coincide per problem, and human choices are shown as distributions per problem; group responses are summarised qualitatively; no statistical tests are reported.</t>
  </si>
  <si>
    <t>Agreement counts and choice distributions, no tests</t>
  </si>
  <si>
    <t>Results; Table 1; Fig. 1, pp. 90-93</t>
  </si>
  <si>
    <t>Quantitative questions are meant to be scored by simple metrics (yes or no, counts of identified elements) and qualitative ones by human judgement, but the results are reported descriptively, with example listings and without counts.</t>
  </si>
  <si>
    <t>Planned metrics; descriptive results</t>
  </si>
  <si>
    <t>Sections 3.2 and 4, pp. 215-220</t>
  </si>
  <si>
    <t>The benchmark's measurement suite is used: MoJoFM for similarity to the reference, cyclic independence, TurboMQ modularity, business context purity, domain independence and team contribution for design principles, and token counts for cost; no human architect assessed the decompositions.</t>
  </si>
  <si>
    <t>Benchmark metric suite; no human assessment</t>
  </si>
  <si>
    <t>Section III-A; Table I; Section VII, pp. 270-271, 277</t>
  </si>
  <si>
    <t>Correct, missing and extra services and links with precision, recall and F1, and expert ratings on a 5-point scale for correctness, completeness, modularity and plausibility.</t>
  </si>
  <si>
    <t>Service and link precision and recall; expert ratings</t>
  </si>
  <si>
    <t>Section 3, Steps 3-4, p. 82; Tables 1-3, pp. 83-84</t>
  </si>
  <si>
    <t>The current conformance check computes technology-agnostic metrics of how far a modelled MLOps architecture supports quality aspects such as automation, from its design-decision options; these are what the proposed LLM check would replace, not measures of model output.</t>
  </si>
  <si>
    <t>Conformance metrics as the check to be replaced</t>
  </si>
  <si>
    <t>Sections 3 and 5, pp. 160, 165</t>
  </si>
  <si>
    <t>BERTScore, BLEU, ROUGE-1, ROUGE-L and METEOR against the human-written ADRs, and output token counts; the authors note that these measure replication fidelity, not documentation quality, and that references relying on external content penalise valid outputs.</t>
  </si>
  <si>
    <t>Text-similarity metrics; replication fidelity only</t>
  </si>
  <si>
    <t>Sections 3.5, 5.1 and 5.3, pp. 5, 8-9</t>
  </si>
  <si>
    <t>Phase 1 dimensions: adherence to the pattern, correctness of relationships, cohesion and coupling, consistency with requirements; Phase 2: functional alignment, coupling and deployment independence, cohesion, data management, data consistency, communication and flow control, non-functional requirements; plus six microservice metrics; agreement between raters mostly above 0.7.</t>
  </si>
  <si>
    <t>Pattern-specific rubric dimensions and microservice metrics</t>
  </si>
  <si>
    <t>Sections 3.4-3.5; Fig. 2; Table 1; Appendix A, pp. 10-12, 24-30</t>
  </si>
  <si>
    <t>Damage rate (share of field area damaged) and steps to kill the dragon as proxies of adaptation effectiveness, plus constraint violations, retry rates, assigned and utilised drones, reasoning tokens, response time and cost per run.</t>
  </si>
  <si>
    <t>Adaptation outcome proxies, retries, utilisation, time, cost</t>
  </si>
  <si>
    <t>Sections 6.4-6.6 and 6.10.1; Table 3, pp. 7-10, 12</t>
  </si>
  <si>
    <t>Human-centred criteria are preferred over text-similarity metrics: variance in the number of ADRs, adherence to naming and format, length and signs of hallucination across rounds; Likert ratings of agreement, clarity, completeness and learning value; and coverage of the experts' decisions.</t>
  </si>
  <si>
    <t>Stability, format, hallucination, ratings, expert coverage</t>
  </si>
  <si>
    <t>Sections 4.4 and 5.1, p. 4</t>
  </si>
  <si>
    <t>Correct, missing and extra services and directed links with precision, recall and F1, chosen over accuracy because of class imbalance; graph edit distance, cycle counts, hub centrality and boundary crossings are proposed as further metrics.</t>
  </si>
  <si>
    <t>Precision, recall, F1 on services and links; graph metrics proposed</t>
  </si>
  <si>
    <t>Sections 3 and 5, pp. 3-4, 6</t>
  </si>
  <si>
    <t>The model rates each criterion as meets, partially meets or does not meet expectations; the expert classifies each judgement as agrees, partially agrees or disagrees, with defined meanings; the counts and the distribution of the model's ratings are reported, without an agreement coefficient or statistics.</t>
  </si>
  <si>
    <t>Three-level ratings; expert agreement counted, no statistics</t>
  </si>
  <si>
    <t>Sections 3.2, 3.5 and 4.5; Table 5, pp. 90-94</t>
  </si>
  <si>
    <t>Absence: no metric or criterion is given for judging the generated artefacts or the collaboration.</t>
  </si>
  <si>
    <t>Absence: no metrics</t>
  </si>
  <si>
    <t>Correspondence is argued in prose; for Bash, the functions of each recovered component are counted per gold-standard component (Table III) to bridge function- and file-level granularity; no standard recovery metric, agreement measure or statistics.</t>
  </si>
  <si>
    <t>Function-count matrix; no recovery metric</t>
  </si>
  <si>
    <t>Section VII.C; Table III, pp. 500-502</t>
  </si>
  <si>
    <t>Each pattern carries its metric: the Jaccard index for lists, binary correctness for yes or no answers, ROUGE-1 recall or BERTScore for free text; neither text metric separated correct from incorrect answers, and a better one is sought.</t>
  </si>
  <si>
    <t>Jaccard, correctness, ROUGE-1 and BERTScore per pattern</t>
  </si>
  <si>
    <t>Sections 3.2, 4.3 and 6, pp. 612-614, 617</t>
  </si>
  <si>
    <t>Outputs are judged qualitatively as the correct pattern, an existing but different one, or hallucinated patterns, descriptions and references; no counts or statistics; RAGAS (faithfulness, answer relevance, context precision and recall) is planned for the assistant.</t>
  </si>
  <si>
    <t>Qualitative correctness and hallucination judgements; RAGAS planned</t>
  </si>
  <si>
    <t>Sections 4.3, 6 and 7; Tables 1-2, pp. 3-6</t>
  </si>
  <si>
    <t>Share of Lean-valid candidates per generation and structural proxies: an LCOM-inspired cohesion measure based on shared parameters, operations per service, standard deviation of parameter counts and fan-out; their unnormalised sum is used only as a ranking heuristic.</t>
  </si>
  <si>
    <t>Validity rate and cohesion, granularity and coupling proxies</t>
  </si>
  <si>
    <t>Sections 3 and 5, pp. 367-369</t>
  </si>
  <si>
    <t>Scores are binarised (1-2 low, 3-4 high) for precision, recall and F1, quadratic weighted Cohen's kappa is computed on the 1-4 scale, bootstrap intervals test representation differences, and preferences are tested with a chi-square goodness-of-fit test and a Wilson interval.</t>
  </si>
  <si>
    <t>Binary and ordinal agreement; bootstrap; preference tests</t>
  </si>
  <si>
    <t>Section 3.5, p. 6</t>
  </si>
  <si>
    <t>A component diagram is formalised as an undirected graph of components and interfaces with exposes and requires edges, separating elements stated in the specification from those implied by domain knowledge; from this, indicators of syntactic correctness (connectivity, ill-formed edges, methods on components), semantic correctness (missing components, interfaces and methods, misplaced methods) and complexity (differences in counts, maximum required and exposed interfaces, primary components and interfaces) are defined.</t>
  </si>
  <si>
    <t>Graph formalisation; syntactic, semantic and complexity indicators</t>
  </si>
  <si>
    <t>Sections III-B and III-C, pp. 295-296</t>
  </si>
  <si>
    <t>Stability is measured by node and edge counts per diagram, summarised by minimum, maximum, mean, median, mode, standard deviation and coefficient of variation; accuracy and understandability are the practitioners' perceptions, since recovery lacks a certified ground truth; the authors note that counts do not assess the semantic identity of elements.</t>
  </si>
  <si>
    <t>Node and edge counts with CV; perceived accuracy; no ground truth</t>
  </si>
  <si>
    <t>Sections 5 and 7, pp. 4, 7-8</t>
  </si>
  <si>
    <t>Five metrics: task time, coverage of the baseline's comparison points, share of new points, impact-label match with the baseline for each alternative, and the number of knowledge-graph nodes cited.</t>
  </si>
  <si>
    <t>Time, coverage, new points, label match, cited nodes</t>
  </si>
  <si>
    <t>Section IV-A, pp. 116-117</t>
  </si>
  <si>
    <t>Recovered and reference PlantUML models are parsed into canonicalised sets of profile-defined elements and compared element-wise; true positives, false negatives and false positives give precision, recall and F1, macro-averaged over element types such as classifier names, stereotypes, message types and callback and service names.</t>
  </si>
  <si>
    <t>Element-wise precision, recall and F1 over profile-defined elements</t>
  </si>
  <si>
    <t>Section 5.2; Table 4, pp. 110-111</t>
  </si>
  <si>
    <t>Classification accuracy per requirement and the mean over the five; how accuracy is computed when a requirement maps to several modules is not defined.</t>
  </si>
  <si>
    <t>Accuracy per requirement, not defined for multiple modules</t>
  </si>
  <si>
    <t>Agreement per statement on a 0-4 scale, consistency across the three runs, the deviation of Quasar's average from the human rating, given in percent without a definition, and processing time.</t>
  </si>
  <si>
    <t>Agreement scale, run consistency, deviation and time</t>
  </si>
  <si>
    <t>Section 5.2; Figs. 5-8, pp. 10, 13-14</t>
  </si>
  <si>
    <t>Agreement of the LLM labels with the human labels, percentage of ADRs complying with each section criterion, and, for the topic model, coherence (0.38) and diversity (0.96); inter-annotator agreement and the outcome of the review of judge assessments are not given as figures.</t>
  </si>
  <si>
    <t>Agreement with human labels and compliance percentages</t>
  </si>
  <si>
    <t>Sections 3.4-3.6 and 4.1, 4.3, pp. 7-10, 12-13</t>
  </si>
  <si>
    <t>Four RAGAs metrics computed by an LLM judge (faithfulness, answer relevance, context precision, context recall), read against a threshold of 0.85 taken from practitioner guides rather than from the RAGAs authors.</t>
  </si>
  <si>
    <t>RAGAs judge metrics against a 0.85 threshold</t>
  </si>
  <si>
    <t>Sections 2-3, pp. 2-3</t>
  </si>
  <si>
    <t>Perceived value, comprehensibility and accuracy are measured with 25 five-point Likert items, twelve of them section-level accuracy checks, reported as frequency distributions, and with five open questions coded thematically by two authors, with a third resolving disagreements; generation time and API cost per repository answer RQ5.</t>
  </si>
  <si>
    <t>Likert frequencies, thematic coding, time and cost</t>
  </si>
  <si>
    <t>Section IV; Table II, pp. 205-207</t>
  </si>
  <si>
    <t>Each answer is graded 1 (correct), 0.5 (partially correct) or 0 (incorrect), and each level's grade is the mean of its questions as a percentage; the authors warn that averaging across levels would weight levels with unequal numbers of questions equally.</t>
  </si>
  <si>
    <t>Three-point grading; mean per Bloom level</t>
  </si>
  <si>
    <t>Section V; Table I, pp. 8-9</t>
  </si>
  <si>
    <t>The measure is the number of correctly detected instances divided by all detected instances, pooled over repositories and runs; Table I lists only the detections made with high certainty.</t>
  </si>
  <si>
    <t>Pooled precision; high-certainty detections shown</t>
  </si>
  <si>
    <t>Section IV-C; Table I, p. 164</t>
  </si>
  <si>
    <t>Quantitative questions were meant to be scored with simple metrics such as counts of correctly identified components, but results are reported as listings and narrative judgements without counts, after disregarding answers where a model ignored the tool or the code did not fit the context window.</t>
  </si>
  <si>
    <t>Descriptive results; filtered answers; no counts</t>
  </si>
  <si>
    <t>Sections 3.3 and 4.4, pp. 644-650</t>
  </si>
  <si>
    <t>Eleven evaluators rated outputs on 1-5 Likert scales for understandability, novelty, usability, relevance, efficiency, potential bias and overall quality, followed by a debrief; the architecture diagram and code were rated together, drew the most N/A answers since only 2 of the 11 had computer-science backgrounds, and are reported only as positive overall once N/As are excluded.</t>
  </si>
  <si>
    <t>Likert criteria; architecture pooled with code; many N/A</t>
  </si>
  <si>
    <t>ChatGPT-PAMS Experiment Design, p. 2; Internal Review, p. 10</t>
  </si>
  <si>
    <t>Effectiveness, advantages and limitations were measured as counts of agreement with survey statements per phase, including architecture items (clearer, scalable architectures; alignment of architectural decisions; architecture representation; architectural expertise neglect; architectural constraint conflict).</t>
  </si>
  <si>
    <t>Agreement counts on architecture survey items</t>
  </si>
  <si>
    <t>Section 4.2, p. 5; Figure 3, p. 6</t>
  </si>
  <si>
    <t>Diagrams were graded out of 100 on adequacy to the specification ('does the proposed architecture meet the specification?'), behaviour observed in the TTool simulator, the number of exchanges between blocks, readability, numbers of blocks and states, naming, unused attributes and syntax errors and warnings, alongside generation time.</t>
  </si>
  <si>
    <t>Grades out of 100 on adequacy, structure and syntax</t>
  </si>
  <si>
    <t>Counts of internal and external inconsistencies detected, erroneous detections (8%) and inconsistencies corrected, per diagram and in total; the authors note subjectivity in classifying the detected inconsistencies.</t>
  </si>
  <si>
    <t>Detection, error and correction counts</t>
  </si>
  <si>
    <t>Section 5.3; Table 4; Section 6, pp. 9-10</t>
  </si>
  <si>
    <t>Completeness ratio and constraint satisfaction are defined as shares of required elements and constraints; student answers were scored 0 or 1 and averaged per element, and completeness and correctness were pooled per diagram (N = 8-12 elements) for paired t-tests, Wilcoxon signed-rank tests and Cohen's d, whose effect sizes the authors say should be read with caution.</t>
  </si>
  <si>
    <t>Completeness and correctness per element; pooled tests</t>
  </si>
  <si>
    <t>Sections 3.3 and 4.1, pp. 8-12; Section 7, p. 19</t>
  </si>
  <si>
    <t>Diagrams were graded out of 10 on completeness ('does the proposed architecture meet the specification?'), quality of abstraction (numbers of blocks, states and connectors, naming, unused attributes) and correct use of the modelling language, alongside generation time; student times are estimates from the time allotted for the exam.</t>
  </si>
  <si>
    <t>Grades on completeness, abstraction and language use</t>
  </si>
  <si>
    <t>Evaluation, pp. 14-17</t>
  </si>
  <si>
    <t>F1 is computed from correct, spurious and missing items against answers taken from the code, and knowledge bases are compared with Friedman tests and post-hoc tests by scenario; precision and recall are defined the wrong way round (precision as C/(C+M)), which leaves F1 unchanged.</t>
  </si>
  <si>
    <t>F1 per question; Friedman tests</t>
  </si>
  <si>
    <t>Evaluation of Answers and Analysis Approach, pp. 15-16; Table 5, p. 17</t>
  </si>
  <si>
    <t>Effort is rated low (at most two prompts, no corrections), medium (three to five prompts, some manual changes) or high (six or more detailed prompts and manual corrections), and acceptance is by comparison with the oracle artefact.</t>
  </si>
  <si>
    <t>Effort levels by prompts and corrections</t>
  </si>
  <si>
    <t>Section 3.5; Table 2, p. 4</t>
  </si>
  <si>
    <t>Absence: no measures or criteria for judging the generated designs are reported.</t>
  </si>
  <si>
    <t>Absence: no evaluation criteria</t>
  </si>
  <si>
    <t>Counts of internal and cross-view inconsistencies detected, erroneous detections and corrections (with halves) per diagram, and detected, erroneous and missing inconsistencies for the graph method; false negatives of the LLM are not measured, and classifying detections is acknowledged to be subjective.</t>
  </si>
  <si>
    <t>Section 6.1.1; Tables 7-8, pp. 32-34; Section 6.3, pp. 34-35</t>
  </si>
  <si>
    <t>Performance is measured by true positives, false positives and false negatives with precision, recall and accuracy; F1 is omitted, which the authors list as a threat, and the pie charts give each tool's share of the two tools' combined true positives, which the text reports as detection rates.</t>
  </si>
  <si>
    <t>Counts with precision, recall and accuracy; no F1</t>
  </si>
  <si>
    <t>Sections 2.3, 3 and 4.1, pp. 4366-4368; Figs. 5-6</t>
  </si>
  <si>
    <t>Precision, recall and F1 are reported for the smell-inducing class only, averaged over runs and folds, because non-inducing issues dominate (10-35% of linked issues are smell-inducing) and metrics over both classes would look misleadingly good.</t>
  </si>
  <si>
    <t>Positive-class precision, recall and F1</t>
  </si>
  <si>
    <t>Section V-B, p. 49; Table III</t>
  </si>
  <si>
    <t>Reported measures are counts of commits, initiatives and drift flags, the share of initiatives matched to TDDs or epics, the true-positive rate of flags (agreement of the automated and human checks, a precision measure) and the average time from commit to flag; false negatives, and so recall, are not measured.</t>
  </si>
  <si>
    <t>True-positive rate and time to flag; no recall</t>
  </si>
  <si>
    <t>Section 5, p. 1335; Table 1</t>
  </si>
  <si>
    <t>The search string, databases and period are stated, and the list of selected studies with authors, dates and key findings is published online, so the selection can be inspected.</t>
  </si>
  <si>
    <t>Search string and study list published for inspection</t>
  </si>
  <si>
    <t>3.3 Cost, latency and reproducibility of the reported setups</t>
  </si>
  <si>
    <t>Sections 4.2 and 4.4; Data Availability Statement, pp. 7-8, 16</t>
  </si>
  <si>
    <t>The raw data and review workflow are published as a replication package on Zenodo, and the open-science material was validated by the journal’s Open Science Board.</t>
  </si>
  <si>
    <t>Replication package published and validated</t>
  </si>
  <si>
    <t>p. 1; Data availability statement, p. 19</t>
  </si>
  <si>
    <t>Reporting in the sources is thin: 68% (32) name no architectural style, 74% (35) no modelling language, 87% (40) give no information on model-driven engineering and 58% (30) no programming language.</t>
  </si>
  <si>
    <t>Sources under-report style, notation and technology</t>
  </si>
  <si>
    <t>Sections 4.3.2, 4.3.4 and 4.3.5; Tables 15-17 and 20, pp. 13-15</t>
  </si>
  <si>
    <t>The model version, temperature 0 and seed 1 are stated to reduce randomness and support reproduction, and data and code are published on a website and Zenodo.</t>
  </si>
  <si>
    <t>Model, settings and artefacts published</t>
  </si>
  <si>
    <t>Sections 4.1.4 and 7, pp. 1693, 1697</t>
  </si>
  <si>
    <t>Token use grows roughly linearly with the number of files; the largest project (Chromium) took 18.16M tokens, about 2.72 USD at January 2025 prices, with file summarisation and hierarchy building the most expensive steps.</t>
  </si>
  <si>
    <t>Token cost linear in project size</t>
  </si>
  <si>
    <t>Section 4.4; Figure 6, p. 1696</t>
  </si>
  <si>
    <t>Absence: the time a refinement run takes is not reported; cost is given only in tokens and price.</t>
  </si>
  <si>
    <t>Absence: no run-time figures</t>
  </si>
  <si>
    <t>Section 4.4 is where it would appear, p. 1696</t>
  </si>
  <si>
    <t>Inputs, prompt configurations, generated architectures and evaluation scripts are published on figshare, and the CSV output format was chosen to make parsing and replication straightforward.</t>
  </si>
  <si>
    <t>Artefacts and standardised output published</t>
  </si>
  <si>
    <t>Absence: the models are identified only by provider; no model name, version, temperature or cost is reported, so the runs cannot be reproduced exactly.</t>
  </si>
  <si>
    <t>Absence: model identity and settings unreported</t>
  </si>
  <si>
    <t>Abstract; Section 3; Table 1, pp. 1, 4-5</t>
  </si>
  <si>
    <t>A replication package (Zenodo) holds the dataset, prompts and scripts, and the models are named with their parameter counts and licences.</t>
  </si>
  <si>
    <t>Dataset, prompts and scripts published</t>
  </si>
  <si>
    <t>Section 1, p. 2; Table 1, p. 3</t>
  </si>
  <si>
    <t>Absence: no temperature or other setting, number of runs, embedding model, number of retrieved examples, cost or latency is reported.</t>
  </si>
  <si>
    <t>Absence: settings, cost and latency unreported</t>
  </si>
  <si>
    <t>Section 3.2, pp. 3-4</t>
  </si>
  <si>
    <t>A research bundle on Zenodo holds the prompts, all outputs and conversation histories, and the scripts; model names and decoding parameters are reported.</t>
  </si>
  <si>
    <t>Prompts, outputs and scripts published</t>
  </si>
  <si>
    <t>Section I, p. 277; Section IV-A, p. 278; Section V, p. 280</t>
  </si>
  <si>
    <t>Absence: no cost, latency or model version dates are reported, and the closed model is named inconsistently (ChatGPT-o4 in the text, ChatGPT-4o in Table I).</t>
  </si>
  <si>
    <t>Absence: cost, latency and exact model versions</t>
  </si>
  <si>
    <t>Section IV-A, p. 278; Table I</t>
  </si>
  <si>
    <t>All four prompts are reproduced in full in the paper, and the models are named, with the local model identified as Llama 3.1 Tulu 3 70B.</t>
  </si>
  <si>
    <t>Prompts reproduced in full</t>
  </si>
  <si>
    <t>Section III, pp. 94-95; Section IV, p. 95</t>
  </si>
  <si>
    <t>The locally run 70B model needs substantial memory, graphics cards and CPU, and its context was 75% full after the set-up prompts, forcing frequent re-initialisation so that the tutor was unavailable most of the time.</t>
  </si>
  <si>
    <t>Local model: heavy hardware, context exhausted</t>
  </si>
  <si>
    <t>Models, dates and tools are named, prompts are printed, a replication package holds the drivers and generated documents, and cost (about 8.3 million tokens, about 12 dollars, for the warehouse design) and time (about 20 minutes per iteration) are reported; model settings are not reported, and the agentic IDE manages the context.</t>
  </si>
  <si>
    <t>Cost, time and artefacts reported</t>
  </si>
  <si>
    <t>Sections IV-VII, pp. 4-10, 13</t>
  </si>
  <si>
    <t>Reasoning time is measured per round and strategy (30-70 s per round; averages of about 42-56 s across strategies and tasks); hardware, model sizes and temperature are reported, and the prompts, code and results are public (a prompt repository and a Zenodo artefact).</t>
  </si>
  <si>
    <t>Reasoning time, settings and artefacts reported</t>
  </si>
  <si>
    <t>Sections 5 and 5.3, pp. 8, 10-12; Table 3; Data availability, p. 15</t>
  </si>
  <si>
    <t>The models and the date they were chosen are named (GPT-5 and Gemini 2.5 Pro, top of LMArena on 5 October 2025), and code and data are on GitHub; prompts, model settings, cost and run time are not reported in the paper.</t>
  </si>
  <si>
    <t>Models and artefacts named; prompts, cost and time not reported</t>
  </si>
  <si>
    <t>Open-source tools and code scripts are to be shared for reruns and the baselines are reproduced first, but the language model or models, their settings and the cost of runs are not specified.</t>
  </si>
  <si>
    <t>Reruns promised; model and cost unspecified</t>
  </si>
  <si>
    <t>Sections V-VI, pp. 537, 539</t>
  </si>
  <si>
    <t>The prompt template, a full prompt instance with the injected ADR and six LLM responses are published on Zenodo; model versions and settings are not given in the paper.</t>
  </si>
  <si>
    <t>Prompt and responses published; models unspecified</t>
  </si>
  <si>
    <t>Section 4, pp. 6-7; ref. [19]</t>
  </si>
  <si>
    <t>The dataset, the pilot and formal labelling and evaluation results, the generated rationale and the interview samples are published in a replication package on GitHub (LLM4DR); exact model versions are named, and the zero-shot and chain-of-thought templates are shown in the paper.</t>
  </si>
  <si>
    <t>Replication package; model versions and templates given</t>
  </si>
  <si>
    <t>Sections 3.2-3.6, 6 and Data Availability, pp. 6-17, 32, 35</t>
  </si>
  <si>
    <t>Absence: temperature and other model settings, the number of runs per rationale, token cost and latency are not reported; the cost of the agents appears only as up to 20 rounds of conversation per rationale and as the reason for capping the aspects at six.</t>
  </si>
  <si>
    <t>Absence: settings, runs, cost and latency</t>
  </si>
  <si>
    <t>Sections 3.2, 3.4 and 5.1 are where they would appear, pp. 6-14, 28</t>
  </si>
  <si>
    <t>Absence: no model, agent framework, settings, cost, latency or artefacts are given.</t>
  </si>
  <si>
    <t>Absence: nothing to reproduce</t>
  </si>
  <si>
    <t>whole paper</t>
  </si>
  <si>
    <t>Temperature is set to zero with the same fixed seed for every run so that results can be replicated, and code, prompts, baselines, evaluation data, LLM responses and results are published in a replication package on Zenodo.</t>
  </si>
  <si>
    <t>Fixed temperature and seed; replication package</t>
  </si>
  <si>
    <t>Section V-E and Data availability, p. 10</t>
  </si>
  <si>
    <t>Absence: token cost, run time and the model snapshots used are not reported.</t>
  </si>
  <si>
    <t>Absence: cost, time and model snapshots</t>
  </si>
  <si>
    <t>Sections IV-A and V are where they would appear, pp. 5-10</t>
  </si>
  <si>
    <t>Model versions, sizes and sampling settings (temperature 0.1, top-p 0.9, a fixed seed, at most 4,096 new tokens) are given for open models run locally, and scripts and results are published in a replication package on Zenodo.</t>
  </si>
  <si>
    <t>Open models and settings given; replication package</t>
  </si>
  <si>
    <t>Sections III-D, III-E and Data availability, pp. 4-5, 10; Table II</t>
  </si>
  <si>
    <t>Absence: the run time, GPU hours and cost of the analysis are not reported.</t>
  </si>
  <si>
    <t>Absence: run time and cost</t>
  </si>
  <si>
    <t>Section III-D is where they would appear, p. 4</t>
  </si>
  <si>
    <t>The model version (gpt-3.5-turbo-0125, default parameters) is given, code and data are on GitHub, and processing time with a locally deployed DeepSeek-V2 on one RTX 3090 grows linearly with project size (about 3.28 s per source file over 30 projects); the hosted model was not timed because of its paid API.</t>
  </si>
  <si>
    <t>Linear processing time; code and data published</t>
  </si>
  <si>
    <t>Sections IV-A4 and V-B, pp. 339, 349, 356; Fig. 12</t>
  </si>
  <si>
    <t>Absence: the token cost of the hosted-model runs and the number of runs per configuration are not reported.</t>
  </si>
  <si>
    <t>Absence: cost and runs</t>
  </si>
  <si>
    <t>Sections IV-A4 and V-B are where they would appear, pp. 349, 356</t>
  </si>
  <si>
    <t>All responses, extracted answers, scripts and significance-test results are shared on Zenodo, and the models, hardware (one H100 GPU) and 4-bit quantisation are named.</t>
  </si>
  <si>
    <t>Responses and scripts shared; setup named</t>
  </si>
  <si>
    <t>Section 2 and Data availability, pp. 103-104, 112</t>
  </si>
  <si>
    <t>Absence: sampling settings, the number of runs per question, run time and cost are not reported.</t>
  </si>
  <si>
    <t>Absence: settings, runs, time and cost</t>
  </si>
  <si>
    <t>Section 2 is where they would appear, pp. 102-103</t>
  </si>
  <si>
    <t>The prompt is printed in full, the projects are named with their repositories, and a repository of all data artefacts is linked.</t>
  </si>
  <si>
    <t>Prompt printed; data repository linked</t>
  </si>
  <si>
    <t>Fig. 1; Section 3; Data availability, pp. 118-119, 122</t>
  </si>
  <si>
    <t>Absence: the model version, sampling settings, number of runs, time and cost are not reported; the runs were made through the web interface in late 2024.</t>
  </si>
  <si>
    <t>Absence: version, settings, runs, time and cost</t>
  </si>
  <si>
    <t>Section 3 is where they would appear, p. 118</t>
  </si>
  <si>
    <t>The prompt skeletons are printed, and the two models are named with their temperatures left at the defaults.</t>
  </si>
  <si>
    <t>Prompts printed; models named</t>
  </si>
  <si>
    <t>Listings 3-6; Section IV-D, pp. 406-408</t>
  </si>
  <si>
    <t>Absence: no replication package, mutated architectures or model responses are shared, and the access mode, number of runs, time and cost are not reported.</t>
  </si>
  <si>
    <t>Absence: no data shared; runs, time and cost</t>
  </si>
  <si>
    <t>Section IV is where they would appear, pp. 407-408</t>
  </si>
  <si>
    <t>A replication package on Zenodo holds all datasets, prompts, scripts and results, and the models, their context lengths and the study period are named.</t>
  </si>
  <si>
    <t>Replication package; models named</t>
  </si>
  <si>
    <t>Section III; Section IX; Tables I-II, pp. 246-248, 254</t>
  </si>
  <si>
    <t>Absence: the model used as judge is not named, and run time and cost are not reported.</t>
  </si>
  <si>
    <t>Absence: judge model, time and cost</t>
  </si>
  <si>
    <t>Sections III-E and VI are where they would appear, pp. 249, 254</t>
  </si>
  <si>
    <t>The tool and website are open source with an archived release on Zenodo, datasets are fetched automatically, every run logs prompts, raw responses, token usage and latency, and reports give the mean, standard deviation, minimum and maximum of each metric.</t>
  </si>
  <si>
    <t>Open tool; trajectories with tokens and latency logged</t>
  </si>
  <si>
    <t>Sections II-III, pp. 2-4</t>
  </si>
  <si>
    <t>A replication package holds the code for extracting topologies, generating questions and prompting the models, the raw data and the analysis scripts; the models, their prices per million tokens, the dates of the runs and the output tokens per response are reported, but not run time.</t>
  </si>
  <si>
    <t>Replication package; prices and output tokens reported</t>
  </si>
  <si>
    <t>Sections 1, 4.3, 4.7 and 6.1; Table 3, pp. 2, 4-6</t>
  </si>
  <si>
    <t>The framework materials, the complete prompt, the chatbot application, the questionnaire and the test statistics are in a GitLab repository, and the model and its hosting are named.</t>
  </si>
  <si>
    <t>Prompt, application and materials shared</t>
  </si>
  <si>
    <t>Sections 3.2, 4 and 6.3, pp. 4-6, 11</t>
  </si>
  <si>
    <t>Absence: sampling settings, response latency and cost are not reported.</t>
  </si>
  <si>
    <t>Absence: settings, latency, cost</t>
  </si>
  <si>
    <t>Section 4 is where they would appear, pp. 5-6</t>
  </si>
  <si>
    <t>An automation tool built on LangChain applies identical processing to all models, the sampling settings and token limits are reported, the prompts are printed, and scripts and results are made available.</t>
  </si>
  <si>
    <t>Settings, prompts, scripts and results shared</t>
  </si>
  <si>
    <t>Sections I, IV-C; Fig. 3, pp. 400, 403</t>
  </si>
  <si>
    <t>Absence: the number of runs per setting, response time and cost are not reported.</t>
  </si>
  <si>
    <t>Absence: runs, time and cost</t>
  </si>
  <si>
    <t>Section IV-C is where they would appear, p. 403</t>
  </si>
  <si>
    <t>Supplementary data (the requirements document, interview questions and codebooks) are shared, and the model, wrapper and study period are named.</t>
  </si>
  <si>
    <t>Materials and codebooks shared</t>
  </si>
  <si>
    <t>Sections 3 and 3.3, pp. 1784-1785</t>
  </si>
  <si>
    <t>Absence: model settings, the conversation logs themselves, response time and cost are not reported.</t>
  </si>
  <si>
    <t>Absence: settings, logs, time, cost</t>
  </si>
  <si>
    <t>Section 3 is where they would appear, pp. 1784-1785</t>
  </si>
  <si>
    <t>A replication package with the generated questions, the model answers and the workshop results is linked, and the models and the study date are named.</t>
  </si>
  <si>
    <t>Questions, answers and workshop results shared</t>
  </si>
  <si>
    <t>Methodology; Results, pp. 89-92</t>
  </si>
  <si>
    <t>Absence: the prompt used to have the models choose, sampling settings and the number of runs are not reported; the models were used through web interfaces.</t>
  </si>
  <si>
    <t>Absence: selection prompt, settings, runs</t>
  </si>
  <si>
    <t>Methodology is where they would appear, pp. 89-90</t>
  </si>
  <si>
    <t>All questions, answers and files the model used are recorded and shared in a public repository, and the exact model version is named.</t>
  </si>
  <si>
    <t>Questions, answers and files shared</t>
  </si>
  <si>
    <t>Section 4, p. 216</t>
  </si>
  <si>
    <t>Absence: sampling settings, run time and cost are not reported.</t>
  </si>
  <si>
    <t>Absence: settings, time, cost</t>
  </si>
  <si>
    <t>Section 4 is where they would appear, p. 216</t>
  </si>
  <si>
    <t>Repository commits and library versions are pinned, summaries are produced deterministically, token consumption is reported per strategy (hierarchical summarisation cost three to four times more for no gain), and data and a web artefact with per-system results are shared.</t>
  </si>
  <si>
    <t>Pinned inputs, token costs, shared data</t>
  </si>
  <si>
    <t>Sections III-D, V-D.3, VII and Data Availability, pp. 272, 275-277</t>
  </si>
  <si>
    <t>Absence: run time and monetary cost are not reported, although the efficiency question names time; efficiency is measured in tokens only.</t>
  </si>
  <si>
    <t>Absence: time and money cost</t>
  </si>
  <si>
    <t>Section V-D.3 is where they would appear, p. 275</t>
  </si>
  <si>
    <t>Requirements, prompts, outputs and evaluation forms are released; the model version and a fixed temperature with deterministic decoding are stated, and outputs were captured at a fixed time.</t>
  </si>
  <si>
    <t>Materials released; model and setting stated</t>
  </si>
  <si>
    <t>Sections 3, 4 and 6; Artifact Availability, pp. 81, 83, 87-88</t>
  </si>
  <si>
    <t>Absence: run time, tokens and money cost are not reported, nor the temperature value or the number of runs per configuration.</t>
  </si>
  <si>
    <t>Absence: cost, time and runs</t>
  </si>
  <si>
    <t>Sections 3-4 are where they would appear, pp. 81-84</t>
  </si>
  <si>
    <t>Absence: no model, settings, cost or time are given for the proposed tasks; replication packages exist only for the earlier contributions, in their papers.</t>
  </si>
  <si>
    <t>Absence: setup and cost</t>
  </si>
  <si>
    <t>Section 5, pp. 163-164</t>
  </si>
  <si>
    <t>Data, scripts and results are in a replication package, the models are named with a dated leaderboard snapshot, and output token counts are reported per condition.</t>
  </si>
  <si>
    <t>Replication package; output tokens reported</t>
  </si>
  <si>
    <t>Sections 3.3, 4 and 8; Table 1, pp. 3-4, 6, 10</t>
  </si>
  <si>
    <t>Absence: sampling settings, the number of runs per condition, input tokens, run time and money cost are not reported, although the discussion argues that full history is costly because token use grows with repository size.</t>
  </si>
  <si>
    <t>Absence: settings, input tokens, time and cost</t>
  </si>
  <si>
    <t>Sections 3.3.2-4.2 are where they would appear, pp. 4-6</t>
  </si>
  <si>
    <t>Prompts, requirement documents, RAG sources and all generated diagrams with execution metadata are published on GitHub; local models ran through Ollama with Q4_0 quantisation.</t>
  </si>
  <si>
    <t>All materials and outputs published</t>
  </si>
  <si>
    <t>Sections 3 and 3.1-3.2; Data Availability, pp. 7-8, 24</t>
  </si>
  <si>
    <t>Absence: sampling settings, run time, tokens and cost are not reported, and each configuration was run once.</t>
  </si>
  <si>
    <t>Absence: settings, time and cost</t>
  </si>
  <si>
    <t>Sections 3.1-3.3 are where they would appear, pp. 7-10</t>
  </si>
  <si>
    <t>Response time per decision (about 10 s for GPT-4o mini and 30-60 s for o3-mini at 24 drones, rising to over two minutes on large inputs; retries 35-83% of the first query), reasoning tokens and cost per run of 30 decisions (about $0.01-0.42 for GPT-4o mini, $0.55-4.63 for o3-mini) are reported, with model versions and an open-source framework and prompts in the replication package.</t>
  </si>
  <si>
    <t>Latency, tokens and money cost per run reported</t>
  </si>
  <si>
    <t>Sections 6.6.2-6.6.6 and 8; Tables 1 and 3, pp. 7, 9-10, 13</t>
  </si>
  <si>
    <t>The artefacts are archived on Zenodo and the code is on GitHub, and the model is named.</t>
  </si>
  <si>
    <t>Artefacts and code shared</t>
  </si>
  <si>
    <t>Section 3.2; Artifact Availability, pp. 2, 6</t>
  </si>
  <si>
    <t>Absence: sampling settings, the bound on refinement iterations, run time and cost are not reported.</t>
  </si>
  <si>
    <t>Absence: settings, loop bound, time and cost</t>
  </si>
  <si>
    <t>Sections 3-4 are where they would appear, pp. 2-4</t>
  </si>
  <si>
    <t>Decoding is deterministic (temperature 0, top-p 1) with identical token budgets, outputs that break the schema are regenerated, and prompts, outputs and scripts are in supplementary material.</t>
  </si>
  <si>
    <t>Deterministic decoding; schema validation; materials shared</t>
  </si>
  <si>
    <t>Sections 3-4 and Artifact Availability, pp. 3-4, 7</t>
  </si>
  <si>
    <t>Absence: run time, tokens and cost are not reported.</t>
  </si>
  <si>
    <t>Absence: time and cost</t>
  </si>
  <si>
    <t>Sections 3-4 are where they would appear, pp. 3-5</t>
  </si>
  <si>
    <t>The prompt template is printed in full, the four source papers are cited, and the model's ratings, justifications and suggestions and the expert's comments are given per criterion (Tables 1-4); the runs were made in the web interface in late 2024 with default settings, one pass per case.</t>
  </si>
  <si>
    <t>Prompt printed; outputs tabulated; web interface defaults</t>
  </si>
  <si>
    <t>Fig. 1; Sections 3.3-3.4; Tables 1-4, pp. 90-93</t>
  </si>
  <si>
    <t>Absence: time and cost are not reported and no replication package is linked; relying on a single run is named as a challenge to reproducibility.</t>
  </si>
  <si>
    <t>Absence: time, cost and replication package</t>
  </si>
  <si>
    <t>Sections 3.3-3.4 are where they would appear, pp. 90-91; Section 6, p. 95</t>
  </si>
  <si>
    <t>The prototype's code is linked on GitHub (ArchitectOS), and simplified artefact and phase schemas are printed.</t>
  </si>
  <si>
    <t>Prototype code linked; schemas printed</t>
  </si>
  <si>
    <t>Section 4.3, p. 13</t>
  </si>
  <si>
    <t>Absence: the model, its settings, the prompts, the number of sessions, time and cost are not reported.</t>
  </si>
  <si>
    <t>Absence: model, prompts, settings, time and cost</t>
  </si>
  <si>
    <t>Section 4.3 is where they would appear, pp. 12-13</t>
  </si>
  <si>
    <t>Run times are reported (knowledge-graph extraction 0.12-216 s; recovery 2 min for cJSON, 1 h 20 min for Bash, 3 h 43 min for SQLite), the prompts are shown (Figs. 2-5), and the system versions are given.</t>
  </si>
  <si>
    <t>Run times, prompts and system versions reported</t>
  </si>
  <si>
    <t>Tables I-II; Figs. 2-5, pp. 497-499</t>
  </si>
  <si>
    <t>Absence: the model, its settings, the number of runs, token counts and cost are not reported, and no code or data is shared.</t>
  </si>
  <si>
    <t>Absence: model, settings, runs, cost and artefacts</t>
  </si>
  <si>
    <t>Section VII is where they would appear, p. 499</t>
  </si>
  <si>
    <t>Model versions and the number of repetitions are given, and a replication package holds the implementation, setup, instantiated patterns and raw results.</t>
  </si>
  <si>
    <t>Model versions, five runs, replication package</t>
  </si>
  <si>
    <t>Sections 3.1, 4 and 4.1, pp. 609, 613</t>
  </si>
  <si>
    <t>Absence: sampling settings, run time, tokens and cost are not reported.</t>
  </si>
  <si>
    <t>Section 4.1 is where they would appear, p. 613</t>
  </si>
  <si>
    <t>Model versions and prompt templates are given, and scripts, experimental data and the pattern corpus are shared on Zenodo.</t>
  </si>
  <si>
    <t>Model versions, templates and artefacts shared</t>
  </si>
  <si>
    <t>Sections 4.1 and 9 (Artifact Availability), pp. 3, 6</t>
  </si>
  <si>
    <t>Absence: the number of runs per prompt, time and cost are not reported.</t>
  </si>
  <si>
    <t>Sections 4.2 and 5.2 are where they would appear, pp. 3, 5</t>
  </si>
  <si>
    <t>Model, temperature, generations, population and elite size are reported, and the code, datasets and generated artefacts are published as a reproducible package.</t>
  </si>
  <si>
    <t>Settings reported; reproducible package</t>
  </si>
  <si>
    <t>Section 4, p. 368</t>
  </si>
  <si>
    <t>Absence: tokens, cost and the number of runs per dataset are not reported, and the unit of the times in Fig. 3c is not stated.</t>
  </si>
  <si>
    <t>Absence: cost, runs and time unit</t>
  </si>
  <si>
    <t>Section 4 is where they would appear, p. 368</t>
  </si>
  <si>
    <t>Model names, a full prompt example and a replication package (data, protocol, systems, prompts, analysis scripts) are provided; two trials were run to inspect output stability and the last one analysed.</t>
  </si>
  <si>
    <t>Prompt shown; replication package; two trials</t>
  </si>
  <si>
    <t>Section 3.3; Fig. 3; Artifact Availability, pp. 5-6, 10</t>
  </si>
  <si>
    <t>Absence: sampling settings, tokens, run time and cost are not reported, and run-to-run variability is left unquantified.</t>
  </si>
  <si>
    <t>Absence: settings, time, cost and variability</t>
  </si>
  <si>
    <t>Section 3.3 is where they would appear, p. 5</t>
  </si>
  <si>
    <t>Absence: no model, prompt, data or artefact is reported.</t>
  </si>
  <si>
    <t>Absence: no setup or artefacts</t>
  </si>
  <si>
    <t>Section 3 is where they would appear, pp. 488-489</t>
  </si>
  <si>
    <t>The full system prompt, an example input, the model and its version, and the hardware of the local trials are reported.</t>
  </si>
  <si>
    <t>Prompt, model version and hardware given</t>
  </si>
  <si>
    <t>Absence: the number of generations per trace, sampling settings, time and cost are not reported, and neither the traces nor the ground truths are released.</t>
  </si>
  <si>
    <t>Absence: runs, settings, cost and data</t>
  </si>
  <si>
    <t>Section III-A is where they would appear, p. 293</t>
  </si>
  <si>
    <t>The model version, temperature, top_p and seed are reported, and the workflow code, prompt history and interview guide are archived on Zenodo; the company's work items and the generated diagrams cannot be shared.</t>
  </si>
  <si>
    <t>Settings reported; code and prompts archived; data confidential</t>
  </si>
  <si>
    <t>Sections 4 and 8, Data Availability, pp. 3, 8</t>
  </si>
  <si>
    <t>Absence: tokens, run time and money cost are not reported beyond the practitioners' estimate of hours reduced to minutes.</t>
  </si>
  <si>
    <t>Absence: tokens, time and cost</t>
  </si>
  <si>
    <t>Section 4 is where they would appear, p. 3</t>
  </si>
  <si>
    <t>Absence: the number of participants and runs, the full prompts and templates, token use and cost are not reported, and no code or data are shared.</t>
  </si>
  <si>
    <t>Absence: participants, runs, prompts, cost and artefacts</t>
  </si>
  <si>
    <t>Section IV-A is where they would appear, p. 116</t>
  </si>
  <si>
    <t>The case-study repository and the reference model are public on GitHub.</t>
  </si>
  <si>
    <t>Repository and reference model public</t>
  </si>
  <si>
    <t>Section 5.1, footnote 1, p. 110</t>
  </si>
  <si>
    <t>Absence: the LLM, its settings, the number of runs, the prompts in full, time and cost are not reported.</t>
  </si>
  <si>
    <t>Absence: model, settings, runs, prompts and cost</t>
  </si>
  <si>
    <t>Sections 4.2 and 5.1 are where they would appear, pp. 106-110</t>
  </si>
  <si>
    <t>Absence: the prompt, model settings, number of runs, the module list, the ground-truth allocations, time and cost are not reported.</t>
  </si>
  <si>
    <t>Absence: prompt, settings, runs, data and cost</t>
  </si>
  <si>
    <t>Section 5 is where they would appear, pp. 124-125</t>
  </si>
  <si>
    <t>Processing took about 68 minutes with Quasar against 60 for the human on the first project and 14 against 22 on the second; the 25 prompts are listed and the hardware is named, but the two projects are not named and model sizes, settings and the rating data are not reported.</t>
  </si>
  <si>
    <t>Time similar to humans; prompts listed; projects and settings not</t>
  </si>
  <si>
    <t>Section 5.2; Appendix A, pp. 12-14, 18-19</t>
  </si>
  <si>
    <t>Data, code and examples of the prompt evolution are public (ADRminer on GitHub), and the model and temperature are stated; tokens, cost and run time are not reported beyond noting that dynamic few-shot increases latency and token use.</t>
  </si>
  <si>
    <t>Data, code and prompts public; cost not reported</t>
  </si>
  <si>
    <t>Sections 3, 3.5 and Data Availability, pp. 5-6, 9, 15</t>
  </si>
  <si>
    <t>Hyperparameters, the RAGAs version, the judge and embedding models and the evaluation script are given, with artefacts on Zenodo; the generating model, the number of runs, time and cost are not reported.</t>
  </si>
  <si>
    <t>Settings and script shared; generator, runs and cost not</t>
  </si>
  <si>
    <t>Section 2 and Artifact Availability, pp. 2, 4</t>
  </si>
  <si>
    <t>Generating a complete document took 1 min 50 s to 4 min 26 s (mean about 3 min 1 s) and cost $0.35 to $2.48 in API fees (mean $1.19) per repository; the implementation, the generated documentation and the survey data are on Zenodo.</t>
  </si>
  <si>
    <t>About 3 minutes and $1.19 per repository; artefacts shared</t>
  </si>
  <si>
    <t>Sections I and V-E; Table IV, pp. 202, 209</t>
  </si>
  <si>
    <t>Absence: model settings such as temperature, the number of generation runs per repository and token counts are not reported.</t>
  </si>
  <si>
    <t>Absence: settings, runs and tokens</t>
  </si>
  <si>
    <t>Sections III-D and V-E are where they would appear, pp. 204-205, 209</t>
  </si>
  <si>
    <t>Absence: model settings, the number of runs per question, time and cost are not reported; the project is public on GitHub, but the release of the questions and graded answers is not stated.</t>
  </si>
  <si>
    <t>Absence: settings, runs, time, cost, question set</t>
  </si>
  <si>
    <t>Sections IV-C and V are where they would appear, p. 8</t>
  </si>
  <si>
    <t>Each repository was run three times because the output is not deterministic, the total cost was about US$2, and the detections at all certainty levels are shared in a cloud folder.</t>
  </si>
  <si>
    <t>Three runs; about US$2 in total; logs shared</t>
  </si>
  <si>
    <t>Sections IV-A and IV-C, pp. 163-164</t>
  </si>
  <si>
    <t>Absence: the model settings, the prompt text and token counts are not reported, and detection time is not measured; how much faster MicroPAD is remains future work.</t>
  </si>
  <si>
    <t>Absence: settings, prompt, tokens and time</t>
  </si>
  <si>
    <t>Sections IV-A, IV-B and V are where they would appear, pp. 163-165</t>
  </si>
  <si>
    <t>All questions, responses and the files each model accessed were recorded and are shared in a public repository; model versions are given.</t>
  </si>
  <si>
    <t>Questions, responses and file accesses shared</t>
  </si>
  <si>
    <t>Section 4 and Table 1, pp. 645-646; Section 4.7, p. 653</t>
  </si>
  <si>
    <t>Absence: model settings, the number of runs per question, time and cost are not reported.</t>
  </si>
  <si>
    <t>Sections 3.5 and 4 are where they would appear, pp. 645-646</t>
  </si>
  <si>
    <t>Absence: the model version beyond ChatGPT-4, settings, the number of prompting iterations for the architecture, the full conversations and the rating data are not reported or shared.</t>
  </si>
  <si>
    <t>Absence: version, settings, iterations, transcripts, ratings</t>
  </si>
  <si>
    <t>Methods and Results are where they would appear, pp. 2-10</t>
  </si>
  <si>
    <t>The entry and exit questionnaires are shared in a dataset cited as Waseem et al. (2024); the students' conversations with ChatGPT and any architecture produced are not reported.</t>
  </si>
  <si>
    <t>Questionnaires shared; conversations and artefacts not</t>
  </si>
  <si>
    <t>Sections 3.2 and 3.4, p. 3</t>
  </si>
  <si>
    <t>The specifications, generated models and a result sheet with times and grades are in a public repository, with the TTool build and model named; who graded the diagrams, the model settings and the number of runs are not stated.</t>
  </si>
  <si>
    <t>Artefacts shared; graders, settings and runs not stated</t>
  </si>
  <si>
    <t>Section 5.2, p. 35</t>
  </si>
  <si>
    <t>The specifications and TTool models are archived on Zenodo and the TTool build is named; settings, runs, time and cost are not reported.</t>
  </si>
  <si>
    <t>Models archived; settings, time and cost not</t>
  </si>
  <si>
    <t>Section 5.2, pp. 8-9</t>
  </si>
  <si>
    <t>The survey is available through a public preview link and the prompts are in the appendices; model settings, runs, time and cost are not reported.</t>
  </si>
  <si>
    <t>Survey and prompts shared; settings not</t>
  </si>
  <si>
    <t>Data Availability Statement, p. 19; Appendices A-D</t>
  </si>
  <si>
    <t>The generated models and detailed gradings are in a public repository and TTool's source is public; who graded, the model settings and the number of runs are not stated.</t>
  </si>
  <si>
    <t>Models and gradings shared; graders and settings not</t>
  </si>
  <si>
    <t>Evaluation, p. 15; Data availability, p. 17</t>
  </si>
  <si>
    <t>Questions and answers are on Zenodo and the implementation on GitHub; repeated runs gave the same answers semantically; the temperature and other settings are not reported, nor how many evaluators judged the answers.</t>
  </si>
  <si>
    <t>Data and code shared; settings not</t>
  </si>
  <si>
    <t>pp. 10, 14-15; Threats to Validity, pp. 19-20</t>
  </si>
  <si>
    <t>The prompt template is given, but the conversations, generated artefacts, settings and time are not reported.</t>
  </si>
  <si>
    <t>Prompt given; artefacts and settings not</t>
  </si>
  <si>
    <t>Sections 3.3-4, pp. 3-4</t>
  </si>
  <si>
    <t>Prompts, outputs, settings and runs are not reported.</t>
  </si>
  <si>
    <t>Nothing reported for replication</t>
  </si>
  <si>
    <t>Specifications, models, inconsistency lists and instructions for reproducing the results are on GitHub, and the source code with the full prompts is in TTool's repository; settings, runs, time and cost are not reported.</t>
  </si>
  <si>
    <t>Data and prompts shared; settings and time not</t>
  </si>
  <si>
    <t>Section 6.1, p. 32; Data availability, p. 38; Section 6.3, p. 35</t>
  </si>
  <si>
    <t>The data are stated to be openly available in 4TU Research Data, through a private-dataset link.</t>
  </si>
  <si>
    <t>Data on 4TU (private link)</t>
  </si>
  <si>
    <t>Data availability, p. 4369</t>
  </si>
  <si>
    <t>Absence: the ChatGPT version, the dates of use, settings, the number of runs, and the time and cost of the analysis are not reported.</t>
  </si>
  <si>
    <t>Absence: version, settings, runs and cost</t>
  </si>
  <si>
    <t>Section 2, pp. 4364-4366, is where they would appear</t>
  </si>
  <si>
    <t>Code, data, results, the hyperparameters and the prompt template are published in a replication package on Zenodo, and the embedding and prompted models are named.</t>
  </si>
  <si>
    <t>Replication package with prompt and hyperparameters</t>
  </si>
  <si>
    <t>Sections IV-C and V-B; Data availability, pp. 48-49, 53</t>
  </si>
  <si>
    <t>Absence: run time, inference cost and the prompted model's sampling settings are not reported; encoders are only described as inexpensive.</t>
  </si>
  <si>
    <t>Absence: time, cost and sampling settings</t>
  </si>
  <si>
    <t>Section IV, p. 48, is where they would appear</t>
  </si>
  <si>
    <t>The real-time agent takes seconds per commit and drift is flagged on average 12 minutes after a commit; a demonstration video and artefacts are published.</t>
  </si>
  <si>
    <t>Seconds per commit; 12 minutes to flag</t>
  </si>
  <si>
    <t>Sections 1, 2.2 and 5, pp. 1332-1335; Table 1</t>
  </si>
  <si>
    <t>Absence: the model, its settings, token use and the cost of running the agents are not reported.</t>
  </si>
  <si>
    <t>Absence: model, settings and cost</t>
  </si>
  <si>
    <t>Sections 2.2 and 5, pp. 1333-1335, are where they would appear</t>
  </si>
  <si>
    <t>Absence: no agent-based or multi-agent language-model approach appears. Language models are described only as assisting architects from textual input, and none of the trends the review names involves agents.</t>
  </si>
  <si>
    <t>Absence: no agentic or multi-agent approaches</t>
  </si>
  <si>
    <t>4.1 From single-prompt assistance towards agentic and multi-agent architecting</t>
  </si>
  <si>
    <t>T4. Emerging Trends</t>
  </si>
  <si>
    <t>No signal</t>
  </si>
  <si>
    <t>T4: emerging trend</t>
  </si>
  <si>
    <t>Multi-agent frameworks, together with more advanced retrieval, are presented as inevitable for supporting complex architectural styles such as microservices within token limits; one source already builds LLM-based architecture agents that improve decision-making starting from code.</t>
  </si>
  <si>
    <t>Multi-agent frameworks seen as necessary for complex architectures</t>
  </si>
  <si>
    <t>Explicit</t>
  </si>
  <si>
    <t>Sections 4.3.1, 5.1 and 5.3, pp. 12, 16-17</t>
  </si>
  <si>
    <t>The pipeline is a fixed sequence of prompts with iterative loops, not an agent; the authors note that related work has shifted toward agent-based automation of architecture tasks, including multi-agent design frameworks.</t>
  </si>
  <si>
    <t>Fixed prompt pipeline while the field moves to agents</t>
  </si>
  <si>
    <t>Section 2, p. 1689</t>
  </si>
  <si>
    <t>Migrating the approach to an agentic architecture, packaged as a reusable skill, is already under development; the authors contrast their human-in-the-loop process with the multi-agent MAAD, in which humans only validate the result.</t>
  </si>
  <si>
    <t>Towards an agentic, reusable design skill</t>
  </si>
  <si>
    <t>Sections II-F and VIII, pp. 3, 14</t>
  </si>
  <si>
    <t>The authors see LLM-based agents moving beyond decision support into software systems, where they monitor runtime behaviour, learn from past outcomes and intervene in real time, and they use them not merely as advisory tools but as decision-making components.</t>
  </si>
  <si>
    <t>From decision support to agents inside running systems</t>
  </si>
  <si>
    <t>Sections 1 and 3.4, pp. 2, 4</t>
  </si>
  <si>
    <t>Agentic approaches are presented as a paradigm gaining traction for complex tasks, in software engineering and in architecture (ReArch, MAAD), and the authors move architecture knowledge management from a single prompt to cooperating agents.</t>
  </si>
  <si>
    <t>From a single prompt to cooperating agents</t>
  </si>
  <si>
    <t>Sections 1 and 5, pp. 1, 4</t>
  </si>
  <si>
    <t>Agentic systems are presented as extending LLM-based recovery with multi-step workflows, specialised roles and tools (MAAD, ArchAgent, MASC4, ReArch), although it remains difficult to attribute their gains to specific injected architectural knowledge.</t>
  </si>
  <si>
    <t>Agentic recovery, gains hard to attribute</t>
  </si>
  <si>
    <t>Sections I and II-D, pp. 534, 536</t>
  </si>
  <si>
    <t>Generative and agentic AI are to be integrated into preparing, making and recording decisions: skills for agentic tools sit beside chat prompts, practitioners already share ADR-writing skills and agents, and the authors expect the AI space to keep changing fast.</t>
  </si>
  <si>
    <t>Skills for agentic tools beside chat prompts</t>
  </si>
  <si>
    <t>Sections 1, 3 and 5, pp. 2, 6-7</t>
  </si>
  <si>
    <t>The authors move from prompting to a multi-agent system because rationale is complex and no agent system for it existed, and they divide the work as an architect would (identify aspects, gather information, analyse, review, weigh trade-offs); they plan to extend the agents with context extraction from the project, tracing of external knowledge, code examples and visual output.</t>
  </si>
  <si>
    <t>From prompts to a multi-agent pipeline</t>
  </si>
  <si>
    <t>Sections 2.3, 3.4.3 and 8, pp. 4-5, 12, 35</t>
  </si>
  <si>
    <t>Multi-agent systems are presented as the answer to hallucination under zero-shot prompting and as unexplored for architecture design; the authors envision agents that simulate the roles of the design process, and dynamic agent configurations whose roles evolve with task complexity as future research.</t>
  </si>
  <si>
    <t>Agents simulating the architecture design roles</t>
  </si>
  <si>
    <t>Sections 1 and 4, pp. 530, 533</t>
  </si>
  <si>
    <t>The pipeline is a fixed sequence of prompts (elaborate, list, merge) with rule-based parsing, not an agent; the only forward look is to models with built-in chain-of-thought reasoning such as OpenAI o1, and agents are not mentioned.</t>
  </si>
  <si>
    <t>Fixed prompt pipeline; reasoning models as next step</t>
  </si>
  <si>
    <t>Sections III-B and VI, pp. 3-4, 10</t>
  </si>
  <si>
    <t>Four models work in fixed roles, a reasoning model detecting violations and three models validating its reasoning as 'experts', and the authors propose cross-model ensembles to combine the models' complementary strengths; no agents are used.</t>
  </si>
  <si>
    <t>Multi-model pipeline and ensembles</t>
  </si>
  <si>
    <t>Sections I, III-D and V, pp. 1, 3, 10</t>
  </si>
  <si>
    <t>The model works through fixed prompt chains inside a clustering pipeline; agents are not used or discussed.</t>
  </si>
  <si>
    <t>Prompt chains, no agents</t>
  </si>
  <si>
    <t>Section III, pp. 341-346</t>
  </si>
  <si>
    <t>Each model is used alone with single questions; combining several models, for example by voting among models whose false positives differ, is proposed for future work.</t>
  </si>
  <si>
    <t>Model combination proposed, not used</t>
  </si>
  <si>
    <t>Sections 5 and 8, pp. 109, 112</t>
  </si>
  <si>
    <t>Specialised domain-specific agents are called essential: the custom multi-agent approach outperformed prompting, while the general-purpose coding agent, despite tool use and memory, was the least effective, with code-level views and excessive components; multi-agent collaboration is future work.</t>
  </si>
  <si>
    <t>Specialised agents beat prompting and general agents</t>
  </si>
  <si>
    <t>Sections IV, V-A and VIII, pp. 249-252, 254</t>
  </si>
  <si>
    <t>The authors expect GenAI solutions to propose architectural changes ever more autonomously and plan sandboxed environments to benchmark coding agents that use tools, which the platform does not yet provide.</t>
  </si>
  <si>
    <t>Agent benchmarking planned for more autonomous GenAI</t>
  </si>
  <si>
    <t>Section IV, p. 4</t>
  </si>
  <si>
    <t>Integrating LLMs into a mesh of AI agents that support architecting, and a tool-based agent that brings telemetry into the architecture description, are posed as research questions.</t>
  </si>
  <si>
    <t>Agents proposed as research questions</t>
  </si>
  <si>
    <t>Section 7, p. 10</t>
  </si>
  <si>
    <t>Two models are chained as drafter and refiner rather than as agents, and interactive methods are left untested.</t>
  </si>
  <si>
    <t>Two-model chain, not agents</t>
  </si>
  <si>
    <t>Sections III and VII, pp. 401, 408</t>
  </si>
  <si>
    <t>Multi-agent architectures that distribute dependency analysis, domain identification and cycle elimination, and agentic loops that propose, evaluate and refine decompositions, are proposed as future work; the study itself is single-shot.</t>
  </si>
  <si>
    <t>Multi-agent and agentic refinement proposed</t>
  </si>
  <si>
    <t>Section VI-B, p. 277</t>
  </si>
  <si>
    <t>Agentic AI appears as an architecture to be designed for production systems (safety functions under separate control, verification of agents, hybrid human-agent supervision), not as agents that do the architecting.</t>
  </si>
  <si>
    <t>Agents as system components, not architects</t>
  </si>
  <si>
    <t>Section 4, p. 163</t>
  </si>
  <si>
    <t>Against laziness the authors propose giving the model tools, such as a code interpreter for tedious filtering and sorting, and dividing the problem by rules or among several LLM agents coordinated by another; they also propose hybrid online-offline prompting that distils a strategy from online decisions.</t>
  </si>
  <si>
    <t>Tool use and hierarchical agents proposed</t>
  </si>
  <si>
    <t>Section 6.9.4-6.9.6, pp. 11-12</t>
  </si>
  <si>
    <t>Moving from single-pass prompting to a graph of extraction, critique, refinement, retrieval and formatting nodes is argued to reduce the instability caused by long, noisy inputs, and the results are read as supporting explicit orchestration.</t>
  </si>
  <si>
    <t>Agentic decomposition for noisy inputs</t>
  </si>
  <si>
    <t>Sections 2.2 and 6, pp. 2, 5</t>
  </si>
  <si>
    <t>Multi-model ensembling (intersection as a stable baseline, union triaged as hypotheses) and constrained generation with graph-level penalties are proposed.</t>
  </si>
  <si>
    <t>Ensembling and constrained generation proposed</t>
  </si>
  <si>
    <t>Section 5, p. 6</t>
  </si>
  <si>
    <t>The framework is presented as an agentic alternative to prompt-based assistants, with artefacts persisting through structured memory; a multi-agent version with one dedicated agent per DSM phase is planned.</t>
  </si>
  <si>
    <t>From prompt-based assistants to agentic, then multi-agent, orchestration</t>
  </si>
  <si>
    <t>Sections 4, 4.1 and 5, pp. 9-10, 14</t>
  </si>
  <si>
    <t>Existing LLM-based recovery is called largely passive, classifying or generating from static input; the authors instead have the model explore the knowledge graph iteratively through its own queries, with memory and self-correction.</t>
  </si>
  <si>
    <t>From passive prompting to iterative, tool-using exploration</t>
  </si>
  <si>
    <t>Sections II.D-E and VI.A, pp. 494, 497</t>
  </si>
  <si>
    <t>In agent mode the model decides which workflow specifications it needs and fetches them through function calls, which the authors chose to see whether it could work out what further information was necessary.</t>
  </si>
  <si>
    <t>Agent mode with function calls to fetch specifications</t>
  </si>
  <si>
    <t>Sections 4.1-4.2, p. 613</t>
  </si>
  <si>
    <t>Proposed: an LLM agent that monitors artefacts through the file system and version control, triggers trace link recovery for changed artefacts, checks consistency and resolves or escalates what it finds.</t>
  </si>
  <si>
    <t>LLM agent orchestrating continuous knowledge maintenance</t>
  </si>
  <si>
    <t>Sections 1 and 3.4, pp. 487-489</t>
  </si>
  <si>
    <t>Related activity: the pipeline is a single-model prompt chain; moving to multi-agent generator-evaluator loops is proposed to curb the error propagation observed between its steps.</t>
  </si>
  <si>
    <t>Prompt chain now; multi-agent self-correction proposed</t>
  </si>
  <si>
    <t>Section 8, p. 8</t>
  </si>
  <si>
    <t>The analysis runs as an agentic, RAG-style think-act loop in which the model repeatedly expands the subgraph with query templates and updates the table until the user stops or redirects it.</t>
  </si>
  <si>
    <t>Agentic think-act loop over the knowledge graph</t>
  </si>
  <si>
    <t>Section III-C; Fig. 3, p. 116</t>
  </si>
  <si>
    <t>Recovery is organised as a multi-agent pipeline in which separate agents and teams produce the node inventory, the launch dependencies, the component models and the system model in sequence.</t>
  </si>
  <si>
    <t>Staged multi-agent recovery pipeline</t>
  </si>
  <si>
    <t>Section 4.2; Figs. 2-3, pp. 106-107</t>
  </si>
  <si>
    <t>The authors plan to optimise the use of ChatGPT as a development bot with multiple agents.</t>
  </si>
  <si>
    <t>Multi-agent development bots planned</t>
  </si>
  <si>
    <t>Section 6, p. 8</t>
  </si>
  <si>
    <t>The system is a set of choreographed asynchronous agents with tiered memory and tool access through MCP servers, operating continuously across an organisation's repositories rather than answering single prompts.</t>
  </si>
  <si>
    <t>Choreographed agents with memory and tools</t>
  </si>
  <si>
    <t>Sections 1 and 2, pp. 1332-1333</t>
  </si>
  <si>
    <t>NLP is reported as transforming textual requirements into formal models and design decisions, and formal models such as UML diagrams and architectural design documents are used as inputs to decomposition tools.</t>
  </si>
  <si>
    <t>Requirements turned into formal models; UML as tool input</t>
  </si>
  <si>
    <t>4.2 Integration with model-driven engineering and formal artefact generation</t>
  </si>
  <si>
    <t>Section 5.2 (Q1, Q5), pp. 10, 13</t>
  </si>
  <si>
    <t>UML is the most used notation (17%, 8), with decision records, C4, SysML and knowledge graphs once each; five sources use model-driven engineering (IoT architecture generation, low-code consistency, UML component diagrams, conformance recommendations, deductive recovery), and the authors call the topic fairly unexplored.</t>
  </si>
  <si>
    <t>Formal notations and MDE used sparsely</t>
  </si>
  <si>
    <t>Section 4.3.4; Tables 16 and 17, pp. 13-14</t>
  </si>
  <si>
    <t>Generated products should be explainable, particularly for architecture decisions, which the authors link to having models generate UML-like sketches or graphs that explain the proposal to practitioners.</t>
  </si>
  <si>
    <t>Generated models proposed as explanations of decisions</t>
  </si>
  <si>
    <t>Section 5.1, p. 16</t>
  </si>
  <si>
    <t>Absence: the output is a file-to-module partition and hierarchy with textual summaries; no architecture description language, UML model or metamodel is produced or consumed.</t>
  </si>
  <si>
    <t>Absence: no formal architecture notation</t>
  </si>
  <si>
    <t>Generated architectures are captured in CSV as a lightweight, model-agnostic boundary object listing services, responsibilities and interactions, chosen deliberately for automated parsing and reproducibility rather than a formal notation.</t>
  </si>
  <si>
    <t>CSV as a lightweight architecture representation</t>
  </si>
  <si>
    <t>Models are asked for JSON output so that recommendations can be consumed by downstream tools such as CAPI, and the authors plan to integrate model recommendations into interactive design tools.</t>
  </si>
  <si>
    <t>Machine-readable recommendations for design tools</t>
  </si>
  <si>
    <t>Section IV-D, pp. 279-280; Section VII, p. 283</t>
  </si>
  <si>
    <t>Architecture documents are written as markdown with Mermaid diagrams, chosen because Mermaid proved more effective than PlantUML, so that one artefact serves both human reading and processing by the model.</t>
  </si>
  <si>
    <t>Diagrams-as-text readable by people and models</t>
  </si>
  <si>
    <t>Section IV, pp. 5-6</t>
  </si>
  <si>
    <t>The current architectural configuration is kept in a machine-readable system configuration file: each pattern is a component switched on or off, and the agents' decision, a binary array, overwrites the file and is sent to the clients for the next round.</t>
  </si>
  <si>
    <t>Machine-readable configuration read and written by the loop</t>
  </si>
  <si>
    <t>Sections 4.2 and 4.4, pp. 5-7</t>
  </si>
  <si>
    <t>A proposed diagram agent would draw architecture diagrams (UML, C4) as images with an image-generation model; no model-based or machine-readable architecture artefact is produced.</t>
  </si>
  <si>
    <t>Diagrams proposed as images, not models</t>
  </si>
  <si>
    <t>Section 3.3, p. 3</t>
  </si>
  <si>
    <t>The target artefact follows the C4 model and the arc42 template, with PlantUML chosen because its formal notation makes diagrams precise and tool-interpretable, and the standards because they are widely adopted and comparable with earlier benchmarks.</t>
  </si>
  <si>
    <t>C4, arc42 and PlantUML as the artefact contract</t>
  </si>
  <si>
    <t>Section III, p. 536</t>
  </si>
  <si>
    <t>Architectural knowledge is kept as machine-readable text documents (YAML, Markdown) versioned in Git, plus a decision dependency graph, and this model drives prompt generation; responses are requested as schema-validated YAML, in line with the practice of structured output from LLMs.</t>
  </si>
  <si>
    <t>Machine-readable decision model driving prompts</t>
  </si>
  <si>
    <t>Sections 3-5, pp. 5-7</t>
  </si>
  <si>
    <t>Rationale is produced as text only; a practitioner stresses visual representations such as architecture diagrams, possibly through multimodal models, and generating visual representations of decisions and their rationale is named as future work.</t>
  </si>
  <si>
    <t>Visual rationale as future work</t>
  </si>
  <si>
    <t>Sections 4.4, 5.3 and 8, pp. 25, 31, 35</t>
  </si>
  <si>
    <t>The Modeler is to produce conceptual logical and physical views and the Designer UML class, sequence and deployment diagrams as blueprints for code development, so that the design feeds end-to-end automated development; the authors note that code generation has begun to incorporate the design process.</t>
  </si>
  <si>
    <t>UML design artefacts as blueprints for code</t>
  </si>
  <si>
    <t>Sections 1, 2.1 and 2.2.3, pp. 530-532</t>
  </si>
  <si>
    <t>The output is treated as a model: the component names form a simple software architecture model that a model-based tool (TransArC) consumes in place of a manually created one, and the authors invoke model theory, since a model's purpose decides what it must contain, so names suited to traceability need not suit reverse engineering.</t>
  </si>
  <si>
    <t>Extracted names as a model consumed by a model-based tool</t>
  </si>
  <si>
    <t>Sections I, III-C and V-D, pp. 1, 4-5, 8</t>
  </si>
  <si>
    <t>Only ADRs in a recognised Markdown template were used, because structured data is easier for LLMs to process, and the output is fixed JSON; the authors propose standardising ADR formats to make LLM interpretation more consistent. No architecture model or formal notation is involved.</t>
  </si>
  <si>
    <t>Standard ADR formats proposed; no architecture model</t>
  </si>
  <si>
    <t>Sections III-C, III-E and V, pp. 3, 5, 10</t>
  </si>
  <si>
    <t>Absence: the output is a hierarchy of components, modules and files with their dependencies; no architecture description language, UML model or metamodel is produced or consumed.</t>
  </si>
  <si>
    <t>Sections III-D and V-A, pp. 345-347, 355</t>
  </si>
  <si>
    <t>Absence: answers are free text about components, tactics and rationale; no architecture model or notation is produced or used.</t>
  </si>
  <si>
    <t>Absence: no architecture model</t>
  </si>
  <si>
    <t>Sections 2-4 are where it would appear, pp. 101-108</t>
  </si>
  <si>
    <t>The model reads diagrams as images, mostly informal boxes and arrows rather than UML, together with prose; no formal architecture model or notation is used or produced.</t>
  </si>
  <si>
    <t>Informal diagrams read as images, no formal model</t>
  </si>
  <si>
    <t>Sections 1 and 3, pp. 116, 118</t>
  </si>
  <si>
    <t>The approach uses LLMs to reduce the accidental complexity of model-driven techniques: the model reads and rewrites architectures written in a metamodel-based modelling language, so that its output can return to the model-driven tool.</t>
  </si>
  <si>
    <t>LLM combined with architecture (meta)models in an MDE tool</t>
  </si>
  <si>
    <t>Abstract; Sections I-II, pp. 404-405</t>
  </si>
  <si>
    <t>Models generated formal PlantUML while real-world views are mostly semi-formal or informal, a gap that limits practical use; the notation-agnostic agent narrows it, and richer notations gave higher visual similarity.</t>
  </si>
  <si>
    <t>Formal output against semi-formal practice</t>
  </si>
  <si>
    <t>Sections III-E, IV and V-B, pp. 248, 250-251, 253</t>
  </si>
  <si>
    <t>The architecture is given as a machine-readable JSON computation graph, not a formal architecture model; an architecture specification language for ROS2 (rospec) is planned as an alternative representation.</t>
  </si>
  <si>
    <t>JSON topology; formal specification language planned</t>
  </si>
  <si>
    <t>Sections 4.4 and 9, pp. 4, 11</t>
  </si>
  <si>
    <t>The mentor works only in text, and students draw the diagrams themselves; models able to generate a visual representation of the architecture are named as a direction for the mentor.</t>
  </si>
  <si>
    <t>Text only; visual generation proposed</t>
  </si>
  <si>
    <t>Sections 5.3 and 7, pp. 8, 11</t>
  </si>
  <si>
    <t>The architectures are specified in architecture DSLs, one external (EDL) and two internal (Scala, Python), and the authors aim to use LLMs to simplify creating DEECo architectures in them; the representation of the architecture strongly affects how well the model understands it.</t>
  </si>
  <si>
    <t>LLMs for DSL-specified architectures; representation matters</t>
  </si>
  <si>
    <t>Abstract; Sections 1-2 and 4.2, pp. 208-213, 219</t>
  </si>
  <si>
    <t>Integrating model decompositions with modelling environments, white-boarding and low-code tools, formal verification, model checkers and ATAM or CBAM evaluation is proposed.</t>
  </si>
  <si>
    <t>Integration with modelling and evaluation tools proposed</t>
  </si>
  <si>
    <t>Section 5, p. 87</t>
  </si>
  <si>
    <t>The model is to write model code conforming to a formal metamodel (CodeableModels in Python), from which UML views are generated, rather than drawing diagrams directly, so that later pipeline stages can process the model.</t>
  </si>
  <si>
    <t>Metamodel-conformant model code as the target</t>
  </si>
  <si>
    <t>Section 5, p. 164</t>
  </si>
  <si>
    <t>Architectures are requested as diagram-as-code (PlantUML) for machine-readable, consistent outputs; C4 or architecture-as-code (typed source code reverse-engineered into diagrams and metrics) are proposed as alternatives, and external tools taking an architectural representation are proposed for computing metrics.</t>
  </si>
  <si>
    <t>Diagram-as-code outputs; architecture-as-code proposed</t>
  </si>
  <si>
    <t>Sections 3 and 6, pp. 6-7, 23-24</t>
  </si>
  <si>
    <t>The model reads the diagrams as images, from informal box-and-arrow sketches to UML-style notations, together with prose; no formal model is used or produced; generating diagrams from textual descriptions is named as future work.</t>
  </si>
  <si>
    <t>Diagrams read as images; diagram generation as future work</t>
  </si>
  <si>
    <t>Sections 3.4 and 8, pp. 91, 95</t>
  </si>
  <si>
    <t>Architecture is treated as code: artefacts are machine-readable and version-controllable, an architecture-as-code specification is generated and rendered with Mermaid and PlantUML, the framework is meant to complement MBSE, C4 and Structurizr, and support for more ADLs is planned.</t>
  </si>
  <si>
    <t>Architecture-as-code with Mermaid and PlantUML; more ADLs planned</t>
  </si>
  <si>
    <t>Sections 2.1, 4, 4.1, 4.3 and 5, pp. 4, 9, 11-14</t>
  </si>
  <si>
    <t>The recovered component tree is converted into a standardised UML component diagram in PlantUML, presented as supporting comprehension and re-engineering.</t>
  </si>
  <si>
    <t>Recovered architecture exported as PlantUML component diagrams</t>
  </si>
  <si>
    <t>Sections I and VIII, pp. 493, 502</t>
  </si>
  <si>
    <t>The authors aim at an LLM-friendly ADL: by determining which concrete syntax, semantics and metadata let an LLM interpret an architecture correctly, an ADL could be designed that trades expressiveness against correct interpretability; three expressiveness variants of the workflow ADL are compared as a first step.</t>
  </si>
  <si>
    <t>Towards an LLM-friendly ADL</t>
  </si>
  <si>
    <t>Abstract; Sections 1 and 4.1, pp. 608, 613</t>
  </si>
  <si>
    <t>Generated decompositions are checked by an executable Lean 4 kernel over an explicit structural abstraction, turning structural assumptions into formal checks; richer invariants (cycles, bounded contexts, communication style, ownership) are planned.</t>
  </si>
  <si>
    <t>Formal validation of generated architectures in Lean 4</t>
  </si>
  <si>
    <t>Sections 1, 3, 5 and 6, pp. 366-370</t>
  </si>
  <si>
    <t>Outputs are generated as PlantUML text rather than images, which the authors found gives much better results, and each diagram is read as a formal graph from which the indicators are computed; diagrams are presented as a step towards code stubs generated by modelling tools.</t>
  </si>
  <si>
    <t>PlantUML output and a formal graph model of the diagram</t>
  </si>
  <si>
    <t>Sections II, III and III-B, pp. 292-295</t>
  </si>
  <si>
    <t>The model is forced to produce JSON against a schema, which a validation layer checks before the structures are converted to PlantUML C4 diagrams, decoupling the architectural content from its visual layout.</t>
  </si>
  <si>
    <t>Schema-validated JSON converted to PlantUML C4</t>
  </si>
  <si>
    <t>A UML-based modelling concept acts as the blueprint, recovered models are written in PlantUML and validated deterministically against its structural constraints, and future work is to formalise the concept as a UML profile or metamodel.</t>
  </si>
  <si>
    <t>UML blueprint, PlantUML output, planned profile or metamodel</t>
  </si>
  <si>
    <t>Sections 4.1 and 6, pp. 105, 112</t>
  </si>
  <si>
    <t>The template ties the model's output to ISO/IEC/IEEE 42010 concepts, SEI Views &amp; Beyond viewtypes and the four C4 levels, aligned with architecture as code, and diagrams are generated as textual PlantUML and rendered as images; the diagrams were nonetheless the most criticised part of the output.</t>
  </si>
  <si>
    <t>Standards-based template; diagrams as PlantUML</t>
  </si>
  <si>
    <t>Sections III-A, III-B and V-D, pp. 203-204, 209</t>
  </si>
  <si>
    <t>Infrastructure-as-code artefacts (deployment, orchestration and configuration descriptors) are used as the evidence for architecture, on the reasoning that many architecture patterns express themselves in how components are deployed and connected rather than in source code.</t>
  </si>
  <si>
    <t>IaC artefacts as architectural evidence</t>
  </si>
  <si>
    <t>Sections I and III, pp. 161-162</t>
  </si>
  <si>
    <t>The representation of the architecture matters: the external DSL (EDL) was understood best, the Python-based internal DSL better than the Scala-based one, and several models wrongly assumed that the Scala application used the Akka framework.</t>
  </si>
  <si>
    <t>External DSL best; Python over Scala; Akka assumed</t>
  </si>
  <si>
    <t>Sections 4.5 and 6, pp. 650-651, 654</t>
  </si>
  <si>
    <t>Generated designs are drawn directly as SysML models in TTool, where they can be simulated and verified; the authors present this as the first direct integration of ChatGPT into a model-based systems engineering toolkit.</t>
  </si>
  <si>
    <t>LLM integrated into an MBSE toolkit</t>
  </si>
  <si>
    <t>Sections 2.2, 3.1 and 6, pp. 28-29, 37</t>
  </si>
  <si>
    <t>Consistency between analysis views (use cases) and design views (blocks) is handled inside an MDE toolkit with formal SysML semantics, and the approach is meant to extend to other diagram pairs and, through TTool's command line, to other modelling tools.</t>
  </si>
  <si>
    <t>Cross-view consistency inside an MDE toolkit</t>
  </si>
  <si>
    <t>Sections 2.3, 4 and 7, pp. 2-3, 5, 11</t>
  </si>
  <si>
    <t>The model emits PlantUML code that is rendered as diagrams, and the authors present the completeness and correctness metrics as adaptable to other modelling languages such as BPMN and ER diagrams.</t>
  </si>
  <si>
    <t>PlantUML code rendered as models</t>
  </si>
  <si>
    <t>Sections 3.3-3.4, p. 9</t>
  </si>
  <si>
    <t>The LLM is integrated in an MDE toolkit with formal SysML semantics, model checking and a mutation language, and the authors plan to have it generate CTL* properties from models and requirements.</t>
  </si>
  <si>
    <t>LLM inside an MDE toolkit with formal verification</t>
  </si>
  <si>
    <t>TTool-AI: An Overview, pp. 3-4; Evaluation, p. 16; Conclusions, p. 17</t>
  </si>
  <si>
    <t>UML artefacts are requested in PlantUML, following evidence that ChatGPT makes fewer syntax errors with it, and PlantUML was needed to get an acceptable subsystem division.</t>
  </si>
  <si>
    <t>PlantUML as the model format</t>
  </si>
  <si>
    <t>Sections 3.4 and 4, pp. 3-4</t>
  </si>
  <si>
    <t>Consistency between analysis and design views is handled inside an MDE toolkit with formal SysML semantics: consistency rules are formalised, a bijection between design models and dependency graphs is proved, and the authors present the work as combining formal methods with AI.</t>
  </si>
  <si>
    <t>Formal rules and proofs with LLMs in MDE</t>
  </si>
  <si>
    <t>Sections 3-4, pp. 7-24; Section 7, pp. 35-36</t>
  </si>
  <si>
    <t>The authors note that practical tools for architects remain limited and that AI in early design stages such as decision-making is underexplored, and they expect AI to become an indispensable part of the architect's toolkit.</t>
  </si>
  <si>
    <t>AI expected to become a standard part of the architect's toolkit</t>
  </si>
  <si>
    <t>4.3 Human-AI collaboration and the changing role of the architect</t>
  </si>
  <si>
    <t>Sections 1, 3 and 7, pp. 2, 6, 16</t>
  </si>
  <si>
    <t>Grey and peer-reviewed sources agree that generative AI is a tool for architects and not a replacement: it lacks business context, subjective judgement and personal accountability, and must support rather than replace human expertise.</t>
  </si>
  <si>
    <t>Support, not replacement, of the architect</t>
  </si>
  <si>
    <t>Sections 5.1 and 5.3, p. 17</t>
  </si>
  <si>
    <t>The literature is said to foresee a discipline in which human experts manage projects while generative agents prototype or deliver tasks, which the authors expect only once trust is established and evaluation metrics exist.</t>
  </si>
  <si>
    <t>Architects as managers of agent-delivered work</t>
  </si>
  <si>
    <t>Section 5.1, p. 17</t>
  </si>
  <si>
    <t>The architect’s effort moves from refining recovery results by hand to reading an already refined hierarchy at the chosen level of abstraction, with module summaries to speed understanding where documentation is missing.</t>
  </si>
  <si>
    <t>Architect freed from manual refinement</t>
  </si>
  <si>
    <t>Sections 1, 4.2.2 and 5.1, pp. 1688, 1695, 1697</t>
  </si>
  <si>
    <t>Model-based generation is presented as an exploratory, reflective activity, and the authors call for studies comparing generated decompositions with architects’ own reasoning.</t>
  </si>
  <si>
    <t>Alignment with architects’ reasoning as the next step</t>
  </si>
  <si>
    <t>The person is expected to complete and correct the model's draft by supplying the rationale the model cannot see in the commit, so the why of a decision stays with the architect.</t>
  </si>
  <si>
    <t>Architect supplies the rationale the model misses</t>
  </si>
  <si>
    <t>Knowledge-based decision support (the decision tree) and data-driven support (the model) are presented as synergistic, with the model answering the questions a human architect would answer and the method making the selection.</t>
  </si>
  <si>
    <t>Model answers, the decision method selects</t>
  </si>
  <si>
    <t>Section I, p. 276; Section VI-B, p. 282</t>
  </si>
  <si>
    <t>AI tutoring is aimed at novice architects in universities, vocational schools and company training, with teachers reviewing generated reference architectures; the authors present this as vital for teaching software design at scale.</t>
  </si>
  <si>
    <t>AI tutors for novice architects</t>
  </si>
  <si>
    <t>Section III-A and III-C, p. 94; Section V, p. 96</t>
  </si>
  <si>
    <t>The architect becomes an in-the-loop collaborator who reviews and corrects each step, rather than a validator of the finished result as in MAAD; LLMs are called good co-architects, and the most domain-experienced evaluator caught scalability consequences of the model's structuring decision that the model and the less specialised evaluators missed.</t>
  </si>
  <si>
    <t>Architect as in-the-loop reviewer of a co-architect</t>
  </si>
  <si>
    <t>Sections II-F, VI-C and VIII, pp. 3, 13-14</t>
  </si>
  <si>
    <t>An agent is cast as 'an intelligent system architect' that selects patterns each round in place of a fixed design-time checklist, and the human architect's role moves to choosing the coordination strategy: a global strategy when patterns interact, and debate when decision quality matters more than predictable decision time.</t>
  </si>
  <si>
    <t>Agent as runtime architect; the architect chooses the coordination</t>
  </si>
  <si>
    <t>Sections 4.1 and 6.3, pp. 4, 13</t>
  </si>
  <si>
    <t>Automating architecture knowledge management is meant to reduce architects' workload: the architect configures and supervises the agent workflow, and the authors plan an architect-in-the-loop model for closer human-agent collaboration.</t>
  </si>
  <si>
    <t>Architect as supervisor of agents; architect in the loop planned</t>
  </si>
  <si>
    <t>Sections 3 and 6, pp. 2, 4</t>
  </si>
  <si>
    <t>Bounded interaction casts the architect as an oracle answering a fixed budget of clarification questions, and the study plans to test whether this raises practitioners' perceived controllability and acceptance (H4) and whether the effort of supplying facts and answers pays off (H3).</t>
  </si>
  <si>
    <t>Architect as oracle; controllability and effort to be tested</t>
  </si>
  <si>
    <t>The authors expect specifications to remain necessary, at a rising level of abstraction, with the architect relieved of prompt writing; citing a practitioner article, they aim to help architects learn how to use AI well.</t>
  </si>
  <si>
    <t>Specifications remain; architects learn to use AI</t>
  </si>
  <si>
    <t>Sections 1 and 5, pp. 2, 7</t>
  </si>
  <si>
    <t>Practitioners keep the judgement: generated rationale supplements their understanding and is validated by them, in one view through discussion among several experts. The new work for the architect is collecting and supplying project context, which all six named as the main cost and which the authors propose to hand to an agent.</t>
  </si>
  <si>
    <t>Architect validates and supplies context</t>
  </si>
  <si>
    <t>Sections 4.4 and 5.3, pp. 24-25, 30-31</t>
  </si>
  <si>
    <t>The architect's roles are to be taken over by agents; architects contribute their tacit knowledge through interviews, workshops, surveys and Delphi rounds, and stakeholders clarify requirements, but no human review of the design is specified: the process ends when the Evaluator agent confirms the artefacts.</t>
  </si>
  <si>
    <t>Architects as knowledge sources, not reviewers</t>
  </si>
  <si>
    <t>Sections 1, 2.1, 3.3 and 5, pp. 530-531, 533</t>
  </si>
  <si>
    <t>Absence: how the architect's work changes is not discussed; the aim is only to remove the manual creation of architecture models, and no one is said to review the generated ones.</t>
  </si>
  <si>
    <t>Absence: no discussion of the architect's role</t>
  </si>
  <si>
    <t>Sections I and VI are where it would appear, pp. 1, 10</t>
  </si>
  <si>
    <t>Architects keep the final judgement: LLMs act as 'second readers' that flag potential violations and help navigate large repositories, while architectural reasoning that depends on implicit constraints, historical context and system-level behaviour stays with people; hybrid human-in-the-loop workflows are the stated way forward.</t>
  </si>
  <si>
    <t>Architects keep judgement; models as second readers</t>
  </si>
  <si>
    <t>Section V, pp. 9-10</t>
  </si>
  <si>
    <t>Manual recovery is said to take hundreds of hours even for experienced architects, and fully automated recovery is presented as reducing manual intervention and lightening the architect's workload.</t>
  </si>
  <si>
    <t>Automation replaces manual recovery effort</t>
  </si>
  <si>
    <t>Sections I and VI-A, pp. 338, 357</t>
  </si>
  <si>
    <t>The engineer's role is to filter and verify: LLM answers can seed initial architectural documentation and preliminary answers, but must be checked because of their many false positives.</t>
  </si>
  <si>
    <t>Engineers filter and verify model answers</t>
  </si>
  <si>
    <t>Human oversight and awareness of context remain indispensable; the authors propose integrating the model into architecture-centric workflows for early-stage diagram review, consistency checking and documentation refinement, and into real-world architecture workflows as future work.</t>
  </si>
  <si>
    <t>Model as a first reviewer, experts keep oversight</t>
  </si>
  <si>
    <t>Sections 5 and 6, pp. 121-122</t>
  </si>
  <si>
    <t>The architect keeps the decision: because each architecture has its own purpose, several fixes may be valid, and the choice among them, and approval of the suggested change, rests with the architect.</t>
  </si>
  <si>
    <t>Architect chooses among valid fixes and approves</t>
  </si>
  <si>
    <t>Sections I, III-C and IV-E, pp. 404, 407-408</t>
  </si>
  <si>
    <t>Human expertise remains necessary: generated views should be used with appropriate caution and oversight to bootstrap documentation and review workflows.</t>
  </si>
  <si>
    <t>Oversight; views bootstrap documentation</t>
  </si>
  <si>
    <t>Developers should know the models' limits and differences, take special care with system-level entities when prompting, and use several models; human verification of the answers is planned.</t>
  </si>
  <si>
    <t>Caution, several models, human verification</t>
  </si>
  <si>
    <t>LLMs may not replace traditional teaching but add to the instructors' tools; the authors call for combining LLMs with more interactive, human-centred educational methods, with the student kept as the designer.</t>
  </si>
  <si>
    <t>Mentor adds to teaching; human-centred use called for</t>
  </si>
  <si>
    <t>Section 7, p. 11</t>
  </si>
  <si>
    <t>LLMs are most effective when guided by an architect who spells out the steps of synthesis, evaluates the model's suggestions and decides which patterns to keep; the authors call for studies of practitioner adoption and human-in-the-loop refinement.</t>
  </si>
  <si>
    <t>Architect guides and decides; human-in-the-loop studies called for</t>
  </si>
  <si>
    <t>Sections VI-A and VI-B, pp. 406-408</t>
  </si>
  <si>
    <t>Designers remained central: they treated the model's responses as straw men and boundary objects to debate, valued their human partner over working alone with the model, and wanted to stay in control; the authors propose tools that keep the designer firmly in control.</t>
  </si>
  <si>
    <t>Designers central; model output as straw man</t>
  </si>
  <si>
    <t>Sections 4.3, 4.4.3 and 5, pp. 1788-1790</t>
  </si>
  <si>
    <t>Humans must still make architectural decisions: design combines divergent and convergent thinking, and models help with the former, generating options, while the architect converges on a choice; workshop groups agreed that AI should support, not replace, human creativity and critical thinking.</t>
  </si>
  <si>
    <t>Models for divergent thinking, architects decide</t>
  </si>
  <si>
    <t>Workshop summary; closing section, pp. 93-94</t>
  </si>
  <si>
    <t>LLM decompositions should be reviewed and refined by architects, and the authors propose interactive architecture workbenches in which architects inspect generated views and guide decomposition iteratively.</t>
  </si>
  <si>
    <t>Architect review; interactive workbenches proposed</t>
  </si>
  <si>
    <t>Sections VI-A, VI-B and VIII, pp. 276-277</t>
  </si>
  <si>
    <t>Human-in-the-loop workflows in which architects iteratively refine generated decompositions and feed corrections back to the model are proposed; architects and non-technical stakeholders would refine the output through prompts and feedback.</t>
  </si>
  <si>
    <t>Iterative human refinement proposed</t>
  </si>
  <si>
    <t>Sections 5 and 7, pp. 87-88</t>
  </si>
  <si>
    <t>A human stays in the loop only for pipeline generation; no human review is specified for the generated architecture models or the LLM conformance results.</t>
  </si>
  <si>
    <t>No human review specified for architectural tasks</t>
  </si>
  <si>
    <t>Sections 3 and 5, pp. 160, 164-165</t>
  </si>
  <si>
    <t>No architect judged the generated ADRs; longitudinal deployment studies of developer acceptance and workflow integration are proposed.</t>
  </si>
  <si>
    <t>Deployment and acceptance studies proposed</t>
  </si>
  <si>
    <t>Sections 5.3 and 7, pp. 9-10</t>
  </si>
  <si>
    <t>Humans prepare the specification and strategy; the authors propose that people inspect and edit the model's textual inputs and outputs to steer adaptation, and that the model ask an operator about a small, critical part of a decision when uncertain.</t>
  </si>
  <si>
    <t>Human steering and model-initiated questions proposed</t>
  </si>
  <si>
    <t>Sections 6.3.1 and 6.9.6, pp. 6, 12</t>
  </si>
  <si>
    <t>People stay in the loop: stakeholders must correct unsupported additions, confirm decision status and decide which ADRs enter the record, and future versions are to expose status and granularity so that users can inspect, split, merge or reclassify candidate decisions.</t>
  </si>
  <si>
    <t>Human review of drafts; controls over status and granularity</t>
  </si>
  <si>
    <t>Sections 6 and 8, pp. 5-6</t>
  </si>
  <si>
    <t>Interactive, uncertainty-aware workflows that surface low-salience candidates and weakly supported links for the architect's confirmation are proposed.</t>
  </si>
  <si>
    <t>Uncertainty-aware human triage proposed</t>
  </si>
  <si>
    <t>The authors frame the model as a hypothesis generator, not an authority: its feedback is triaged as agree, partially agree or disagree with short justifications, action items are taken only when agreement is reasoned and grounded in the artefacts, and high-stakes judgements stay with experts.</t>
  </si>
  <si>
    <t>Architect triages model feedback as hypotheses</t>
  </si>
  <si>
    <t>Sections 5 and 7, pp. 94-95</t>
  </si>
  <si>
    <t>Responsibilities are divided per DSM activity (Table 2): the architect defines goals and constraints, selects strategies and validates, while the agent structures input, generates candidates and artefacts and checks consistency; artefacts emerge through iterative co-creation, and multi-user workflows with role-adaptive explanations are planned.</t>
  </si>
  <si>
    <t>Role split per activity; co-creation; multi-user workflows planned</t>
  </si>
  <si>
    <t>Sections 4.2 and 5, pp. 11-12, 14</t>
  </si>
  <si>
    <t>No engineer takes part in the recovery; feedback loops for interactive refinement with software engineers are planned.</t>
  </si>
  <si>
    <t>Interactive refinement with engineers planned</t>
  </si>
  <si>
    <t>Section VIII, p. 502</t>
  </si>
  <si>
    <t>An interactive human-in-the-loop workbench for verified architectural exploration is planned.</t>
  </si>
  <si>
    <t>Human-in-the-loop workbench planned</t>
  </si>
  <si>
    <t>Section 6, p. 370</t>
  </si>
  <si>
    <t>A human-in-the-loop workflow is proposed in which the model assigns preliminary guideline scores, flags low-scoring or uncertain items and drafts comments, and architects, developers or technical leads validate or reject them; interactive review workflows are future work.</t>
  </si>
  <si>
    <t>Model drafts and flags, architects validate</t>
  </si>
  <si>
    <t>The agent is to balance automation and oversight: architects are drawn in for critical conflicts and ambiguous decisions, and interaction patterns for clarification, confirmation and feedback must respect developers' workflows and cognitive load.</t>
  </si>
  <si>
    <t>Balancing automation with architects in the loop</t>
  </si>
  <si>
    <t>Sections 3.4 and 4, pp. 489-490</t>
  </si>
  <si>
    <t>The workflow does not replace the architect's expertise: using it to detect drift depends on the practitioner's tacit knowledge of the system, and the architect's work moves from manual diagramming towards validating the structural discrepancies the diagrams expose.</t>
  </si>
  <si>
    <t>Architect shifts from drawing to validating; tacit knowledge needed</t>
  </si>
  <si>
    <t>Sections 6.1 and 7, pp. 4, 6</t>
  </si>
  <si>
    <t>The framework is meant to let non-experts carry out trade-off analyses under supervision, with humans guiding, validating and revising the model's results rather than performing the analysis themselves.</t>
  </si>
  <si>
    <t>Non-experts analyse with the model; humans guide and validate</t>
  </si>
  <si>
    <t>Sections I, III-C and IV, pp. 114, 116</t>
  </si>
  <si>
    <t>A user interface is being developed for effective collaboration between the architect and the AI, integrating AI-generated insights transparently so that decisions are justified and traceable, which the authors expect to reduce the risk of deskilling and foster learning.</t>
  </si>
  <si>
    <t>Collaborative interface against deskilling</t>
  </si>
  <si>
    <t>Section 6, p. 125</t>
  </si>
  <si>
    <t>The evaluation shifted from a general quality statement for municipalities to detailed feedback for developers and architects to improve their documentation, and the authors see plugins for tools such as Enterprise Architect or draw.io giving feedback during design.</t>
  </si>
  <si>
    <t>Feedback to architects; plugins in design tools</t>
  </si>
  <si>
    <t>Sections 5.1 and 6, pp. 10, 17</t>
  </si>
  <si>
    <t>ADR tooling could suggest missing sections, surface likely quality concerns and attach metadata inferred from decision taxonomies and topics, and LLM-powered tools could help practitioners write better ADRs from basic inputs and project context.</t>
  </si>
  <si>
    <t>Tool support for writing and reviewing ADRs</t>
  </si>
  <si>
    <t>Sections 5 and 6, pp. 14-15</t>
  </si>
  <si>
    <t>Participants judged documentation of systems they had built; their suggestions were to cross-check it against existing documentation and add human input, and the authors plan to study human-in-the-loop refinement and how CIAO supports documentation and maintenance workflows.</t>
  </si>
  <si>
    <t>Human input and review as the next step</t>
  </si>
  <si>
    <t>Sections V-D and VII, pp. 209-210</t>
  </si>
  <si>
    <t>The authors see LLMs as assistants that could help novice developers learn and apply a complex architecture, while human expertise remains needed to judge the fitness of their recommendations; developer feedback on the outputs is planned.</t>
  </si>
  <si>
    <t>Assistant for novices; human expertise still needed</t>
  </si>
  <si>
    <t>Sections II and VI, pp. 6-7, 9</t>
  </si>
  <si>
    <t>RQ3 plans an experiment in which industry and academic participants name the pattern instances they know to be present, compared with MicroPAD's output, followed by a survey on how its results changed their knowledge of the architecture; the author expects the tool to democratise access to this kind of architecture knowledge.</t>
  </si>
  <si>
    <t>Planned comparison with practitioners; democratised access</t>
  </si>
  <si>
    <t>Sections III and VI, pp. 163, 165</t>
  </si>
  <si>
    <t>The authors expect both less experienced and highly skilled team members to benefit, novices from new knowledge and experts from validation and offloading low-value work, and see ChatGPT as a facilitator for health researchers across the development life cycle.</t>
  </si>
  <si>
    <t>Novices learn, experts offload; facilitator role</t>
  </si>
  <si>
    <t>Discussion, pp. 11-12; Conclusions, p. 12</t>
  </si>
  <si>
    <t>The study is framed as evidence on human-AI collaboration: ChatGPT addressed novices' skill gaps and improved their learning, while students worried that over-reliance could hinder their skill development.</t>
  </si>
  <si>
    <t>Bot fills skill gaps; over-reliance feared</t>
  </si>
  <si>
    <t>Section 1, p. 2; Section 4.1, pp. 4-5; Section 5, p. 7</t>
  </si>
  <si>
    <t>The authors conclude that LLM-generated diagrams need post-generation validation and call for hybrid human-LLM collaboration in education and practice, with the model covering structural breadth and people supplying notational and semantic precision.</t>
  </si>
  <si>
    <t>Hybrid human-LLM modelling</t>
  </si>
  <si>
    <t>Section 5, p. 17; Appendix B, p. 26</t>
  </si>
  <si>
    <t>The authors frame their findings as a balance between AI support and human oversight: ChatGPT eases documentation, but human input remains needed to refine its responses.</t>
  </si>
  <si>
    <t>Balance of AI support and oversight</t>
  </si>
  <si>
    <t>Section 1, p. 1; Section 6, p. 5</t>
  </si>
  <si>
    <t>The authors keep people in charge of the response: a warning prompts the team to look at the planned dependency structure, review the change or write architecture rules, and some smells may be deliberate trade-offs that the predictor cannot tell from accidental degradation.</t>
  </si>
  <si>
    <t>Warnings inform the team; deliberate trade-offs not recognised</t>
  </si>
  <si>
    <t>Sections VII-A and VII-C, pp. 52-53</t>
  </si>
  <si>
    <t>People stay in the loop at both ends: developers receive the drift comment on their pull request, and architects review flagged drift and query development activity in natural language instead of tracking it manually; the authors describe the shift as moving governance from post-hoc review to continuous enforcement.</t>
  </si>
  <si>
    <t>Developers get PR feedback; architects review and query</t>
  </si>
  <si>
    <t>Sections 2.4, 3.1 and 5, pp. 1333-1335</t>
  </si>
  <si>
    <t>Runtime data such as execution traces, system logs and performance metrics is presented as feeding back into design, identifying bottlenecks and high-coupling areas so that service boundaries can be refined continuously, which the authors describe as bridging design and runtime.</t>
  </si>
  <si>
    <t>Runtime traces feed back to refine service boundaries</t>
  </si>
  <si>
    <t>4.4 Movement from design-time assistance towards runtime and continuous architecting</t>
  </si>
  <si>
    <t>Sections 5.2 (Q4, Q5) and 5.3, pp. 13-14</t>
  </si>
  <si>
    <t>Deep and reinforcement learning are named as a trend for adapting microservices to real-time conditions, including deep Q-learning for self-adaptive distributed microservices, but the adaptation described concerns resource allocation and performance rather than the architecture.</t>
  </si>
  <si>
    <t>Learning-based runtime adaptation of resources, not structure</t>
  </si>
  <si>
    <t>Section 5.2 (Q1, Q4), pp. 10, 12-13</t>
  </si>
  <si>
    <t>Evolution, continuous architecture and DevOps integration are named as a direction: once generative AI manages code, reinforcement learning should optimise the architecture, and tooling could adjust systems to their usage by monitoring requests, traces, hardware resources and costs, while coping with hallucination and architectural degradation.</t>
  </si>
  <si>
    <t>Continuous, usage-driven architecture optimisation as future work</t>
  </si>
  <si>
    <t>Self-adaptive architecture is the target style of one source only (2%), an IoT system generated through mixed-initiative interaction, and architecture-to-architecture change is the least explored transition (3%), which the authors read as little interest in changing or reorganising existing architectures.</t>
  </si>
  <si>
    <t>Self-adaptive architecture and architecture change barely studied</t>
  </si>
  <si>
    <t>Sections 4.3.1 and 4.3.2; Tables 14 and 15, pp. 11-13</t>
  </si>
  <si>
    <t>The motivation is continuous: architecture drifts and erodes under maintenance and inconsistencies should be detected in time, yet the refinement runs once, offline, on a snapshot of the code; repeating or updating it as the system changes is not addressed.</t>
  </si>
  <si>
    <t>Erosion motivates timely detection; method is a one-off snapshot</t>
  </si>
  <si>
    <t>Sections 1 and 3, pp. 1687-1692</t>
  </si>
  <si>
    <t>Runtime traces are named only as a future source of evidence to constrain or validate generated structures; the transformation itself is a one-off, early modernisation step.</t>
  </si>
  <si>
    <t>Runtime data only as future validation evidence</t>
  </si>
  <si>
    <t>Commits are presented as the most consistently available record of how an architecture evolves, and recovery from them is aimed at automated knowledge management; the input is development history, not the running system.</t>
  </si>
  <si>
    <t>Recovery from evolution history, not runtime</t>
  </si>
  <si>
    <t>Abstract; Sections 1 and 2, pp. 1-3</t>
  </si>
  <si>
    <t>The authors reject big design up front: a few ADD iterations start a project, code is generated from the design, and further design rounds follow, whose effect on the documentation and the code they plan to study.</t>
  </si>
  <si>
    <t>Repeated design rounds instead of big design up front</t>
  </si>
  <si>
    <t>Sections III and VIII, pp. 4, 15</t>
  </si>
  <si>
    <t>Architectural patterns become runtime-reconfigurable: their activation is raised from a static design-time decision to a decision taken every round in a MAPE-K loop, and the authors present reconfiguring the architecture itself as an adaptation dimension complementary to tuning training parameters.</t>
  </si>
  <si>
    <t>Architectural decisions moved from design time to runtime</t>
  </si>
  <si>
    <t>Sections 1, 3.3-3.4, 4.1 and 7, pp. 1-2, 4, 14</t>
  </si>
  <si>
    <t>The aim is to keep architecture knowledge current as systems evolve, but the approach runs once over a repository; changes after that run and runtime information are not addressed.</t>
  </si>
  <si>
    <t>Knowledge kept current in aim, one-off in practice</t>
  </si>
  <si>
    <t>Sections 1 and 4.1, pp. 1, 3</t>
  </si>
  <si>
    <t>Drift between the documented, implemented, believed and intended architectures of long-lived systems motivates the work, but recovery is a one-off run over a repository snapshot.</t>
  </si>
  <si>
    <t>Drift motivates, recovery stays one-off</t>
  </si>
  <si>
    <t>Sections I and VI, pp. 534, 539-540</t>
  </si>
  <si>
    <t>Continuous use is envisaged: AI is to screen the ADR log for decisions to reconsider after context changes or technology evolution, track recovered decisions over time, and integrate with CI/CD pipelines.</t>
  </si>
  <si>
    <t>Revisiting decisions as context changes</t>
  </si>
  <si>
    <t>Section 2 and Table 1, p. 3</t>
  </si>
  <si>
    <t>Guiding architectural evolution is one of the four uses practitioners name: when a new module requires changes to an existing architecture, rationale can help to see how to update it, assess the impact of the change and keep updated components compatible. The study itself works on decisions already taken, at design time.</t>
  </si>
  <si>
    <t>Guiding evolution named as a use</t>
  </si>
  <si>
    <t>Section 4.4, p. 25</t>
  </si>
  <si>
    <t>The agents' own workflow is to adapt to evolving requirements and task complexity, with roles that evolve dynamically, but the architecture is designed once, before implementation; operation of the designed system is not considered.</t>
  </si>
  <si>
    <t>Adaptive agent workflow, one-off design</t>
  </si>
  <si>
    <t>Nothing operates at runtime: models and trace links are recovered once from documentation and code, although trace links are introduced as something to establish, maintain and manage over a system's life.</t>
  </si>
  <si>
    <t>Traceability for maintenance, recovered once</t>
  </si>
  <si>
    <t>Section I, p. 1</t>
  </si>
  <si>
    <t>Violation detection is motivated by architectures drifting from their design over time, and early detection is called critical, but the analysis runs once over repository snapshots; decisions that depend on runtime behaviour or resource consumption were among those the models misjudged.</t>
  </si>
  <si>
    <t>Drift motivates, analysis runs once</t>
  </si>
  <si>
    <t>Sections I and IV-C, pp. 1, 8-9</t>
  </si>
  <si>
    <t>Recovery is motivated by drift and erosion as systems evolve and aims at a system's 'real-time' architecture, but it runs once on a code snapshot; keeping the recovered architecture current is not addressed.</t>
  </si>
  <si>
    <t>Drift motivates, recovery runs once</t>
  </si>
  <si>
    <t>Sections I and III, pp. 338, 341</t>
  </si>
  <si>
    <t>Absence: the questions concern the documented architecture of a built system; how it evolves or runs is not considered.</t>
  </si>
  <si>
    <t>Absence: no evolution or runtime</t>
  </si>
  <si>
    <t>Absence: the diagrams are static documentation taken from repositories, and accuracy is judged against their textual descriptions, not against the code or the running system.</t>
  </si>
  <si>
    <t>Absence: no check against code or running system</t>
  </si>
  <si>
    <t>Section 3 is where it would appear, pp. 118-119</t>
  </si>
  <si>
    <t>'Continuous conformance' is a distance that estimates how far an architecture under development conforms to a reference architecture, checked incrementally without blocking the design; the recommender works at design time, and real-time recommendations inside the tool are future work.</t>
  </si>
  <si>
    <t>Continuous conformance at design time, not runtime</t>
  </si>
  <si>
    <t>Sections I-II and VI, pp. 404-405, 409</t>
  </si>
  <si>
    <t>The study is motivated by views that are never updated and by architecture degradation under rapid evolution, but each view is generated once from a snapshot of the repository; regenerating views as the system changes is not studied.</t>
  </si>
  <si>
    <t>Stale views motivate it; one-off generation</t>
  </si>
  <si>
    <t>Sections I and V-C, pp. 245, 253</t>
  </si>
  <si>
    <t>The architecture is taken from the running system, and the authors propose a knowledge base of architectural tactics from which LLMs recommend applicable tactics at development time or at runtime, leading to LLM-supported architectural self-adaptation for ROS2 systems.</t>
  </si>
  <si>
    <t>LLM-supported architectural self-adaptation proposed</t>
  </si>
  <si>
    <t>Sections 4.4, 4.7 and 7, pp. 4, 10</t>
  </si>
  <si>
    <t>The architectures are collective adaptive systems whose ensembles form at runtime, and the model predicts which ensembles form in a given state, but it is used during design; the authors contrast this with work that uses an LLM inside the running system to make adaptation decisions.</t>
  </si>
  <si>
    <t>Runtime ensemble formation predicted at design time</t>
  </si>
  <si>
    <t>Sections 4 and 5, pp. 216, 221</t>
  </si>
  <si>
    <t>Decomposition uses static code only; incorporating runtime traces alongside static dependencies is proposed to capture operational coupling.</t>
  </si>
  <si>
    <t>Runtime traces proposed for decomposition</t>
  </si>
  <si>
    <t>A CI/CD step could update a candidate service-boundary map when new user stories arrive, and combining model decompositions with static and runtime analysis could detect drift between intended and actual service topologies as systems evolve.</t>
  </si>
  <si>
    <t>Continuous boundary updates and drift detection proposed</t>
  </si>
  <si>
    <t>Architectural model generation and conformance checks are stages of a CI/CD pipeline that runs on code changes or on model performance drift in production, with the knowledge base updated more often, so architecting becomes continuous; the authors describe this as continuous, self-adapting architectural guidance.</t>
  </si>
  <si>
    <t>Architecture checks as CI/CD stages, triggered by drift</t>
  </si>
  <si>
    <t>Sections 1, 3.1 and 5, pp. 156, 160-161, 164</t>
  </si>
  <si>
    <t>Generation follows each repository's decision history as it evolves, and linking ADRs to the code they govern is proposed to reveal when implementations deviate from documented intent and whether ADRs stay synchronised with evolving code.</t>
  </si>
  <si>
    <t>ADR-code linking to detect drift proposed</t>
  </si>
  <si>
    <t>Sections 1, 3.3.1 and 5.2.2, pp. 2-3, 9</t>
  </si>
  <si>
    <t>The model changes the architecture of the running system: at each period it regroups components into ensembles as part of the adaptation manager, with response times the authors judge viable for 24 drones in real time.</t>
  </si>
  <si>
    <t>Runtime architecture adaptation by the model</t>
  </si>
  <si>
    <t>Sections 1, 3 and 6.6.2, pp. 1-2, 9</t>
  </si>
  <si>
    <t>The authors aim to capture architectural knowledge at the moment it is created, in meetings, rather than reconstructing it later from memory.</t>
  </si>
  <si>
    <t>Capturing decisions as they are made</t>
  </si>
  <si>
    <t>Section 1, p. 1</t>
  </si>
  <si>
    <t>Architectural fitness functions (no cycles, degree caps, gateway rules) and contract and event tests are proposed as checks in CI/CD pipelines for accepted links.</t>
  </si>
  <si>
    <t>Fitness functions in CI/CD proposed</t>
  </si>
  <si>
    <t>Absence: the diagrams are static figures from published papers, and accuracy is judged against their descriptions, not against the code or the running tools.</t>
  </si>
  <si>
    <t>Section 3.4 is where it would appear, pp. 90-91</t>
  </si>
  <si>
    <t>Time-level evolution and self-adaptation are declared out of scope; extending the platform to the time level through the Asset Administration Shell with an MCP server and a Neo4j graph, and adding drift monitoring, are proposed.</t>
  </si>
  <si>
    <t>Runtime and lifecycle evolution out of scope, proposed as next step</t>
  </si>
  <si>
    <t>Sections 3.3, 4 and 5, pp. 9-10, 14</t>
  </si>
  <si>
    <t>Absence: recovery runs once on static source code, without runtime information or continuous re-recovery; conformance checking of future versions is named only as a use of the output.</t>
  </si>
  <si>
    <t>Absence: one-off recovery from static code</t>
  </si>
  <si>
    <t>Sections III.B and VII are where it would appear, pp. 495, 499</t>
  </si>
  <si>
    <t>Absence: the workflows are static specifications; the model is not connected to executing workflows or their results.</t>
  </si>
  <si>
    <t>Absence: static specifications only</t>
  </si>
  <si>
    <t>Section 4.1 is where it would appear, p. 613</t>
  </si>
  <si>
    <t>Absence: the recommendations are for design problems stated in text; no running system or runtime information is involved.</t>
  </si>
  <si>
    <t>Absence: design-time problems only</t>
  </si>
  <si>
    <t>Section 4.1 is where it would appear, p. 3</t>
  </si>
  <si>
    <t>Absence: the framework targets greenfield design from requirements; no running system is involved.</t>
  </si>
  <si>
    <t>Absence: greenfield design time only</t>
  </si>
  <si>
    <t>Absence: diagrams are judged against the repository's textual description, not against the code or the running systems.</t>
  </si>
  <si>
    <t>Section 3.2 is where it would appear, p. 4</t>
  </si>
  <si>
    <t>The knowledge base is to be kept current in real time as artefacts change, supporting real-time architecture conformance checking, with time-aware handling of knowledge that becomes obsolete as the architecture evolves.</t>
  </si>
  <si>
    <t>Continuously updated architecture knowledge and conformance</t>
  </si>
  <si>
    <t>Sections 1, 3.4 and 4, pp. 487-490</t>
  </si>
  <si>
    <t>Absence: diagrams are generated once, at design time, from a specification; no existing or running system is involved.</t>
  </si>
  <si>
    <t>Absence: design-time generation only</t>
  </si>
  <si>
    <t>Section III is where it would appear, p. 293</t>
  </si>
  <si>
    <t>The practitioners saw its main value in continuous consistency: regenerating the documented architecture from the evolving backlog on demand, so that documentation keeps pace with development and drift is exposed as it occurs; the source is the development process, not the running system.</t>
  </si>
  <si>
    <t>Continuous regeneration from the evolving backlog</t>
  </si>
  <si>
    <t>Sections 6.1 and 7, pp. 4, 7</t>
  </si>
  <si>
    <t>Absence: the framework supports a design-time decision from literature; no running system is involved.</t>
  </si>
  <si>
    <t>Absence: design-time decision only</t>
  </si>
  <si>
    <t>Section IV is where it would appear, p. 116</t>
  </si>
  <si>
    <t>Related activity: the recovered system-level model describes the launch-time runtime composition of a robotic system, but it is derived statically from repository artefacts; incorporating behavioural or runtime evidence is future work.</t>
  </si>
  <si>
    <t>Runtime composition recovered statically; runtime evidence planned</t>
  </si>
  <si>
    <t>Sections 4.1 and 6, pp. 104-105, 112</t>
  </si>
  <si>
    <t>Absence: the use cases support design-time feature development; no running system is involved.</t>
  </si>
  <si>
    <t>Absence: design-time use only</t>
  </si>
  <si>
    <t>Sections 2 and 5 are where it would appear, pp. 120-121, 124</t>
  </si>
  <si>
    <t>Absence: the tool evaluates the documentation of submitted solutions; no running system is involved.</t>
  </si>
  <si>
    <t>Absence: documentation evaluation only</t>
  </si>
  <si>
    <t>Sections 4 and 5 are where it would appear, pp. 7-12</t>
  </si>
  <si>
    <t>Absence: the analysis covers ADRs in repositories; no running system is involved.</t>
  </si>
  <si>
    <t>Absence: offline analysis of decision records</t>
  </si>
  <si>
    <t>Section 3 is where it would appear, pp. 4-10</t>
  </si>
  <si>
    <t>Absence: the recommendations are for design problems stated in a prompt; no running system is involved.</t>
  </si>
  <si>
    <t>Absence: design-time recommendation only</t>
  </si>
  <si>
    <t>Section 2 is where it would appear, p. 2</t>
  </si>
  <si>
    <t>Related activity: architectural drift and erosion motivate the work, and one participant used CIAO to rebuild an up-to-date description of a tool whose code had outpaced its documentation; documentation is generated once per request, with no continuous regeneration or runtime use.</t>
  </si>
  <si>
    <t>Drift motivates it; one-off regeneration</t>
  </si>
  <si>
    <t>Sections I, II and V-F, pp. 201-202, 210</t>
  </si>
  <si>
    <t>Absence: the questions concern a static project tree at design time; no running system is involved.</t>
  </si>
  <si>
    <t>Absence: design-time questions only</t>
  </si>
  <si>
    <t>Section IV is where it would appear, p. 8</t>
  </si>
  <si>
    <t>Related activity: IaC artefacts describe how services are deployed, discovered and connected when the system runs, but detection is done offline over repository files, once per run.</t>
  </si>
  <si>
    <t>IaC describes runtime deployment; detection is offline</t>
  </si>
  <si>
    <t>Sections III-IV, pp. 162-164</t>
  </si>
  <si>
    <t>Related activity: ensembles form at runtime from membership conditions, and the questions ask the model to predict that formation for stated states at design time; the authors contrast this with work that uses an LLM inside a self-adaptive system to take adaptation decisions.</t>
  </si>
  <si>
    <t>Sections 3.5, 4.4.3 and 5, pp. 645, 649-650, 654</t>
  </si>
  <si>
    <t>Absence: the architecture is generated once at design time for a system already built and deployed; no runtime or continuous use is considered.</t>
  </si>
  <si>
    <t>Absence: one-off design-time generation</t>
  </si>
  <si>
    <t>Architectural Design, p. 9</t>
  </si>
  <si>
    <t>Absence: ChatGPT was used during development only; no runtime or continuous architecting is considered.</t>
  </si>
  <si>
    <t>Absence: development-time use only</t>
  </si>
  <si>
    <t>Sections 3.3 and 4.2, pp. 3, 5</t>
  </si>
  <si>
    <t>Absence: diagrams are generated from specifications at design time; no runtime use is considered.</t>
  </si>
  <si>
    <t>Sections 3-5, pp. 29-37</t>
  </si>
  <si>
    <t>Absence: consistency is checked on models at design time; no runtime use is considered.</t>
  </si>
  <si>
    <t>Absence: design-time models only</t>
  </si>
  <si>
    <t>Sections 4-5, pp. 5-10</t>
  </si>
  <si>
    <t>Absence: diagrams are generated once from a textbook scenario at design time; no runtime use is considered.</t>
  </si>
  <si>
    <t>Sections 3-4, pp. 4-16</t>
  </si>
  <si>
    <t>Model mutation is meant to support incremental and agile MDE processes in which SysML models are updated continuously; the change comes from the user's request at design time, not from a running system.</t>
  </si>
  <si>
    <t>Incremental model updates at design time</t>
  </si>
  <si>
    <t>Supporting Incremental Design, p. 11</t>
  </si>
  <si>
    <t>Answering from the latest code at query time, rather than from documentation that lags behind, is presented as suited to fast-evolving microservice systems; the source is the code base, not the running system.</t>
  </si>
  <si>
    <t>Answers from current code for evolving systems</t>
  </si>
  <si>
    <t>Introduction, p. 2; Unique Contribution, p. 4</t>
  </si>
  <si>
    <t>Absence: documentation is generated once for a finished project at design time; no runtime use is considered.</t>
  </si>
  <si>
    <t>Absence: one-off design-time documentation</t>
  </si>
  <si>
    <t>Sections 3-4, pp. 2-4</t>
  </si>
  <si>
    <t>GenAI is proposed for operations: predicting demand to pre-warm functions, learning from changing usage, and predicting bugs and generating corrective measures; this concerns resources and debugging, not the architecture.</t>
  </si>
  <si>
    <t>Proposed runtime operations support</t>
  </si>
  <si>
    <t>The authors plan continuous monitoring of consistency between design models and analysis diagrams throughout the design phase, each model increment being simulated, verified and compared; the increments come from design, not from a running system.</t>
  </si>
  <si>
    <t>Continuous consistency checks during design</t>
  </si>
  <si>
    <t>Section 7, p. 36</t>
  </si>
  <si>
    <t>Absence: the analysis is a one-off reading of code snapshots; no continuous or runtime use is considered.</t>
  </si>
  <si>
    <t>Absence: one-off analysis of snapshots</t>
  </si>
  <si>
    <t>Sections 2 and 5, pp. 4364-4369</t>
  </si>
  <si>
    <t>Related activity: the predictor is designed to run just in time, as developers create issues during development (Fig. 3), but it is evaluated retrospectively over release histories, and nothing observes the running system.</t>
  </si>
  <si>
    <t>Just-in-time warnings proposed; evaluated retrospectively</t>
  </si>
  <si>
    <t>Sections II-C and V-B, pp. 46, 49</t>
  </si>
  <si>
    <t>Context is captured on every push, conformance is checked in the periodic synthesis run (two to three times a week), and drift is flagged on the pull request before merge, keeping a live mapping between what was designed and what is being built; it follows the code as it changes, not the running system.</t>
  </si>
  <si>
    <t>Push-by-push capture; periodic conformance checks</t>
  </si>
  <si>
    <t>Security and compliance are named as under-researched, particularly for industries with strict regulatory requirements, and the comparison table notes that generative models may lack interpretability.</t>
  </si>
  <si>
    <t>Compliance and interpretability flagged for adoption</t>
  </si>
  <si>
    <t>4.5 Trust, governance and responsible adoption in industrial settings</t>
  </si>
  <si>
    <t>Sections 3 and 5.3; Table 1, pp. 6, 14-15</t>
  </si>
  <si>
    <t>Ethics (7%, 4) and privacy (12%, 7) are recurring challenges: bias in generated decisions, lack of transparency in model reasoning, and leakage of information, calling for regulatory frameworks, interpretability, stronger data protection and attention to intellectual property.</t>
  </si>
  <si>
    <t>Ethics, privacy and transparency as adoption concerns</t>
  </si>
  <si>
    <t>Sections 4.4 and 5.3; Table 21, pp. 15-17</t>
  </si>
  <si>
    <t>Absence: no discussion of trust, governance or confidentiality, although file and module content from the analysed system is sent to a hosted commercial model.</t>
  </si>
  <si>
    <t>Absence: no governance or confidentiality discussion</t>
  </si>
  <si>
    <t>whole paper; Section 5 is where it would appear</t>
  </si>
  <si>
    <t>The authors conclude that the design process cannot be entrusted completely to an unsupervised LLM: critical decisions, such as how to structure the system, must be reviewed by a human expert, and at this time they see design as a creative act to be done together rather than automated ('better together').</t>
  </si>
  <si>
    <t>Design not to be entrusted to an unsupervised model</t>
  </si>
  <si>
    <t>Sections VI-A and VIII, pp. 12, 15</t>
  </si>
  <si>
    <t>The coordination strategies are argued to make autonomous decisions accountable: voting logs every vote, role-based coordination makes each action attributable to an agent, and debate requires reasons tied to evidence. These properties are taken from the pattern catalogue and are not evaluated.</t>
  </si>
  <si>
    <t>Auditability argued for coordinated agent decisions</t>
  </si>
  <si>
    <t>Section 4.3, pp. 5-6</t>
  </si>
  <si>
    <t>Selecting clients by computing power can unfairly exclude clients that hold relevant training data and bias the model; the authors plan client selection that measures fairness without compromising privacy.</t>
  </si>
  <si>
    <t>Fairness of autonomous client exclusion</t>
  </si>
  <si>
    <t>Section 6.5, p. 14</t>
  </si>
  <si>
    <t>Governance is part of the proposed design: an organisation-policy validator would check generated documents against architectural principles stored in a knowledge base, and the orchestrator includes a guardrails component; neither is described further or evaluated.</t>
  </si>
  <si>
    <t>Policy validation and guardrails proposed</t>
  </si>
  <si>
    <t>Section 3.4, p. 3; Fig. 1</t>
  </si>
  <si>
    <t>Trustworthiness and practical acceptance are stated aims: the study asks whether injected knowledge makes recovered documentation more trustworthy and, in industry, whether the effort it costs is justified by usefulness and acceptance.</t>
  </si>
  <si>
    <t>Trustworthiness and acceptance as aims</t>
  </si>
  <si>
    <t>Sections I and IV, pp. 534-535, 537</t>
  </si>
  <si>
    <t>Governance requirements: AI output is supervised and validated, the adapter logs and archives AI interactions, only a controlled subset of the model is exposed to the AI, and data privacy for company-internal information is required.</t>
  </si>
  <si>
    <t>Supervision, logging, controlled exposure and privacy</t>
  </si>
  <si>
    <t>Abstract; Sections 2-3, pp. 1, 3, 5</t>
  </si>
  <si>
    <t>Trust is examined directly: two practitioners generally trust LLM-generated rationale, one trusts it with caution and three only with substantial human review, and none would trust it without validation; four would use it in practice (one definitely, three probably) and two were unsure. Trust would need evidence that models understand complex project context and validation in real development.</t>
  </si>
  <si>
    <t>Trust only with human review</t>
  </si>
  <si>
    <t>Sections 4.4 and 5.3, pp. 24, 30</t>
  </si>
  <si>
    <t>Explainability and trustworthiness are the first challenge named: agent-generated architectural decisions can be opaque, so it is critical to understand how and why an agent reached a design, and knowledge injection is the strategy proposed to make them more reliable.</t>
  </si>
  <si>
    <t>Opacity of agent decisions</t>
  </si>
  <si>
    <t>Absence: trust in generated models and trace links, governance and the conditions for industrial use are not discussed; the only related point is that the closed models' training data is unknown, so data leakage cannot be ruled out.</t>
  </si>
  <si>
    <t>Absence: no trust or adoption discussion</t>
  </si>
  <si>
    <t>Sections V-E and VI are where it would appear, p. 10</t>
  </si>
  <si>
    <t>Conditions for adoption: the accuracy, consistency and limitations of LLMs must be assessed before they enter architectural analysis workflows; the authors judge them not yet reliable enough to replace human oversight, and results from open-source projects may not carry over to industry.</t>
  </si>
  <si>
    <t>Not yet reliable enough to replace oversight</t>
  </si>
  <si>
    <t>Sections I, V and VI, pp. 1, 10</t>
  </si>
  <si>
    <t>Absence: trust in the recovered architecture, governance and the confidentiality of sending source code to a hosted model are not discussed.</t>
  </si>
  <si>
    <t>Absence: no trust or confidentiality discussion</t>
  </si>
  <si>
    <t>Sections V-C and VII are where they would appear, pp. 356-358</t>
  </si>
  <si>
    <t>Absence: trust and the conditions for adoption are not examined, unlike S5's trustworthiness ratings; the only guidance is to use the models cautiously and verify their answers.</t>
  </si>
  <si>
    <t>Absence: no trust study</t>
  </si>
  <si>
    <t>Sections 5 and 6 are where it would appear, pp. 109-110</t>
  </si>
  <si>
    <t>Participants worried about hallucinations and whether they could trust the responses, which led them to scrutinise the output; two pairs did not use the model, citing distrust, an unclear cost-benefit trade-off and confidence in their own abilities.</t>
  </si>
  <si>
    <t>Trust concerns; non-use from distrust</t>
  </si>
  <si>
    <t>Sections 4.2.1 and 4.4.1, pp. 1787, 1789</t>
  </si>
  <si>
    <t>All four workshop groups reported low to zero trust in AI making architectural decisions in industry without reasoning, warned that models can produce plausible justifications for nearly any decision, and named transparency and accountability as research priorities.</t>
  </si>
  <si>
    <t>Low trust; plausible justifications; transparency needed</t>
  </si>
  <si>
    <t>Workshop summary DQ1, DQ2, DQ4, pp. 92-94</t>
  </si>
  <si>
    <t>In regulated domains, model decompositions with lineage tracking could help auditors check that system changes stay within approved boundaries.</t>
  </si>
  <si>
    <t>Lineage tracking for audit proposed</t>
  </si>
  <si>
    <t>For agentic AI in production systems, the authors propose separating safety functions from autonomous agents, verifying agent systems, defining agent and human responsibilities and continuous monitoring with intervention.</t>
  </si>
  <si>
    <t>Safety and supervision of agents in production systems</t>
  </si>
  <si>
    <t>Guardrails are proposed: rules for critical decisions, such as sending drones with low battery to charge, with the model deciding the rest; constraint verification by unit tests for generated managers.</t>
  </si>
  <si>
    <t>Rule guardrails and tests proposed</t>
  </si>
  <si>
    <t>Sections 6.9.2-6.9.3, pp. 11-12</t>
  </si>
  <si>
    <t>Automation bias is named as the most serious practical risk: plausible-sounding suggestions and moderate default ratings can be taken for reliable judgements, above all by less experienced users; the guidelines are framed as lightweight guardrails against the observed failures.</t>
  </si>
  <si>
    <t>Automation bias; lightweight guardrails</t>
  </si>
  <si>
    <t>Sections 4.4-4.5, 5 and 7, pp. 93-95</t>
  </si>
  <si>
    <t>Every change and recommendation must be attributable to a user, logged and linked to a DSM phase, so that decisions remain auditable; the authors argue for integrating AI responsibly, with human accountability, so that efficiency gains do not cost reliability, governance or societal trust.</t>
  </si>
  <si>
    <t>Attributable, auditable decisions; responsible integration</t>
  </si>
  <si>
    <t>Sections 1, 4 and 4.2, pp. 3, 9-11</t>
  </si>
  <si>
    <t>Hallucinated patterns, terms and references are said to mislead users and compromise decision-making, so outputs must be verified continuously; the assistant is designed for accurate and traceable decision support through references to a validated corpus.</t>
  </si>
  <si>
    <t>Hallucinated references undermine trust; traceable support as remedy</t>
  </si>
  <si>
    <t>Abstract; Sections 4.3 and 6, pp. 1, 3-5</t>
  </si>
  <si>
    <t>Explainability and trust are named as conditions for adoption, since hallucinated extractions could propagate into the knowledge base and into decisions; verification by combining LLMs with formal reasoning and ontologies, and access control for sensitive artefacts, are proposed.</t>
  </si>
  <si>
    <t>Trust, verification and access control</t>
  </si>
  <si>
    <t>Section 4, p. 490</t>
  </si>
  <si>
    <t>Adoption is governed by a trust boundary between internal and external use, and the enterprise data were processed on a private EU-hosted model instance for privacy; the authors also disclose the use of generative AI in their own analysis and writing.</t>
  </si>
  <si>
    <t>Trust boundary for external use; private hosting for data privacy</t>
  </si>
  <si>
    <t>Sections 4, 6.1, 7 and Acknowledgments, pp. 3-4, 7-8</t>
  </si>
  <si>
    <t>Queries are template-constrained for safe and auditable exploration, the same templates are open to manual inspection, and traceability to source documents is kept end to end.</t>
  </si>
  <si>
    <t>Template-constrained, auditable exploration with traceability</t>
  </si>
  <si>
    <t>Sections III-C and IV-B, pp. 116-117</t>
  </si>
  <si>
    <t>From an industrial setting, the authors name as pitfalls the trustworthiness of generated output, over-reliance on suggestions without scrutiny, prompt crafting and review that demand expertise and can be opaque and inconsistent, and erosion of architectural skills, and call for human oversight, robust evaluation frameworks and explainable AI.</t>
  </si>
  <si>
    <t>Pitfalls; human oversight, evaluation and explainability</t>
  </si>
  <si>
    <t>Section 4, Potential Pitfalls, p. 123</t>
  </si>
  <si>
    <t>For the production service, the prototype's use of an LLM for almost every criterion was replaced because it did not scale and was hard to reproduce: most criteria are now checked with deterministic code and established tools, LLMs are used only for a handful of sub-criteria that are hard to check deterministically, and results are aggregated with weighted quality models that can be adjusted without changing code.</t>
  </si>
  <si>
    <t>LLM confined to few criteria for stability, scale and cost</t>
  </si>
  <si>
    <t>Section 3, pp. 6-7</t>
  </si>
  <si>
    <t>The authors conclude that RAG-based assistants should be treated as continuously evolving software systems that need iterative tuning, monitoring and validation rather than one-time deployment, and plan to combine LLM judges with expert evaluation.</t>
  </si>
  <si>
    <t>RAG assistants need continuous tuning, monitoring and validation</t>
  </si>
  <si>
    <t>Sections 4-5, pp. 3-4</t>
  </si>
  <si>
    <t>Prompts explicitly forbid inventing architectural elements not present in the repository, and a practitioner working on safety-critical railway software requested CIAO documentation for compliance activities, where architectural descriptions must be traceable to the source code.</t>
  </si>
  <si>
    <t>No-invention rule; traceability for compliance</t>
  </si>
  <si>
    <t>Sections III-C and V-F, pp. 204, 210</t>
  </si>
  <si>
    <t>Sending code to hosted LLMs is named as a security and privacy risk for closed-source software; IaC artefacts are chosen partly because they rarely contain business logic, and small local models are suggested for organisations that do not trust a hosted model.</t>
  </si>
  <si>
    <t>Privacy: IaC instead of code; local models as fallback</t>
  </si>
  <si>
    <t>Sections III and VI, pp. 162, 165</t>
  </si>
  <si>
    <t>The team always relied on human experts to validate outputs before the next phase, applied the same data security and privacy considerations as in the original system and used no patient data in prompts; ethical issues of GenAI in software engineering were not considered.</t>
  </si>
  <si>
    <t>Human validation, no patient data; ethics not considered</t>
  </si>
  <si>
    <t>Ethical Considerations, pp. 2-3; Discussion, p. 11; Related Work, p. 12</t>
  </si>
  <si>
    <t>Students raised privacy breaches and leaks of sensitive information in AI-generated code, ethical concerns over code ownership and trust issues after past inaccuracies.</t>
  </si>
  <si>
    <t>Privacy, ownership and trust concerns</t>
  </si>
  <si>
    <t>Section 4.1, pp. 4-5</t>
  </si>
  <si>
    <t>A drift flag was counted as a true positive when an automated trace-rule check and a review by architects agreed, and the demonstration uses an open-source project with synthetic design documents to avoid exposing proprietary data.</t>
  </si>
  <si>
    <t>Two-signal evaluation of flags; synthetic documents for the demo</t>
  </si>
  <si>
    <t>The precision of AI-driven decomposition depends on the clarity and quality of the input: ambiguous or overlapping user stories and use cases lead to imprecise service boundaries, and clustering needs a careful choice of the number of clusters.</t>
  </si>
  <si>
    <t>Output quality bounded by ambiguous input artefacts</t>
  </si>
  <si>
    <t>5.1 Reported limitations in practice</t>
  </si>
  <si>
    <t>T5. Limitations</t>
  </si>
  <si>
    <t>Sections 1, 2, 5.2 (Q2) and 7, pp. 2, 4-5, 11, 16</t>
  </si>
  <si>
    <t>T5: limitation</t>
  </si>
  <si>
    <t>Data consistency and distributed transactions are the main unresolved challenge: decomposition tools such as PF4MD leave consistency across services to the architect, and data consistency or distributed transactions are mentioned in 95.3% of the reviewed studies.</t>
  </si>
  <si>
    <t>Data consistency and distributed transactions left to the architect</t>
  </si>
  <si>
    <t>Sections 5 and 5.2 (Q2), pp. 9, 11</t>
  </si>
  <si>
    <t>Current tools concentrate on functional decomposition; non-functional requirements such as security, fault tolerance and compliance are handled poorly.</t>
  </si>
  <si>
    <t>Non-functional requirements neglected by decomposition tools</t>
  </si>
  <si>
    <t>Section 5.3, p. 14</t>
  </si>
  <si>
    <t>Architectural degradation is a risk when AI recommendations are overused or trusted blindly, and practitioners may accept suggestions as if from an oracle; results on complex tasks were less usable and need checking.</t>
  </si>
  <si>
    <t>Blind trust risks architectural degradation</t>
  </si>
  <si>
    <t>Sections 4.4 and 5.1, pp. 15, 17</t>
  </si>
  <si>
    <t>Generative AI may overlook team dynamics and organisational culture, proposing solutions that work technically but ignore the team’s skills or the organisation’s objectives, and over-reliance may reduce human creativity.</t>
  </si>
  <si>
    <t>Socio-technical context ignored by generated designs</t>
  </si>
  <si>
    <t>Sections 4.4 and 5.1; Table 21, pp. 16-17</t>
  </si>
  <si>
    <t>Models struggle with long-context reasoning and with fragmented or inconsistent input, which limits their context-awareness, and outputs are hard to adjust afterwards.</t>
  </si>
  <si>
    <t>Limited context-awareness and long-context reasoning</t>
  </si>
  <si>
    <t>Section 4.4, p. 15</t>
  </si>
  <si>
    <t>The refinement depends on its input: gains are similar across input tools, so the result is bounded by the best recovery tool available, which the authors recommend choosing.</t>
  </si>
  <si>
    <t>Result bounded by the input recovery tool</t>
  </si>
  <si>
    <t>Some recovered modules still differ from the ground truth; in Bash the general module is split into several parts, which the authors argue is a reasonable alternative division.</t>
  </si>
  <si>
    <t>Residual divergence from the ground truth</t>
  </si>
  <si>
    <t>Section 4.2.2, p. 1695</t>
  </si>
  <si>
    <t>Only nine projects with human-labelled ground truth could be collected, which the authors list as a threat while arguing that their spread of size, language and domain makes them representative.</t>
  </si>
  <si>
    <t>Small evaluation set, limited by available ground truth</t>
  </si>
  <si>
    <t>Section 5.2, p. 1697</t>
  </si>
  <si>
    <t>The metrics give only a partial view: granularity and density are context-dependent, so a higher service count may mean better separation of concerns or over-decomposition, and lower density may mean looser coupling or under-specified interactions.</t>
  </si>
  <si>
    <t>Metrics are ambiguous without context</t>
  </si>
  <si>
    <t>Section 4.6; Section 5, pp. 6-7</t>
  </si>
  <si>
    <t>Few-shot outputs include isolated services with no declared interactions, especially from DeepSeek, which may be utility components or over-decomposition.</t>
  </si>
  <si>
    <t>Isolated services suggest over-decomposition</t>
  </si>
  <si>
    <t>Sections 4.2 and 4.4, pp. 5-6</t>
  </si>
  <si>
    <t>Only two modular monoliths and two providers were studied, and text-only input may not transfer to settings where code or runtime data is available.</t>
  </si>
  <si>
    <t>Two systems, two providers, text-only input</t>
  </si>
  <si>
    <t>Section 6, p. 7</t>
  </si>
  <si>
    <t>In about two thirds of the zero-shot outputs inspected, the generated decision was 2 to 10 times longer than the documented one, written as a numbered list of small items instead of a decision.</t>
  </si>
  <si>
    <t>Verbose, list-like outputs</t>
  </si>
  <si>
    <t>Section 4 (RQ1), p. 5</t>
  </si>
  <si>
    <t>Most outputs contained code-level detail such as class names or configuration values, and few-shot examples did not consistently restore the architectural level of abstraction.</t>
  </si>
  <si>
    <t>Wrong level of abstraction</t>
  </si>
  <si>
    <t>Commits show what changed, not why: the rationale usually lives in issues, design documents or code reviews, so the commit as sole input is a fundamental limitation that the authors expect to persist as models evolve.</t>
  </si>
  <si>
    <t>Commit as sole input limits rationale</t>
  </si>
  <si>
    <t>The evidence is small and selective: 30 decisions from three Java-based Apache repositories, picked for being clearly written and single-commit, with manual inspection of one model by one author.</t>
  </si>
  <si>
    <t>Small, selected dataset; one inspector, one model</t>
  </si>
  <si>
    <t>Models default to microservices: in only two of 24 decision-tree runs did a model choose another style, including for a small florist's webshop whose intended style was monolithic; the authors attribute this to the prominence of microservices in training data and warn of over-engineering.</t>
  </si>
  <si>
    <t>Microservice bias and over-engineering</t>
  </si>
  <si>
    <t>Section V-B, p. 281; Section VI-B, p. 282</t>
  </si>
  <si>
    <t>Pattern lists are either too short or too long: direct prompting gives 5 to 10 patterns and misses many, while decision-tree-guided lists are often longer than the participants' and further from the reference (closer in 6 of 24 cases, equal in 3).</t>
  </si>
  <si>
    <t>Too few patterns directly, too many when guided</t>
  </si>
  <si>
    <t>Section V-A, p. 280; Section V-B and Table III, p. 281</t>
  </si>
  <si>
    <t>Many models, especially with the naive prompt, answer with Gang-of-Four design patterns rather than architectural patterns, answering from a developer's rather than an architect's perspective.</t>
  </si>
  <si>
    <t>Design patterns in place of architectural ones</t>
  </si>
  <si>
    <t>Section IV-B, p. 279; Section V-A, p. 280</t>
  </si>
  <si>
    <t>ChatGPT's hints were sometimes concrete and sometimes too broad, and Llama answered with long, formal definitions of patterns and decision records that did not lead back to the architecture being built.</t>
  </si>
  <si>
    <t>Hints too broad; generic definitions</t>
  </si>
  <si>
    <t>Llama could not read architectures supplied as images in PDF, the only upload format, and the context and hardware demands of local models limit their use in courses on ordinary computers.</t>
  </si>
  <si>
    <t>No image input; local models unsuited to courses</t>
  </si>
  <si>
    <t>Section IV and V, p. 96</t>
  </si>
  <si>
    <t>Decisions are reasonable but not always the best where deep domain knowledge is needed: the model structured the warehouse system as a modular monolith, which the most experienced evaluator judged wasteful under domain-specific load peaks, and trade-offs not stated in the drivers were decided suboptimally or skipped.</t>
  </si>
  <si>
    <t>Reasonable but not expert-level decisions</t>
  </si>
  <si>
    <t>Section VI-A, p. 12</t>
  </si>
  <si>
    <t>Threats named by the authors: the model may have seen the book case in training (checked only by asking the model), the agentic IDE controls the context, few experiments were run, mostly on enterprise systems, and the expert evaluation covered only a subset of drivers yet took each evaluator 8-10 hours.</t>
  </si>
  <si>
    <t>Possible training exposure; small, enterprise-only evaluation</t>
  </si>
  <si>
    <t>Section VII, p. 13</t>
  </si>
  <si>
    <t>The agentic strategies were not always better than the baselines without a model: in image classification their round time was significantly worse than Expert-Driven's (and than Never's, except for debate), and the rule-based Expert-Driven baseline stayed competitive in efficiency; the authors conclude that no strategy is a silver bullet and that effectiveness depends on operating conditions.</t>
  </si>
  <si>
    <t>Not always better than simpler baselines</t>
  </si>
  <si>
    <t>Sections 5.2 and 6.1-6.2, pp. 10, 12; Table 5</t>
  </si>
  <si>
    <t>Reasoning is a practical cost: the agents add 30-70 s per round, which the authors put at about 33% of total time on average, so the layer shifts cost from pattern execution to decision making; by the reported averages, in text classification the reasoning per round (about 47-56 s) exceeded the round itself (about 40-44 s).</t>
  </si>
  <si>
    <t>Reasoning overhead can exceed a short round</t>
  </si>
  <si>
    <t>Sections 5.3 and 6.4, pp. 10-14</t>
  </si>
  <si>
    <t>Threats named by the authors: three patterns, two datasets, five clients and ten rounds on one host, where the number of containers is bounded by its 24 cores, and input parameters chosen by the authors.</t>
  </si>
  <si>
    <t>Small emulated setup</t>
  </si>
  <si>
    <t>A single prompt is limited by the context window and by the distributed nature of architecture knowledge, which spans code, commits, issues and several levels of abstraction; this is the motivation for the agentic design.</t>
  </si>
  <si>
    <t>Context limits and distributed architecture knowledge</t>
  </si>
  <si>
    <t>Sections 1-2, p. 1</t>
  </si>
  <si>
    <t>The agentic approach was not better everywhere: the authors note that for languages such as Java single-prompt ADRs were of higher quality, although the repositories are otherwise reported as Python and JavaScript only.</t>
  </si>
  <si>
    <t>Not better for every language</t>
  </si>
  <si>
    <t>Sections 4.2-4.3, pp. 3-4</t>
  </si>
  <si>
    <t>Repository evidence often underdetermines the right architectural abstraction: several reasonable abstractions fit the same dependency evidence, and traditional recovery tools struggle to produce abstractions meaningful to stakeholders.</t>
  </si>
  <si>
    <t>Evidence underdetermines the abstraction</t>
  </si>
  <si>
    <t>Sections I-II, pp. 534-535</t>
  </si>
  <si>
    <t>Hard evidence of productivity gains at the architectural level is still missing, and manual, ad hoc prompting is inefficient, does not scale and does not relieve architects' time pressure.</t>
  </si>
  <si>
    <t>No hard evidence; ad hoc prompting does not scale</t>
  </si>
  <si>
    <t>Sections 1 and 5, pp. 1, 7</t>
  </si>
  <si>
    <t>Generated rationale lacks practical experience and project-specific detail (for example the migration cost behind choosing Debian for a container image) because the models see only the problem text, and which project context is relevant cannot yet be determined automatically; chain-of-thought arguments can be superficial.</t>
  </si>
  <si>
    <t>No project experience or context</t>
  </si>
  <si>
    <t>Sections 5.1 and 5.2, pp. 27, 29</t>
  </si>
  <si>
    <t>Practitioners name four challenges: supplying enough project context is complex and costly, models may not grasp complex requirements (overly long context lowered the quality), reliability is uncertain (including architectures newer than the knowledge cut-off), and output length and the textual form are limits.</t>
  </si>
  <si>
    <t>Context cost, complex requirements, reliability, output form</t>
  </si>
  <si>
    <t>Challenges named: the requirements specification may be imperfect, with ambiguous functions or conflicting quality attributes the Analyst must resolve with stakeholders, and agents may have competing objectives or disagree, so information must be filtered and conflicts resolved.</t>
  </si>
  <si>
    <t>Imperfect requirements and conflicts between agents</t>
  </si>
  <si>
    <t>Sections 2.2.1 and 4, pp. 531, 533</t>
  </si>
  <si>
    <t>Code is the weaker source: package names alone are insufficient, results vary more across projects and models, several models reach F1 of 0 or close to 0 on BigBlueButton, and production code is hard to tell from test code; components the documentation never describes are missed from it as well.</t>
  </si>
  <si>
    <t>Code-only extraction weak; undocumented components missed</t>
  </si>
  <si>
    <t>Sections V-B and V-D, pp. 7-9</t>
  </si>
  <si>
    <t>Among the 92 misjudged decisions, infrastructure and deployment decisions (Terraform, Docker, Kubernetes, CI/CD) were the largest group (42%), followed by principle- or intent-oriented decisions (26%), interactions between modules (17%), condition-heavy logic (10%) and context-dependent decisions such as runtime behaviour (4%); decisions the code cannot settle were the hardest label for every model (F1 0.71-0.79).</t>
  </si>
  <si>
    <t>Infrastructure, intent and cross-module decisions misjudged</t>
  </si>
  <si>
    <t>Sections IV-B and IV-C, pp. 7-9; Tables VII-VIII</t>
  </si>
  <si>
    <t>Failure cases: with one resolution setting for all projects, SemArc produced 139 modules for Django against 68 in the ground truth and too few for OODT; in Archstudio 18 of 46 clusters mixed files from several ground-truth modules; the component anchors helped little when a project had no more modules than anchors (ENRE-py, PyCG); and generic descriptions failed on complex, mixed-pattern systems.</t>
  </si>
  <si>
    <t>Granularity mismatches, mixed clusters, weak anchors in small systems</t>
  </si>
  <si>
    <t>Sections IV-B2, IV-C and IV-D, pp. 350-353</t>
  </si>
  <si>
    <t>Threats named: developers may not follow canonical patterns strictly, the dependency extractor (ENRE) is imprecise, the dataset is still small and ground-truth labelling is laborious, and LLM-based recovery takes more time than lightweight heuristics.</t>
  </si>
  <si>
    <t>Pattern assumption, tool imprecision, small dataset, time</t>
  </si>
  <si>
    <t>Sections V-B and V-C, pp. 356-357</t>
  </si>
  <si>
    <t>The models give many false positives, especially for quality attribute solutions such as patterns and tactics; the smallest models perform worst; and the evaluation covers one system and seven models, which limits generalisation.</t>
  </si>
  <si>
    <t>Many false positives; one system</t>
  </si>
  <si>
    <t>Sections 3 and 6, pp. 105-110</t>
  </si>
  <si>
    <t>The model misjudged context-specific design choices: it treated deliberate omissions as errors and assumed a broader audience than the developers a middleware tool addresses; it tends to favour text over the diagram and is hindered by low-resolution labels; and the study used one model, one expert and four projects.</t>
  </si>
  <si>
    <t>Deliberate omissions and audience misjudged; text bias; small study</t>
  </si>
  <si>
    <t>Sections 4-5; Table 2, pp. 119, 121-122</t>
  </si>
  <si>
    <t>The models did worse on the Azure and SmartThings architectures, which the authors read as difficulty with more complex or unusual architectural styles; ChatGPT sometimes simply removed the offending connection or made unrequested optimisations; the output has no predefined format.</t>
  </si>
  <si>
    <t>Complex or unusual architectures; trivial or unrequested fixes</t>
  </si>
  <si>
    <t>Sections III-C and IV-E, pp. 407-408</t>
  </si>
  <si>
    <t>Views operate at code rather than architectural level, completeness failures exceed 73% in every configuration, general-documentation views fail visually and semantically, and quality is bound by code summarisation, which the authors call a critical bottleneck.</t>
  </si>
  <si>
    <t>Granularity mismatch; incompleteness; summarisation bottleneck</t>
  </si>
  <si>
    <t>Sections IV and V, pp. 249-253; Table III</t>
  </si>
  <si>
    <t>The platform inherits the evaluation methods of its source datasets, provides no sandbox for tool-using agents, and covers no architectural smell detection, dependency analysis or large-scale refactoring planning.</t>
  </si>
  <si>
    <t>Inherited evaluation; no agent sandbox; gaps in task coverage</t>
  </si>
  <si>
    <t>Accuracy fell as systems grew (100%, 98.19%, 96.48%), and nearly all errors (297 of 300) concern communication paths between two nodes, mostly where the only path runs through the system-wide /parameter_events topic; the models enumerate explicit entities better than they infer implicit relationships, and the 100-word limit may have constrained their reasoning.</t>
  </si>
  <si>
    <t>Implicit and system-wide paths missed; size lowers accuracy</t>
  </si>
  <si>
    <t>Sections 6.2, 7 and 8; Table 5, pp. 6-10</t>
  </si>
  <si>
    <t>The mentor's suggestions were only as precise as the project description and requirements students gave it, generic when they were vague or missing, and it could not raise high-level design quality without substantial human input; 7 of the 20 students without it used ChatGPT or similar tools, and the study covers one course in the short term.</t>
  </si>
  <si>
    <t>Input-dependent output; no quality gain; confounded control group</t>
  </si>
  <si>
    <t>Sections 6.1 and 7, pp. 9, 11</t>
  </si>
  <si>
    <t>Every model occasionally missed requirements or over-specified details, Llama missed key domain concepts and applied no style, the two public systems may be in the models' training data, the study covers two microservice-centred systems, and it concerns structure rather than functional and non-functional properties, from documentation without code.</t>
  </si>
  <si>
    <t>Missed requirements; leakage; two systems; structure only</t>
  </si>
  <si>
    <t>Sections V-C, VI-A, VI-B and VII, pp. 404-408</t>
  </si>
  <si>
    <t>Using the first response as a starting point anchored designs early and curtailed exploration (only three pairs sought alternatives); separate instances led to context drift between partners; and participants judged the model less worthwhile for detailed design than doing it themselves.</t>
  </si>
  <si>
    <t>Anchoring, context drift, limited value for detail</t>
  </si>
  <si>
    <t>Sections 4.1.2, 4.3.1, 4.4.4 and 5, pp. 1786-1790</t>
  </si>
  <si>
    <t>Models lack the breadth of context real decisions need (cost, team experience, time to market, compatibility), and on problems where all models converged, human choices diverged most, for example a hexagonal architecture chosen by every model and by no participant; the problems were isolated from each other, unlike real design.</t>
  </si>
  <si>
    <t>Missing context; model convergence against human diversity</t>
  </si>
  <si>
    <t>Results RQ3; closing section; Future Work, pp. 92, 94-95</t>
  </si>
  <si>
    <t>Given plain questions, the model took individual files for components; for the Scala-based DSL it identified ensembles that did not exist and its predictions of ensemble instantiation were completely misleading; answers relied partly on code comments and identifiers.</t>
  </si>
  <si>
    <t>Plain questions fail; less common DSL misread</t>
  </si>
  <si>
    <t>Sections 4.1-4.3, pp. 217-219</t>
  </si>
  <si>
    <t>LLM decompositions diverged from the reference service boundaries (MoJoFM 27.33 against 51.41 for the tools) and aligned less with team and domain boundaries; the study covers four Java systems at class level, one-shot, without assessment by architects.</t>
  </si>
  <si>
    <t>Divergence from reference boundaries; weak domain and team alignment</t>
  </si>
  <si>
    <t>Sections V-A, V-B and VII; Table II, pp. 274-277</t>
  </si>
  <si>
    <t>Zero-shot outputs omitted services mentioned only once and over-generated plausible services and links with dense bidirectional coupling, rated low on plausibility; even one-shot outputs kept cycles around the order service and an authentication service the requirements did not ask for; the study covers two small systems.</t>
  </si>
  <si>
    <t>Omissions, over-generation and coupling; two small systems</t>
  </si>
  <si>
    <t>Sections 4.1-4.3 and 6, pp. 83-86, 88</t>
  </si>
  <si>
    <t>Absence: no limitations or risks of using LLMs for the proposed tasks are discussed; limitations of the earlier contributions are deferred to their papers.</t>
  </si>
  <si>
    <t>Absence: limitations of the proposals</t>
  </si>
  <si>
    <t>Sections 5-6, pp. 163-165</t>
  </si>
  <si>
    <t>Similarity to the human record measures replication fidelity rather than quality; many reference ADRs defer rationale to wikis, design documents or issue trackers, or rely on unwritten knowledge, which penalises self-contained outputs; ambiguous titles give little signal; K was not tuned systematically.</t>
  </si>
  <si>
    <t>Metric and ground-truth limits; ambiguous titles</t>
  </si>
  <si>
    <t>Sections 5.1 and 5.3, pp. 8-9</t>
  </si>
  <si>
    <t>Pattern adherence fell as architectural complexity and problem size grew; smaller models degraded with longer inputs; class diagrams capture only static structure; the systems are small and designed by the authors, and only four common patterns are covered.</t>
  </si>
  <si>
    <t>Degradation with complexity; static view; small author-made systems</t>
  </si>
  <si>
    <t>Sections 4.2 and 5.2-5.3, pp. 15-17, 21-22</t>
  </si>
  <si>
    <t>With larger inputs models became lazy: reasoning tokens did not grow, retries rose and the share of drones actually used fell to a few percent; beyond about 40 drones adaptation was challenging; offline managers mostly performed poorly, and debugging them took longer than writing a manager by hand; damage and steps are only proxies.</t>
  </si>
  <si>
    <t>Laziness at scale; poor generated managers; proxy metrics</t>
  </si>
  <si>
    <t>Sections 6.5-6.6.5, 6.8 and 6.10.1, pp. 8-12</t>
  </si>
  <si>
    <t>The workflow sometimes turned tentative discussions into accepted decisions, omitted fine-grained decisions and grouped related choices, and its verbosity raises review effort; the setting is educational, with five transcripts, and students rated ADRs of their own projects.</t>
  </si>
  <si>
    <t>Status errors, omissions, verbosity; small educational setting</t>
  </si>
  <si>
    <t>Sections 5.3, 6 and 7, pp. 5-6</t>
  </si>
  <si>
    <t>Low-salience and cross-cutting services (authentication, notification, reporting) were missed, and spurious links clustered around infrastructure hubs (admin, configuration, discovery, audit, notification), sometimes bidirectional and forming cycles; event-driven handoffs were under-predicted; two small, well-known systems with English requirements.</t>
  </si>
  <si>
    <t>Missed cross-cutting services; hub-driven over-linking; small scope</t>
  </si>
  <si>
    <t>Sections 4.1-4.2 and 6, pp. 4-7</t>
  </si>
  <si>
    <t>Context-blindness (PoP-ARE's extracted non-functional requirements read as capabilities of the tool; a security module proposed for Helius) and plausible but misguided recommendations (uniform terminology across abstraction levels and extra diagrams for AutomTest 3.0); performance fell on criteria needing contextual reasoning; four academic tool papers, one model, one run and one expert who is also an author.</t>
  </si>
  <si>
    <t>Context-blindness and misguided advice; small study</t>
  </si>
  <si>
    <t>Sections 4-6, pp. 92-95</t>
  </si>
  <si>
    <t>The prototype's persistence is session-scoped, with no long-term memory across sessions, no MCP tool orchestration and no validation beyond the parsing libraries; the framework covers one project, one architect and one agent.</t>
  </si>
  <si>
    <t>Session-scoped prototype; single user and agent</t>
  </si>
  <si>
    <t>Sections 4 and 4.3, pp. 10, 13</t>
  </si>
  <si>
    <t>Documented SQLite components were split across several recovered ones, and Bash utility functions spread across many gold-standard components, with small counts in unrelated ones that may be misallocations; function-level components are hard to compare with a file-level gold standard; recovery of SQLite took nearly four hours; three C systems only.</t>
  </si>
  <si>
    <t>Split components, spread utilities; granularity mismatch; long runs</t>
  </si>
  <si>
    <t>Section VII; Tables II-III, pp. 499-502</t>
  </si>
  <si>
    <t>Functionality questions scored low, partly because the text metrics penalise differently worded correct answers; semantically incorrect workflows led to illogical answers; imported workflows were missed in agent mode; only 25 instances (work in progress), two models and one ADL, with patterns that must be tailored to each ADL.</t>
  </si>
  <si>
    <t>Low functionality scores; incorrect workflows; small study</t>
  </si>
  <si>
    <t>Sections 4.3-4.5, pp. 613-615</t>
  </si>
  <si>
    <t>General models did well only on widely documented problems and failed on specialised security patterns; the study covers five patterns, three tools, zero-shot prompts only and security only, and the corpus leaves out grey literature.</t>
  </si>
  <si>
    <t>Specialised patterns missed; small, zero-shot, security-only study</t>
  </si>
  <si>
    <t>Sections 3, 6 and 8, pp. 3, 5-6</t>
  </si>
  <si>
    <t>The kernel checks only referential integrity and self-calls, not cycles, bounded contexts, communication modes or transactional consistency; the abstraction omits gateways, discovery, messaging, tracing and data ownership; story cards are thin input; and improvements are in chosen proxies, not validated architectural quality.</t>
  </si>
  <si>
    <t>Narrow kernel and abstraction; proxies only</t>
  </si>
  <si>
    <t>Sections 3 and 5, pp. 367, 369</t>
  </si>
  <si>
    <t>Agreement was weaker for subjective criteria (clarity recall 0.679; level of detail kappa 0.259), the models were more permissive than the engineers, textual sources can hide what the rendered diagram shows, and the study covers six public open-source microservice systems, two models and two source formats.</t>
  </si>
  <si>
    <t>Weaker on subjective criteria; permissive; limited scope</t>
  </si>
  <si>
    <t>Sections 4.1-4.2, 5 and 6, pp. 7-10</t>
  </si>
  <si>
    <t>Anticipated challenges: heterogeneous and multimodal artefacts, scale and context-window limits, telling extraction errors from genuine or planned inconsistencies, project-specific adaptation, knowledge-base performance, temporal validity and data privacy.</t>
  </si>
  <si>
    <t>Heterogeneous artefacts, scale, error attribution, evolution</t>
  </si>
  <si>
    <t>The generated diagrams oversimplify and over-centralise, with one large component or interface connected to most elements; data and notification structures and methods shared across interfaces are often missing; the traces are compact and the ground truths not the only valid solutions; and the indicators are not exhaustive and do not ensure correctness.</t>
  </si>
  <si>
    <t>Oversimplified, over-centralised diagrams; compact traces; partial metrics</t>
  </si>
  <si>
    <t>Sections III-A, III-C and IV-A, pp. 294, 296-298</t>
  </si>
  <si>
    <t>The output is bounded by what the tickets document, including organisational quirks (Project A's containers were split along team competencies), and is blind to undocumented implementations; rendering, not semantics, limited understandability; the evidence comes from three practitioners familiar with two young projects of one company, coded by one researcher; and long backlogs exceed context windows.</t>
  </si>
  <si>
    <t>Bounded by the backlog; one company, three experts; context limits</t>
  </si>
  <si>
    <t>Sections 6.1 and 7, pp. 4, 6-8</t>
  </si>
  <si>
    <t>The findings rest on a single task and a small sample; evidence is limited to research papers and to their first sections; recombining knowledge across documents introduces uncertainty from differing contexts; and the simplified ontology omits assumptions and reasoning.</t>
  </si>
  <si>
    <t>One task, small sample, partial sources, simplified ontology</t>
  </si>
  <si>
    <t>Sections IV and IV-C, pp. 116-117</t>
  </si>
  <si>
    <t>The remaining recall gap comes from composition relations implied only by launch files, communication topology or naming conventions; the case study's launch file has no namespaces and no nested includes, so these harder constructs were not exercised.</t>
  </si>
  <si>
    <t>Recall gap on implicit composition; simple launch configuration</t>
  </si>
  <si>
    <t>Sections 5.1, 5.3 and 6, pp. 110, 112</t>
  </si>
  <si>
    <t>Absence: no limitations or threats to validity of the evaluation are discussed, and the two requirements mapped with accuracy 0.5 are not analysed.</t>
  </si>
  <si>
    <t>Absence: no limitations of the evaluation</t>
  </si>
  <si>
    <t>Sections 5 and 6 are where they would appear, pp. 124-125</t>
  </si>
  <si>
    <t>The number of projects and experts is too low to generalise, the experts' ratings cannot be fully objective, keyword filtering may lose information, and the quality of the documentation decides the quality of the evaluation, with large deviations when information density is low.</t>
  </si>
  <si>
    <t>Few projects and experts; subjective reference; input dependence</t>
  </si>
  <si>
    <t>Section 5.2, Discussion and Threats to Validity; Section 5.3, pp. 15-16</t>
  </si>
  <si>
    <t>Structure detection relies on section headings; classification is single-label although ADRs often combine concerns; the LLM lacks project context outside the ADR; and the corpus is limited to English Markdown ADRs from open-source GitHub projects up to 2020.</t>
  </si>
  <si>
    <t>Heading-based detection, single labels, missing context, one corpus</t>
  </si>
  <si>
    <t>Sections 4.2 and 5.1, pp. 12, 14-15</t>
  </si>
  <si>
    <t>The study covers five patterns and one tool, one evaluation framework and one judge, and only zero-shot chain-of-thought prompting; LLM judges apply predefined criteria where human evaluators capture more nuance, and human evaluation remains the gold standard.</t>
  </si>
  <si>
    <t>Five patterns, one tool, one judge, one prompt style</t>
  </si>
  <si>
    <t>Section 4, pp. 3-4</t>
  </si>
  <si>
    <t>The evaluation measures perceptions rather than objective architectural correctness; participants were mostly academics judging their own repositories, which may bias them; the template was designed with only three experts; and the results depend on the prompting strategy, the template and one model configuration.</t>
  </si>
  <si>
    <t>Perceptions, own repositories, three-expert template, one model</t>
  </si>
  <si>
    <t>Section VI, p. 210</t>
  </si>
  <si>
    <t>The project is small and was built by novices, the study covers only VIPER in Swift, one model and only the project tree, and Bloom's taxonomy may not capture the complexity of architecture tasks.</t>
  </si>
  <si>
    <t>One small project, one style, one model, tree only</t>
  </si>
  <si>
    <t>Section VI-A, p. 9</t>
  </si>
  <si>
    <t>Recall is not assessed, so detected instances do not show that others are absent; much of the catalogue was never detected, possibly because some patterns cannot be seen in IaC alone; and there may be a trade-off between the generality of the approach and the accuracy and precision of metric-based alternatives.</t>
  </si>
  <si>
    <t>No recall; undetected patterns; generality against precision</t>
  </si>
  <si>
    <t>Sections IV and V, pp. 163-165</t>
  </si>
  <si>
    <t>The applications are realistic but simplified, the context window limits what can be inlined, answers about the behaviour of complex architectures are unreliable, and qualitative answers were judged subjectively.</t>
  </si>
  <si>
    <t>Simplified applications; context limits; subjective judging</t>
  </si>
  <si>
    <t>Sections 4.4.4 and 4.7, pp. 650, 652-653</t>
  </si>
  <si>
    <t>Limitations: no prompt-engineering expertise in the team, prompters who knew the original design and re-prompted towards it (which the authors say inflates accuracy), no objective measure of output quality, evaluators not blinded to which output was ChatGPT's, and few evaluators able to judge the architecture.</t>
  </si>
  <si>
    <t>Prompters knew the target; no blinding; no objective measure</t>
  </si>
  <si>
    <t>Limitations, p. 12; Internal Review, p. 10</t>
  </si>
  <si>
    <t>Opinions were mixed or neutral on design limitations: objective misalignment in design, design oversimplification, impractical recommendations, neglect of architectural expertise and conflicts with architectural constraints; the authors note the small sample of seven students.</t>
  </si>
  <si>
    <t>Mixed views on design oversimplification and expertise neglect</t>
  </si>
  <si>
    <t>Section 4.2, Limitations, p. 5; Section 5, p. 7</t>
  </si>
  <si>
    <t>Applying the approach to full-scale problems remains a challenge: the model's knowledge capacity is limited, quality degrades when the context is overloaded, and the tool is least effective on intricate systems, where it would be most useful.</t>
  </si>
  <si>
    <t>Does not yet scale to full-size systems</t>
  </si>
  <si>
    <t>Sections 5.3 and 7, pp. 36-37</t>
  </si>
  <si>
    <t>The evaluation used three case studies with relatively simple diagrams and only one pair of diagram types; correction was not fully automatic, and the effect of erroneous detections on the updated diagrams was not quantified.</t>
  </si>
  <si>
    <t>Simple diagrams; one view pair; partly manual</t>
  </si>
  <si>
    <t>Section 6, pp. 9-10</t>
  </si>
  <si>
    <t>Limitations named: one model, one problem domain, student evaluators with uneven UML expertise and possible evaluator bias, no interactive refinement, and tests on pooled completeness and correctness scores.</t>
  </si>
  <si>
    <t>One model, one domain, student raters</t>
  </si>
  <si>
    <t>Section 5, p. 17; Section 6, pp. 17-18; Section 7, p. 19</t>
  </si>
  <si>
    <t>State machines are of lower quality than use case and block diagrams; grading is partly subjective, student times are estimates, the evaluation pits a tool against students rather than engineers with and without it, and the property grades are biased because some students skipped the question.</t>
  </si>
  <si>
    <t>Weaker state machines; subjective grading, estimated times</t>
  </si>
  <si>
    <t>Evaluation; Threats to Validity, pp. 16-17</t>
  </si>
  <si>
    <t>Limitations named: one project and one model, a limited set of questions, the OOP and layered-architecture assumptions behind the PO-CCG, prompts that may not be the best, and questions over many microservices that could not be tested with full source code.</t>
  </si>
  <si>
    <t>One project, one model, limited questions</t>
  </si>
  <si>
    <t>Discussion, p. 17; Threats to Validity, pp. 19-20</t>
  </si>
  <si>
    <t>Limitations named: one project of moderate complexity, a waterfall process only, a student project supervised by the authors as the oracle, and the prompt-writing skills involved.</t>
  </si>
  <si>
    <t>One supervised project; waterfall only</t>
  </si>
  <si>
    <t>Section 3.2, pp. 2-3; Section 5, pp. 4-5</t>
  </si>
  <si>
    <t>The authors note that their initial findings come from a limited setup and need further validation.</t>
  </si>
  <si>
    <t>Limited preliminary setup</t>
  </si>
  <si>
    <t>Few case studies; the graph method was assessed by the authors on models they designed, with a risk of confirmation bias, and depends on the quality of the engineer's tags; false negatives and users' time were not measured, and the effect of erroneous detections on updated diagrams was not quantified.</t>
  </si>
  <si>
    <t>Few cases; author-designed models; no false negatives</t>
  </si>
  <si>
    <t>Section 6.3, pp. 34-35</t>
  </si>
  <si>
    <t>ChatGPT struggled with foundational or traditional tactics: in Flink it found 6 tactics and missed 17, against 18 found by Archie, so the authors conclude it is not yet a replacement for specialised tools.</t>
  </si>
  <si>
    <t>Misses traditional tactics; not a replacement</t>
  </si>
  <si>
    <t>Abstract; Sections 3.2 and 5, pp. 4363, 4367-4368; Table 4</t>
  </si>
  <si>
    <t>The evidence is narrow: results are shown for one of five open-source systems, a single LLM is tested, and the findings may not carry over to proprietary or less structured code bases.</t>
  </si>
  <si>
    <t>One reported system, one model, open source only</t>
  </si>
  <si>
    <t>Sections 3.2 and 4, p. 4368</t>
  </si>
  <si>
    <t>Zero-shot GPT-5-mini found almost none of the smell-inducing issues (average recall .022 and .027) and, for Arcade-detected smells, was the only configuration not significantly better than the random baseline; the authors conclude that the intrinsic architectural reasoning of LLMs is insufficient without learning from project-specific patterns. Even the best configuration had low precision (.243 and .405), so most warnings are false alarms.</t>
  </si>
  <si>
    <t>Zero-shot LLM fails; low precision overall</t>
  </si>
  <si>
    <t>Section VI-B, pp. 50-51; Tables IV-V</t>
  </si>
  <si>
    <t>The evidence covers three open-source projects and two smell types from two detectors used as proxies for decay; issue-commit links are incomplete where changes bypass the issue tracker (StackGres), and smells introduced deliberately are not separated from accidental ones.</t>
  </si>
  <si>
    <t>Three projects, two smell types, incomplete links</t>
  </si>
  <si>
    <t>Sections VI-A, VII-B and VII-C, pp. 50, 52-53</t>
  </si>
  <si>
    <t>Grouping commits into initiatives works best when teams follow consistent commit conventions and reference Jira tickets, and degrades with sparse messages or divergent workflows; ADR validation works for concrete, rule-like decisions and less for subjective patterns; drift that the system and the architects both miss stays undetected, because false negatives are not measured.</t>
  </si>
  <si>
    <t>Depends on commit conventions; weak on subjective decisions; recall unknown</t>
  </si>
  <si>
    <t>Section 5, p. 1335</t>
  </si>
  <si>
    <t>Model limitations reported: generative models need high-quality data and may lack interpretability, deep learning may struggle with unforeseen scenarios, reinforcement learning can be unstable in training, and learned autoscaling depends on workload predictions that may not match real-time conditions.</t>
  </si>
  <si>
    <t>Data dependence, opacity and instability of the models</t>
  </si>
  <si>
    <t>5.2 Reported reliability problems: hallucination, inconsistency, non-determinism</t>
  </si>
  <si>
    <t>Section 5.2 (Q2); Table 1, pp. 11, 15</t>
  </si>
  <si>
    <t>Absence: hallucination, inconsistency between runs and non-determinism of generative models are not mentioned, although language models are presented as the leading trend.</t>
  </si>
  <si>
    <t>Absence: no generative-model reliability failures discussed</t>
  </si>
  <si>
    <t>whole paper; Table 1 is where they would appear</t>
  </si>
  <si>
    <t>Model accuracy is the most cited challenge (15%, 9 sources) and hallucination follows (8%, 5); bias and persistent hallucination are said to compromise reliability and trust, and 15% (9) of the sources mention no challenge at all.</t>
  </si>
  <si>
    <t>Accuracy and hallucination top the challenges</t>
  </si>
  <si>
    <t>Section 4.4; Table 21, pp. 15-16</t>
  </si>
  <si>
    <t>Hallucination is treated as the first threat: mitigated by chain-of-thought prompting, dependency cross-checks, self-consistency questions and a rule that a file confirmed three times in its module is not checked again, while the authors acknowledge it cannot be eliminated.</t>
  </si>
  <si>
    <t>Hallucination mitigated but not eliminated</t>
  </si>
  <si>
    <t>Sections 3.2.2 and 5.2, pp. 1690, 1697</t>
  </si>
  <si>
    <t>Data leakage is considered: six of the nine ground truths predate the model’s knowledge cut-off, and the absence of significant differences across projects is taken to show little effect.</t>
  </si>
  <si>
    <t>Data leakage judged minimal</t>
  </si>
  <si>
    <t>Stochasticity and sensitivity to prompt wording are named as the main internal threat; with one run per configuration the variance of the outputs is unknown, and the authors propose studying that variability in its own right.</t>
  </si>
  <si>
    <t>Unassessed run-to-run variability</t>
  </si>
  <si>
    <t>Sections 4.6 and 6, pp. 6-7</t>
  </si>
  <si>
    <t>Outputs depend on prompt wording, controlled only by using one template, and the public Apache commits and decisions may be in the models' pretraining data, a leakage risk for the scores.</t>
  </si>
  <si>
    <t>Prompt sensitivity and data leakage</t>
  </si>
  <si>
    <t>Section 6 (Internal validity), p. 7</t>
  </si>
  <si>
    <t>Answers vary across the ten repetitions of the same prompt: most models keep a stable structure but change their recommendations, and the most consistent model (Qwen) is also the weakest.</t>
  </si>
  <si>
    <t>Run-to-run variation in recommendations</t>
  </si>
  <si>
    <t>Section IV-B, p. 279; Section V-A, p. 280; Table II, p. 281</t>
  </si>
  <si>
    <t>Output-format constraints are not reliably followed: only two of six models returned strictly valid JSON in every scenario; the others wrapped it in markdown or mixed JSON and YAML.</t>
  </si>
  <si>
    <t>Required output format broken by most models</t>
  </si>
  <si>
    <t>Section V-C, p. 282; Section VII, p. 283</t>
  </si>
  <si>
    <t>To limit hallucination the model is told to check each answer against its role and regenerate if it is inconsistent; whether this worked is not reported.</t>
  </si>
  <si>
    <t>Self-check against the role, effect unreported</t>
  </si>
  <si>
    <t>Asked to rely on what they learned in training, models hallucinate the steps of ADD, so the method has to be supplied explicitly.</t>
  </si>
  <si>
    <t>Hallucinated method steps</t>
  </si>
  <si>
    <t>Section IV-A, p. 4</t>
  </si>
  <si>
    <t>The proposed architectural style oscillates: in an additional experiment on another system, the same model switched between modular monolith and microservices over eight rounds and models disagreed with each other, and Claude Opus chose a modular monolith under ADD but microservices zero-shot.</t>
  </si>
  <si>
    <t>Architectural style oscillates across runs and models</t>
  </si>
  <si>
    <t>Section VI-A; Table VI, p. 12</t>
  </si>
  <si>
    <t>LLM non-determinism can vary the agents' decisions between runs and mask the effect of the coordination strategies; the authors mitigate it by repeating each experiment ten times with statistical tests.</t>
  </si>
  <si>
    <t>Non-determinism mitigated by repetition</t>
  </si>
  <si>
    <t>Debates do not always converge: when agents disagree for several turns, deciding takes longer and total time varies, and without consensus after five turns the previous configuration is kept; Fig. 11 marks three of nine debate rounds without consensus.</t>
  </si>
  <si>
    <t>Debates that fail to converge</t>
  </si>
  <si>
    <t>Sections 4.3.3 and 6.3, pp. 6, 13; Fig. 11</t>
  </si>
  <si>
    <t>Model output often looks plausible but lacks depth, omitting design rationale and historical context, and opaque reasoning hinders verification, so a single call can give incomplete or misleading documentation; validator agents with refinement loops are the mitigation.</t>
  </si>
  <si>
    <t>Plausible but shallow output; validators as mitigation</t>
  </si>
  <si>
    <t>LLM-based synthesis risks plausible but unsupported abstractions and hallucinated structures; the planned mitigations are explicit knowledge constraints, a validator agent that returns insufficiently supported claims for re-analysis, and a fail-closed policy that marks remaining unsupported claims as hypotheses or unknown.</t>
  </si>
  <si>
    <t>Unsupported abstractions; validator and fail-closed policy</t>
  </si>
  <si>
    <t>Sections I, III and VI-B, pp. 534, 536, 539-540</t>
  </si>
  <si>
    <t>LLM responses are non-deterministic and hallucinations occur; practitioners repeat prompts and give feedback, so strong consolidation and validation are needed, which the authors address with structured, schema-validated output and response validation in the adapter.</t>
  </si>
  <si>
    <t>Non-determinism and hallucination; structured output as remedy</t>
  </si>
  <si>
    <t>Sections 3 and 5, pp. 5, 7</t>
  </si>
  <si>
    <t>Uncertain (4.12-4.87%) and misleading (1.59-3.24%) arguments remain with every strategy: uncertain ones do not fall with chain-of-thought or agents, which the authors attribute to missing context, while misleading ones fall with explicit trade-off reasoning and most with the reviewer agent. Zero-shot output leans to advantages and sometimes strays into alternative decisions or code. The agents' web search may still reach mirrored copies of the source posts, a leakage risk the authors acknowledge.</t>
  </si>
  <si>
    <t>Uncertain arguments persist; reviewer cuts misleading ones</t>
  </si>
  <si>
    <t>Sections 4.1-4.3, 5.1, 5.2 and 6, pp. 19-22, 26, 29-31</t>
  </si>
  <si>
    <t>Absence: variation between runs is not examined, and the number of runs and the sampling settings are not given; hallucination is not named as such, although misleading arguments are counted.</t>
  </si>
  <si>
    <t>Absence: run-to-run variation not examined</t>
  </si>
  <si>
    <t>Sections 3.4 and 6 are where they would appear, pp. 10-14, 31-32</t>
  </si>
  <si>
    <t>Zero-shot prompting is said to lead LLMs frequently to hallucinate, citing S4; the remedies proposed are interaction among agents, knowledge injection and the Evaluator's check against the requirements, none of them tested.</t>
  </si>
  <si>
    <t>Hallucination cited; agents, knowledge and evaluation as remedies</t>
  </si>
  <si>
    <t>Sections 1, 2.2.4 and 4, pp. 530, 532-533</t>
  </si>
  <si>
    <t>Models may not keep to the requested format, so responses are parsed by rules (lines starting with '-', the word 'component' removed, spaces and duplicates removed); non-determinism is countered with temperature zero and a fixed seed; and results are sensitive to naming, as one difference (PersistenceTier from Codellama 13b, DataStorage from GPT-4o) went with precision of 0.81 against 0.49 on MediaStore. Data leakage cannot be ruled out for the closed models.</t>
  </si>
  <si>
    <t>Format parsing, fixed seed, sensitivity to naming</t>
  </si>
  <si>
    <t>Sections III-B, V-D and V-E, pp. 4, 8, 10</t>
  </si>
  <si>
    <t>Errors came from semantic and logical misinterpretation of the decision (45%), inability to infer implicit or missing context (28%), insufficient domain and technical knowledge (18%) and overgeneralisation with unsupported inference (9%), the last despite repeated warnings in the prompt. Stochastic variation is controlled with low temperature and a fixed seed, malformed JSON is corrected and failed calls retried, and hallucination is named as a threat, mitigated by the validator models and human validation.</t>
  </si>
  <si>
    <t>Misinterpretation, missing context, knowledge gaps, overgeneralisation</t>
  </si>
  <si>
    <t>Sections III-E, IV-C and VI, pp. 5, 9-10; Table IX</t>
  </si>
  <si>
    <t>Agreement among the models is substantial overall (Fleiss' kappa 0.724) but uneven: highest when code clearly complies, low for violations and undecidable decisions, and Llama 3.1 diverges most from the others (Jaccard 0.73-0.82), so different models interpret the same decision differently.</t>
  </si>
  <si>
    <t>Substantial but uneven agreement between models</t>
  </si>
  <si>
    <t>Sections IV-A and V, pp. 6-7, 9</t>
  </si>
  <si>
    <t>Absence: hallucination, variation between runs and the possibility that well-known projects (such as Django, Pandas or Chromium) are in the model's training data are not discussed.</t>
  </si>
  <si>
    <t>Absence: no reliability threats of the LLM discussed</t>
  </si>
  <si>
    <t>Section V-C is where they would appear, pp. 356-357</t>
  </si>
  <si>
    <t>Models share false answers: GPT-4o and GPT-4o mini, and Mistral and Llama, are more similar in their false answers than in their true ones, which the authors relate to similar training data or architectures; false answers vary so much in wording that fuzzy matching found them with a precision of only 0.5, which the authors attribute to hallucination; output randomness is named as a threat to reliability, countered by sharing the responses.</t>
  </si>
  <si>
    <t>Shared hallucinations; output randomness</t>
  </si>
  <si>
    <t>Sections 2, 4 and 6, pp. 105, 108-110; Fig. 4</t>
  </si>
  <si>
    <t>Absence: each diagram was assessed once; variation between runs and hallucination are not discussed.</t>
  </si>
  <si>
    <t>Absence: one run, no reliability threats of the LLM discussed</t>
  </si>
  <si>
    <t>Section 5 is where it would appear, pp. 121-122</t>
  </si>
  <si>
    <t>Some fixes introduced new violations (Table I: 2 of 20 for Gemini, 5 of 20 for ChatGPT) and performance varied across architectures, which the authors say calls for more consistency; variation between runs is not tested, citing an earlier study in which ChatGPT improved over up to three repeated inferences.</t>
  </si>
  <si>
    <t>Fixes that introduce violations; variation across architectures</t>
  </si>
  <si>
    <t>Sections IV-D and IV-E; Table I, p. 408</t>
  </si>
  <si>
    <t>Generation still failed in 15 to 41 of the 340 repositories per configuration after up to three compiler-feedback retries; the reliability and possible self-preference of the LLM judge and possible training-data leakage are named as threats, the leakage partly mitigated by 113 repositories created or updated after 2023.</t>
  </si>
  <si>
    <t>Generation failures; judge reliability; leakage</t>
  </si>
  <si>
    <t>Sections III-D and VI; Table III, pp. 247, 250, 254</t>
  </si>
  <si>
    <t>Absence: variation between runs and the possible presence of the public benchmark data in the models' training data are not discussed.</t>
  </si>
  <si>
    <t>Absence: no run variation or contamination discussed</t>
  </si>
  <si>
    <t>Section IV is where it would appear, p. 4</t>
  </si>
  <si>
    <t>Models hallucinated topics, services and communication paths that were not in the topology, disagreed on whether /parameter_events forms a valid path, mixed up publishers and subscribers or the direction of a path, and differed widely in the perplexity of their explanations (19.6 to 103.6); each question was asked once.</t>
  </si>
  <si>
    <t>Hallucinated entities and paths; model disagreement</t>
  </si>
  <si>
    <t>Sections 4.7, 6.2-6.3 and 7, pp. 5-9</t>
  </si>
  <si>
    <t>Absence: incorrect or hallucinated suggestions by the mentor are not examined; the chat protocols are analysed for the roles the model played, not for errors.</t>
  </si>
  <si>
    <t>Absence: errors in the mentor output not examined</t>
  </si>
  <si>
    <t>Section 6 is where they would appear, pp. 9-11</t>
  </si>
  <si>
    <t>Some outputs, mostly with Gemini as drafter or refiner, were not valid PlantUML; results varied widely between model pairs, and extra components could be hallucinations, although the authors judge those of o3 plausible extensions.</t>
  </si>
  <si>
    <t>Invalid outputs; variance between pairs</t>
  </si>
  <si>
    <t>Sections V-B, V-D and VI-A, pp. 403-407</t>
  </si>
  <si>
    <t>Generated artifacts contained mistakes and omissions that designers corrected (for example, a sequence diagram redrawn to fix errors), one pair gave up after many prompts failed to produce a valid C4 model in Structurizr, and the model's non-determinism was both exploited for alternatives and a source of drift.</t>
  </si>
  <si>
    <t>Mistakes corrected; invalid C4 output; non-determinism</t>
  </si>
  <si>
    <t>Sections 4.1.2, 4.3.1 and 4.3.3, pp. 1786-1789</t>
  </si>
  <si>
    <t>Models disagreed on two of the 14 problems, ChatGPT gave two different answers when asked the same question twice, and participants raised hallucination and the lack of reasoning behind choices; the authors suspect overfitting or bias in the training data behind unanimous choices.</t>
  </si>
  <si>
    <t>Disagreement, inconsistent answers, possible training bias</t>
  </si>
  <si>
    <t>Results RQ2-RQ3; Workshop summary, pp. 91-92</t>
  </si>
  <si>
    <t>To test for hallucination, identifiers and comments were anonymised: the model still described functionality roughly correctly, but its identification of ensembles got worse; answers were kept in the chat history, and repeating questions showed no gradual improvement.</t>
  </si>
  <si>
    <t>Anonymisation test; chat-history effect checked</t>
  </si>
  <si>
    <t>Sections 4.3 and 4.5, pp. 219-220</t>
  </si>
  <si>
    <t>A static dependency graph is supplied to keep the model from inventing entities; each configuration was run once, which the authors accept because models converged; the open-source benchmark may be in the models' training data, and API changes prevent exact replication.</t>
  </si>
  <si>
    <t>Grounding against invented entities; single runs; leakage</t>
  </si>
  <si>
    <t>Sections IV-C and VII, pp. 273, 277</t>
  </si>
  <si>
    <t>Spurious 'umbrella' services and links (logging, configuration, administration) came from the model's priors rather than the requirements; non-determinism is named as a threat, handled with a fixed temperature, and the single example may steer the output.</t>
  </si>
  <si>
    <t>Prior-driven additions; non-determinism; example bias</t>
  </si>
  <si>
    <t>Sections 4.2 and 6, pp. 84, 87</t>
  </si>
  <si>
    <t>Absence: hallucination, inconsistency and the validation of LLM-generated models or conformance results are not discussed.</t>
  </si>
  <si>
    <t>Absence: reliability of LLM output</t>
  </si>
  <si>
    <t>Generation is acknowledged as probabilistic, with reliance on the number of generations for stable averages; open-source ADRs may be in the models' training data; title extraction was wrong for under 0.2% of records.</t>
  </si>
  <si>
    <t>Non-determinism; possible leakage; extraction errors</t>
  </si>
  <si>
    <t>Section 5.3, pp. 9-10</t>
  </si>
  <si>
    <t>Self-reported metrics were often hallucinated and did not match the generated diagram even when the diagram was reasonable; each configuration was run once, so stochastic variability was not characterised.</t>
  </si>
  <si>
    <t>Hallucinated metrics; single runs</t>
  </si>
  <si>
    <t>Sections 4.2, RQ4, and 5.1, pp. 19-20</t>
  </si>
  <si>
    <t>Online answers were often semantically invalid (drones omitted from the grouping; GPT-4o mini made 20-50 errors per run in the ensemble-first format), and one retry fixed about half; Gemini sometimes did not mark its answer; LLM and simulation stochasticity was handled by repeated runs, and results depend on prompt wording.</t>
  </si>
  <si>
    <t>Invalid answers; retries fix about half; stochasticity</t>
  </si>
  <si>
    <t>Sections 4.3, 6.4.5, 6.10.2 and 6.10.4, pp. 4, 8, 12-13</t>
  </si>
  <si>
    <t>Unsupported figures (for example '5000+ Daily Active Users' and '93% industry adoption') came from retrieved content rather than the transcripts; zero-shot outputs varied most between rounds, and non-determinism was handled with three rounds per approach.</t>
  </si>
  <si>
    <t>Retrieval-induced hallucination; round-to-round variation</t>
  </si>
  <si>
    <t>Sections 5.1, 5.3 and 7, pp. 4-6</t>
  </si>
  <si>
    <t>Most precision loss came from plausible but ungrounded links attached to infrastructure hubs; each configuration was run once, and prior exposure of the benchmark systems in training data is possible.</t>
  </si>
  <si>
    <t>Ungrounded hub links; single runs; possible leakage</t>
  </si>
  <si>
    <t>Sections 4.2 and 6, pp. 5-7</t>
  </si>
  <si>
    <t>Unreliable visual perception: for Exception Miner the model reported the GitHub API and its HTTP interaction as missing although both are in the diagram, and built a coherent but wrong critique on it; non-determinism is acknowledged, each case was run once, and multi-run aggregation is proposed.</t>
  </si>
  <si>
    <t>Diagram elements misread; single runs; non-determinism</t>
  </si>
  <si>
    <t>Sections 4.2, 5 and 6; Table 2, pp. 92, 94-95</t>
  </si>
  <si>
    <t>Absence: hallucination, inconsistency or non-determinism of the agent's output is not discussed for the framework, although related work is cited for multi-agent decomposition reducing hallucination.</t>
  </si>
  <si>
    <t>Absence: reliability of the agent not discussed</t>
  </si>
  <si>
    <t>Allocating functions in large batches risks hallucinated or missed assignments, so each batch is validated against the actual functions (each assigned exactly once, none invented) and missed ones are re-batched; failed queries are self-corrected; variation between runs is not discussed.</t>
  </si>
  <si>
    <t>Hallucinated or missed assignments caught by validation</t>
  </si>
  <si>
    <t>Sections V.C and VI.B, pp. 497-498</t>
  </si>
  <si>
    <t>Answers varied between repetitions (aleatoric uncertainty), which a majority vote over five runs largely overcame; the study is motivated by answers that looked accurate but were hallucinated from component names; sensitivity to the exact question wording is the main threat to validity.</t>
  </si>
  <si>
    <t>Variation between runs; hallucination from names; wording sensitivity</t>
  </si>
  <si>
    <t>Sections 1, 4.3, 4.5 and 6, pp. 608, 613, 615, 617</t>
  </si>
  <si>
    <t>The general models hallucinated patterns, descriptions and references, and the same question asked several times gave different recommendations, so every output needs checking.</t>
  </si>
  <si>
    <t>Hallucinated patterns and references; inconsistent answers</t>
  </si>
  <si>
    <t>Section 4.3; Table 1, pp. 3-4</t>
  </si>
  <si>
    <t>Unconstrained LLM generation produces structurally inconsistent decompositions, which the authors call architectural hallucination: about a quarter of the first-generation candidates failed the Lean invariants, and stochastic instability motivates the constrained search.</t>
  </si>
  <si>
    <t>Structurally invalid candidates from unconstrained generation</t>
  </si>
  <si>
    <t>Sections 1-2 and 5, pp. 366-368</t>
  </si>
  <si>
    <t>The public systems may be in the models' training data; run-to-run variability was not quantified; the observations are not independent; and preference measures perceived usefulness rather than correctness, while high agreement can rest on shallow reasoning.</t>
  </si>
  <si>
    <t>Possible training exposure; unquantified variability; shallow reasoning</t>
  </si>
  <si>
    <t>Sections 3.3, 5 and 6, pp. 5, 9-10</t>
  </si>
  <si>
    <t>LLM-based extraction is susceptible to hallucination, producing plausible but incorrect knowledge, and its errors must be distinguished from real inconsistencies in the artefacts.</t>
  </si>
  <si>
    <t>Hallucinated extractions; error versus inconsistency</t>
  </si>
  <si>
    <t>The local models produced diagrams that ignored the specification, were class diagrams or contained hallucinated elements; LLM outputs are non-deterministic and need several prompt iterations; and five of the twelve generated diagrams contain isolated components.</t>
  </si>
  <si>
    <t>Off-format and hallucinated output locally; non-determinism; disconnected diagrams</t>
  </si>
  <si>
    <t>Sections I, III-A and IV; Table I, pp. 291, 293, 297</t>
  </si>
  <si>
    <t>Even at temperature 0.01 with a fixed seed, runs varied: node counts were fairly stable (coefficients of variation 6.6-15.5%), edge counts much less (16.8-38.3%, from 7 to 18 edges in one case), and variation grew from the Context to the Container step as differences propagated through the chain.</t>
  </si>
  <si>
    <t>Stable entities, unstable relationships; variance compounds across the chain</t>
  </si>
  <si>
    <t>Sections 6.2 and 7, pp. 5-7; Fig. 2</t>
  </si>
  <si>
    <t>Automatic knowledge-graph construction introduces inaccuracies, which are left to be caught during the supervised analysis, where wrong nodes or relations are traced to their sources and corrected.</t>
  </si>
  <si>
    <t>Construction errors left to human verification</t>
  </si>
  <si>
    <t>Sections III-B and III-C, p. 116</t>
  </si>
  <si>
    <t>Unconstrained LLM-based recovery may produce implausible, incomplete, inconsistent, hallucinated or unsupported elements, which the blueprint and the staged artefacts are meant to prevent.</t>
  </si>
  <si>
    <t>Hallucination risk addressed by constraints</t>
  </si>
  <si>
    <t>Sections 1 and 2, pp. 100, 102</t>
  </si>
  <si>
    <t>LLMs are prone to hallucinated architectural suggestions that sound plausible but are incorrect or irrelevant, and the manual validation they need can cancel the intended productivity gain.</t>
  </si>
  <si>
    <t>Hallucinated suggestions need manual validation</t>
  </si>
  <si>
    <t>With sparse documentation, the three runs were weakly consistent and gave no rating for three statements in any run; the authors report that higher-quality input reduces hallucinations and makes the task more structured.</t>
  </si>
  <si>
    <t>Weak consistency and missing ratings on sparse input</t>
  </si>
  <si>
    <t>Section 5.2, pp. 14, 16</t>
  </si>
  <si>
    <t>Classification quality varied with the taxonomy and prompting strategy, which the authors attribute to the stochastic nature of LLMs and the subjectivity of the taxonomies; outputs may be affected by prompt design, ambiguous phrasing and project-specific terminology, and the model was told to rely on explicit information to limit hallucinations.</t>
  </si>
  <si>
    <t>Prompt-dependent, variable classification</t>
  </si>
  <si>
    <t>Sections 3.5 and 5.1, pp. 8-9, 14</t>
  </si>
  <si>
    <t>Answers drew on information not in the retrieved context, and retrieval missed the relevant documents for four of five questions; the authors name intra-model favouritism of LLM judges as a risk and plan a jury of smaller models.</t>
  </si>
  <si>
    <t>Ungrounded answers, failed retrieval, judge bias</t>
  </si>
  <si>
    <t>Sections 3-4, pp. 3-4</t>
  </si>
  <si>
    <t>Diagrams were the most fragile output (32 coded occurrences of errors, such as truncated class diagrams), followed by deployment views (14: unclear relations, spurious arrows), missing information (8) and inconsistencies across sections (6); only 11 of 22 agreed that they would use the documentation as a reliable reference.</t>
  </si>
  <si>
    <t>Diagram and deployment errors; half would rely on it</t>
  </si>
  <si>
    <t>Section V-D; Table III; Fig. 4, pp. 208-210</t>
  </si>
  <si>
    <t>Tuning the questions for clarity may bias them, manual grading is subjective and has no inter-rater check yet, the model's reasoning is a black box, and lower-level answers failed on specific information retrieval.</t>
  </si>
  <si>
    <t>Question tuning bias; subjective grading; retrieval errors</t>
  </si>
  <si>
    <t>Sections V and VI-A, pp. 8-9</t>
  </si>
  <si>
    <t>Detections are inconsistent between runs on the same input (for one repository nothing in the first run, two wrong patterns in the second and two correct ones in the third), 15 of the high-certainty detections in Table I were absent, and the verification was done by one researcher.</t>
  </si>
  <si>
    <t>Run-to-run inconsistency; wrong high-certainty detections; one verifier</t>
  </si>
  <si>
    <t>Reliability problems include ignoring the tool and hallucinating, requesting non-existent files, inconsistent results across models and applications, answers that may build on the model's own earlier answers kept in the chat history, stochastic outputs and changes to remotely run models.</t>
  </si>
  <si>
    <t>Ignored tools, hallucination, inconsistency, context carry-over</t>
  </si>
  <si>
    <t>Sections 4.3, 4.4.1 and 4.7, pp. 646-653</t>
  </si>
  <si>
    <t>ChatGPT gave design choices without evidence for its rationale, omitted relevant frameworks until prompted, generated code that first computed the wrong quantity and had bugs, overlooked features suggested in the design phase, and may hallucinate or change behaviour over time.</t>
  </si>
  <si>
    <t>No rationale evidence; omissions; buggy code; drift</t>
  </si>
  <si>
    <t>Discussion, p. 11; Limitations, p. 12</t>
  </si>
  <si>
    <t>Students questioned the quality and reliability of ChatGPT's fast outputs and found integrating them difficult, and the authors warn that it may oversimplify complex tasks or suggest unhelpful designs because it understands context only partly.</t>
  </si>
  <si>
    <t>Output quality, integration problems, unhelpful designs</t>
  </si>
  <si>
    <t>Section 4.1, pp. 4-5; Section 5, p. 7</t>
  </si>
  <si>
    <t>Answers vary randomly and may be irrelevant, which motivates the feedback loop; state machines often needed many iterations, and after ten iterations one still had a useless guard and a signal with the wrong number of attributes.</t>
  </si>
  <si>
    <t>Random answers; residual errors after the loop</t>
  </si>
  <si>
    <t>Sections 3.1 and 4.3, pp. 29, 32-33</t>
  </si>
  <si>
    <t>The output-token limit forces diagrams to be generated through several queries, and the stochastic model introduces inconsistencies within and across diagrams; detection produced erroneous inconsistencies, and state machines from TTool-AI often fail its syntax checker.</t>
  </si>
  <si>
    <t>Token limits and stochastic output cause inconsistency</t>
  </si>
  <si>
    <t>Sections 1, 5.3 and 6, pp. 1, 9-10</t>
  </si>
  <si>
    <t>The generated deployment diagram lacked UML stereotypes and «manifest», and relationships and communication paths scored lower; more generally the model struggled with precise relationships, and GPT-4-turbo cannot detect and revise its own constraint violations.</t>
  </si>
  <si>
    <t>Missing stereotypes; weak relationships; no self-correction</t>
  </si>
  <si>
    <t>Sections 4.2.2, 5 and 6, pp. 15, 17-18; Appendix B, pp. 25-26</t>
  </si>
  <si>
    <t>LLMs rarely answer correctly at the first attempt, and without injected knowledge GPT invented syntax; signal and attribute names often mismatch; the generated use case diagram missed an actuator actor and drew include relationships the wrong way, and a generated state machine had a syntax error.</t>
  </si>
  <si>
    <t>Invented syntax; name mismatches; diagram errors</t>
  </si>
  <si>
    <t>Mechanisms, pp. 5, 7; pp. 9-11; Evaluation, p. 16</t>
  </si>
  <si>
    <t>ChatGPT hallucinated methods, classes, endpoints and connections not in the code, its answers were brittle to small prompt changes, it omitted parts of multi-part questions, and without a definition it misread 'service dependency graph'; no mitigation of hallucination was implemented.</t>
  </si>
  <si>
    <t>Hallucinated connections; prompt brittleness</t>
  </si>
  <si>
    <t>RQ1, p. 17; Discussion, p. 18; Conclusion Validity, p. 20</t>
  </si>
  <si>
    <t>ChatGPT switched the actors of functionalities, produced class diagrams with wrong hierarchies and cardinalities and a semantically incorrect subsystem division at first, and its responses depend on how prompts are formulated.</t>
  </si>
  <si>
    <t>Wrong subsystem division; prompt sensitivity</t>
  </si>
  <si>
    <t>Section 4, p. 4; Section 5, p. 5</t>
  </si>
  <si>
    <t>The model hard-coded service keys and neglected security practice, and plain-text prompts failed on complex scenarios; the authors warn that hallucination may suggest deprecated or unavailable managed services or add unneeded requirements.</t>
  </si>
  <si>
    <t>Hard-coded keys; hallucinated services</t>
  </si>
  <si>
    <t>Sections 3.1 and 4, pp. 81-82</t>
  </si>
  <si>
    <t>The LLM produced false positives and false negatives and could not follow logical dependencies along simple two-edge paths; not all inconsistencies were corrected in one round; energy use, cost and context size limit its use, and large models must be split into parts.</t>
  </si>
  <si>
    <t>False positives and negatives; path blindness</t>
  </si>
  <si>
    <t>Section 5.1.4, p. 28; Section 5.2.2, pp. 31-32; Section 6.1.1, pp. 33-34</t>
  </si>
  <si>
    <t>ChatGPT reported many patterns and tactics that were judged wrong (4 false patterns, 16 false tactics in Flink), and the authors note that its effectiveness depends heavily on prompt quality.</t>
  </si>
  <si>
    <t>Many false positives; prompt-dependent</t>
  </si>
  <si>
    <t>Sections 3.2 and 4.1, pp. 4367-4368; Table 4</t>
  </si>
  <si>
    <t>Predictions do not carry across projects: trained on the other projects, the best configuration lost between .080 and .388 in F1 (on average .152 for Arcade and .242 for Arcan smells), so the textual patterns of smell-inducing issues are largely project-specific.</t>
  </si>
  <si>
    <t>Large drop in cross-project transfer</t>
  </si>
  <si>
    <t>Section VI-D, pp. 51-52; Table VII</t>
  </si>
  <si>
    <t>Absence: whether the agents judge the same initiative consistently across runs, and why the false flags arose, are not examined.</t>
  </si>
  <si>
    <t>Absence: consistency and false flags not analysed</t>
  </si>
  <si>
    <t>Section 5, p. 1335, is where they would appear</t>
  </si>
  <si>
    <t>Further empirical validation is called for: the practical impact of AI-driven decomposition lacks empirical study, and the use of language models in real-world design remains limited and unvalidated.</t>
  </si>
  <si>
    <t>Empirical validation of AI design tools called for</t>
  </si>
  <si>
    <t>6.1 Open challenges and stated future work</t>
  </si>
  <si>
    <t>T6. Challenges</t>
  </si>
  <si>
    <t>Sections 3, 5.3 and 7, pp. 6, 14-16</t>
  </si>
  <si>
    <t>T6: challenge</t>
  </si>
  <si>
    <t>Future work is to build non-functional requirements such as resilience, fault tolerance, security and compliance into AI-based design tools, and to address distributed data management.</t>
  </si>
  <si>
    <t>Non-functional requirements and data management as future work</t>
  </si>
  <si>
    <t>Sections 5.3 and 7, pp. 14-16</t>
  </si>
  <si>
    <t>The authors call for general evaluation methodologies, architecture-specific datasets and benchmarks, and clearer semantic traceability between architectural artefacts so that model effectiveness can be tested and compared.</t>
  </si>
  <si>
    <t>Evaluation methods, datasets and benchmarks needed</t>
  </si>
  <si>
    <t>Abstract; Sections 4.4 and 5.3, pp. 1, 15, 17</t>
  </si>
  <si>
    <t>A single generative-AI framework that engages all life-cycle phases is named as the advance still missing; current tools are pieces of the puzzle, not related to the phases before them.</t>
  </si>
  <si>
    <t>Integration across the architecture life cycle missing</t>
  </si>
  <si>
    <t>Formal verification and AI-driven compliance checking of generated output are proposed as a research direction, and the authors ask who will manage generated content as systems evolve, recalling the same problem in model-driven development.</t>
  </si>
  <si>
    <t>Formal verification and ownership of generated artefacts</t>
  </si>
  <si>
    <t>Sections 4.4 and 5.1, pp. 16-17</t>
  </si>
  <si>
    <t>Experimental comparisons of productivity and quality between human-written and AI-generated code in realistic settings are called for, together with architectural metrics to prevent degradation.</t>
  </si>
  <si>
    <t>Controlled human-versus-AI comparisons needed</t>
  </si>
  <si>
    <t>Further prompt optimisation, for example few-shot prompting, is named as future work.</t>
  </si>
  <si>
    <t>Prompt optimisation as future work</t>
  </si>
  <si>
    <t>The authors expect results to improve as stronger models become available, since performance tracked general model capability.</t>
  </si>
  <si>
    <t>Gains expected from stronger models</t>
  </si>
  <si>
    <t>Sections 5.1 and 6, p. 1697</t>
  </si>
  <si>
    <t>The use of language models for architecture recovery is described as still rarely explored.</t>
  </si>
  <si>
    <t>LLM-based architecture recovery under-explored</t>
  </si>
  <si>
    <t>Future work is to test the stability of generated architectures under repeated runs, different temperatures and alternative prompt formulations.</t>
  </si>
  <si>
    <t>Stability under repetition as future work</t>
  </si>
  <si>
    <t>Section 5 (research agenda), p. 7</t>
  </si>
  <si>
    <t>Hybrid workflows that combine text-driven generation with static dependencies, runtime information or architectural constraints are named as an open challenge.</t>
  </si>
  <si>
    <t>Hybrid evidence sources as an open challenge</t>
  </si>
  <si>
    <t>Models could support exploration by generating several alternatives, highlighting trade-offs and supporting what-if analysis, rather than producing one target architecture.</t>
  </si>
  <si>
    <t>Generating alternatives for what-if analysis</t>
  </si>
  <si>
    <t>Future work adds issue discussions, code reviews and repository-level context so that the model can find the rationale.</t>
  </si>
  <si>
    <t>Richer inputs to recover rationale</t>
  </si>
  <si>
    <t>Section 7, p. 7</t>
  </si>
  <si>
    <t>Larger evaluations across projects, languages and models, and evaluation methods that capture architectural meaning rather than text similarity, are named as needed.</t>
  </si>
  <si>
    <t>Larger studies and architecture-aware evaluation</t>
  </si>
  <si>
    <t>The authors see opportunities for architecture-aware LLM systems and automated architectural knowledge management, treating decision extraction as an architectural reasoning task.</t>
  </si>
  <si>
    <t>Architecture-aware systems for automated AKM</t>
  </si>
  <si>
    <t>Abstract; Section 5, pp. 1, 6</t>
  </si>
  <si>
    <t>Future work: expand CAPI's pattern base, enforce output formats through automated validation, and integrate model-driven recommendations into interactive design tools.</t>
  </si>
  <si>
    <t>Pattern base, format validation, tool integration</t>
  </si>
  <si>
    <t>Section VII, p. 283</t>
  </si>
  <si>
    <t>The authors note that most earlier studies test only one or two models and call for further studies on which design tasks which models can be used for, and how.</t>
  </si>
  <si>
    <t>More models across more design tasks</t>
  </si>
  <si>
    <t>Section II, p. 277</t>
  </si>
  <si>
    <t>Future work extends the tests to more models of different sizes and to datasets of cloud-based software, and studies undergraduate groups to compare AI and non-AI tutoring on motivation and on the resulting architectures.</t>
  </si>
  <si>
    <t>More models; comparison with human tutoring</t>
  </si>
  <si>
    <t>Future work adds specialised design knowledge (such as a tactics catalogue) and explicit trade-off analysis to the model's design decisions.</t>
  </si>
  <si>
    <t>Design knowledge and trade-off analysis</t>
  </si>
  <si>
    <t>Section VIII, p. 14</t>
  </si>
  <si>
    <t>Future work evaluates generated architectures with a second LLM, generates code from the architecture document while keeping the implementation aligned with the design, and measures the benefit of human guidance over the unattended baseline.</t>
  </si>
  <si>
    <t>LLM-based evaluation, code generation, value of guidance</t>
  </si>
  <si>
    <t>Sections VI-C and VIII, pp. 13-15</t>
  </si>
  <si>
    <t>Whether the approach works in domains with less published knowledge, such as embedded systems, remains to be tested.</t>
  </si>
  <si>
    <t>Other domains, such as embedded systems</t>
  </si>
  <si>
    <t>Future work tries further coordination strategies and newer model families (Gemma 4, Ministral 3, Qwen), and larger models in the debate strategy to shorten the time to consensus.</t>
  </si>
  <si>
    <t>More coordination strategies and stronger models</t>
  </si>
  <si>
    <t>Sections 6.3 and 7, pp. 13-14</t>
  </si>
  <si>
    <t>Future work adds more federated-learning architectural patterns, to widen the space of runtime design alternatives, and more datasets, models, rounds and clients.</t>
  </si>
  <si>
    <t>Wider space of runtime alternatives; larger evaluations</t>
  </si>
  <si>
    <t>Sections 6.5 and 7, p. 14</t>
  </si>
  <si>
    <t>Future work generates further artefacts such as C4 diagrams and adds agents that process unstructured, multimodal data to capture richer design knowledge.</t>
  </si>
  <si>
    <t>More artefacts and multimodal inputs</t>
  </si>
  <si>
    <t>Section 6, p. 4</t>
  </si>
  <si>
    <t>Longitudinal industrial studies are planned to assess scalability and long-term impact.</t>
  </si>
  <si>
    <t>Longitudinal industrial evaluation</t>
  </si>
  <si>
    <t>The next step is to execute the preregistered study: reproduce the baselines, validate pipeline comparability, quantify the effects of project-specific knowledge and interaction, and assess external validity with industrial experts.</t>
  </si>
  <si>
    <t>Executing the preregistered study</t>
  </si>
  <si>
    <t>Section VIII, p. 540</t>
  </si>
  <si>
    <t>Robust mechanisms for resolving ambiguity and verifying system-specific architectural intent are named as still emerging.</t>
  </si>
  <si>
    <t>Resolving ambiguity and verifying intent</t>
  </si>
  <si>
    <t>Future work implements the architecture in Python (FastAPI, Jinja2, JSON Schema, neo4j, OpenRouter), evaluates it through action research, case studies and practitioner surveys, and curates template content from community input and literature.</t>
  </si>
  <si>
    <t>Implementation and evaluation of the tooling</t>
  </si>
  <si>
    <t>Future work: test newer models as they appear, extend the Information_Collector to gather project context from code, documentation and configuration files, let the Aspect_Analyst trace the external knowledge behind each argument and generate code examples, add visual representations of rationale, refine the filtering against leakage, and run controlled experiments on how model size, architecture and training data affect rationale quality; practitioners ask for validation in real development.</t>
  </si>
  <si>
    <t>Project context, traceable knowledge, visual rationale, newer models</t>
  </si>
  <si>
    <t>Sections 5.1, 5.3, 6 and 8, pp. 28, 30-32, 35</t>
  </si>
  <si>
    <t>Future research: how to use or combine retrieval and fine-tuning for architectural decision making; communication protocols and data formats for sharing information, and mechanisms for resolving conflicts and making collective decisions among agents; and adaptive reasoning strategies with dynamic agent configurations.</t>
  </si>
  <si>
    <t>Knowledge injection, agent coordination, dynamic configurations</t>
  </si>
  <si>
    <t>Future work: improve code-based extraction with architecture recovery techniques such as information fusion, add context such as decision records, architecture diagrams and other parts of the documentation, separate test code from production code, preprocess code differently, for instance with code summarisation, and try models with built-in chain-of-thought reasoning such as OpenAI o1.</t>
  </si>
  <si>
    <t>Better code-based extraction, more context, reasoning models</t>
  </si>
  <si>
    <t>Section VI, p. 10</t>
  </si>
  <si>
    <t>Future directions: standardised ADR formats, static analysis combined with LLM reasoning for violations that depend on dependency or execution flow, model calibration and cross-model ensembles, better retrieval and context reconstruction, prompt design, hybrid human-in-the-loop workflows, and re-mining ADRs through version control instead of relying on the dataset's snapshot.</t>
  </si>
  <si>
    <t>Standard ADR formats, static analysis, ensembles, better retrieval</t>
  </si>
  <si>
    <t>Sections V and VI, p. 10</t>
  </si>
  <si>
    <t>Future work: expand the dataset, replace ENRE with more precise dependency extraction, and find the balance between general and project-specific component descriptions for systems of different complexity.</t>
  </si>
  <si>
    <t>Larger dataset, better dependencies, tuned descriptions</t>
  </si>
  <si>
    <t>Sections IV-D and V-C, pp. 353, 357</t>
  </si>
  <si>
    <t>Future work: extend the evaluation to other systems, and develop approaches that improve accuracy with recent prompting techniques, fine-tuning and combining the results of several models; researchers are asked to focus on training methodology rather than model size.</t>
  </si>
  <si>
    <t>Other systems; prompting, fine-tuning and model combination</t>
  </si>
  <si>
    <t>Future work: expand the dataset, evaluate newer models (o3, Gemini 2.5, DeepSeek-R1) and integrate LLM-based diagram review into real-world architecture workflows, with replication involving several experts, varied models and more diverse architectural artefacts.</t>
  </si>
  <si>
    <t>Larger dataset, newer models, several experts, real workflows</t>
  </si>
  <si>
    <t>Sections 5-6, p. 122</t>
  </si>
  <si>
    <t>Future work: integrate the recommender fully into AssistRA for real-time recommendations, support few-shot prompting and RAG, define an output format and presentation for the architect, and offer or combine alternative solutions.</t>
  </si>
  <si>
    <t>Tool integration, few-shot and RAG, output format, alternatives</t>
  </si>
  <si>
    <t>Sections III-C, IV-E and VI, pp. 407-409</t>
  </si>
  <si>
    <t>Future work: better repository summarisation, retrieval-augmented generation, multi-agent collaboration and architecture-specific evaluation metrics, a deeper understanding of failures for specific view types, and more datasets with formal notations.</t>
  </si>
  <si>
    <t>Summarisation, RAG, multi-agent, metrics, datasets</t>
  </si>
  <si>
    <t>Sections V and VIII, pp. 252-254</t>
  </si>
  <si>
    <t>Future work: more community tasks, agent-based evaluation environments, LLM-as-judge assessment and a regular evaluation cycle in which new models are benchmarked on release.</t>
  </si>
  <si>
    <t>More tasks, agent environments, LLM judge, regular cycles</t>
  </si>
  <si>
    <t>Future work: larger and industrial ROS2 systems, newer models, action servers, prompting techniques, other representations such as rospec, human verification of answers and questions grounded in GitHub issues; open questions include antipatterns, refactoring opportunities, telemetry for non-functional properties, agents and tactics for runtime self-adaptation.</t>
  </si>
  <si>
    <t>Larger systems, prompting, representations, runtime tactics</t>
  </si>
  <si>
    <t>Sections 7 and 9, pp. 9-11</t>
  </si>
  <si>
    <t>Future work: combine LLMs with more interactive and human-centred methods, increase interaction between the model and students, integrate more advanced models that can generate diagrams, and study long-term retention.</t>
  </si>
  <si>
    <t>Human-centred use, diagram generation, long-term effects</t>
  </si>
  <si>
    <t>Future work: time-split evaluation and private or industrial datasets, less common architectures, more systems, variance across runs and prompt sensitivity, practitioner adoption, cost and latency, human-in-the-loop refinement and longitudinal outcomes; fine-tuning, RAG, interactive methods and comparison with recovery methods are named as untested.</t>
  </si>
  <si>
    <t>Leakage-free data, variance, adoption, cost, RAG</t>
  </si>
  <si>
    <t>Sections VI-B and VII, pp. 407-408</t>
  </si>
  <si>
    <t>Future work: whether LLM use improves design quality, how collaboration patterns shape the resulting designs, solo and co-located designers, a more recent model, and tools that support forking and merging designs, flag diverging contexts and offer alternatives against anchoring.</t>
  </si>
  <si>
    <t>Design quality, collaboration effects, tool support</t>
  </si>
  <si>
    <t>Sections 5 and 6, pp. 1789-1790</t>
  </si>
  <si>
    <t>Future work: why human and model decisions differ (including training data and temperature), realistic problems with interrelated decisions and constraints, alternatives generated by several models, and integration into architecture education without over-dependence.</t>
  </si>
  <si>
    <t>Causes of divergence, realistic problems, several generators, education</t>
  </si>
  <si>
    <t>Future Work, pp. 94-95</t>
  </si>
  <si>
    <t>Future work: several models, generic ones and ones trained specifically on ensembles, and giving the architecture representation explicitly in a hinted question rather than leaving the model to find it.</t>
  </si>
  <si>
    <t>More models, explicit representation in the prompt</t>
  </si>
  <si>
    <t>Section 6, p. 221</t>
  </si>
  <si>
    <t>Future work: larger and more diverse benchmarks across languages and migration strategies, datasets with explicitly modelled business domains, hybrid approaches combining LLM reasoning with algorithmic and history-based clustering, retrieval, multi-agent and human-in-the-loop workflows, and runtime traces.</t>
  </si>
  <si>
    <t>Benchmarks, hybrid methods, agents, RAG, runtime traces</t>
  </si>
  <si>
    <t>Sections VI-B and VIII, pp. 276-277</t>
  </si>
  <si>
    <t>Future work: other prompting techniques such as dynamic exemplar selection, human-in-the-loop refinement, integration with static and runtime analysis for drift detection, domain fine-tuning with architectural ontologies, requirements of different granularity and evolving requirements, and longitudinal studies of stability across requirement iterations.</t>
  </si>
  <si>
    <t>Prompting, human refinement, drift detection, fine-tuning, stability</t>
  </si>
  <si>
    <t>Open challenges: versioning of continuously learning RL models, communication protocols for RL in industry, agentic AI architectures for production systems and RL support in CI/CD pipelines, with AI helping in each; further automation of the approach with industrial partners.</t>
  </si>
  <si>
    <t>RL versioning, protocols, agentic architectures, RL in CI/CD</t>
  </si>
  <si>
    <t>Sections 4 and 6, pp. 162-163, 165</t>
  </si>
  <si>
    <t>Future work: context selection adapted to decision type, hybrid recency and semantic retrieval, graph representations of dependencies between ADRs, grounding in code and design diagrams, self-contained ADR datasets, evaluation beyond text similarity, and longitudinal deployment studies.</t>
  </si>
  <si>
    <t>Adaptive and hybrid context, ADR graphs, code grounding, better evaluation</t>
  </si>
  <si>
    <t>Sections 5.2.2 and 7, pp. 9-10</t>
  </si>
  <si>
    <t>Future work: other representations (C4, architecture-as-code), staged approaches that generate the architecture first and derive metrics with external tools, repeated-execution studies, larger real-world systems, more styles and models, and a common benchmark for architecture generation.</t>
  </si>
  <si>
    <t>Other representations, staged metric computation, repeated runs, a benchmark</t>
  </si>
  <si>
    <t>Sections 5.1, 5.3 and 6, pp. 20, 22-24</t>
  </si>
  <si>
    <t>Future work: tool use and hierarchical division against laziness, hybrid online-offline prompting and few-shot examples of states and decisions, constraint tests for generated managers, rule guardrails, humans in the loop, and a logic-based constraint language from the authors' later work.</t>
  </si>
  <si>
    <t>Tools, hierarchy, hybrids, guardrails, tests, human input</t>
  </si>
  <si>
    <t>Sections 6.3.1 and 6.9, pp. 6, 11-12</t>
  </si>
  <si>
    <t>Future work: exposing decision status and granularity for users to correct, retrieving from the project's own ADR history, and traceability of enriched content back to its source, raised as an open question.</t>
  </si>
  <si>
    <t>Status controls, own-history retrieval, traceability</t>
  </si>
  <si>
    <t>Sections 5.1, 6 and 7, pp. 4-6</t>
  </si>
  <si>
    <t>Future work: domain-aware prompting with dynamic exemplar selection and targeted negatives, human-in-the-loop triage, hybrid pipelines with static and runtime signals and graph constraints, benchmarks stratified by cross-cutting density, metrics beyond precision and recall, longitudinal and multilingual studies, and blinded multi-rater mapping with statistical tests.</t>
  </si>
  <si>
    <t>Prompting, triage, hybrids, stratified benchmarks, better metrics</t>
  </si>
  <si>
    <t>Sections 5-7, pp. 6-7</t>
  </si>
  <si>
    <t>Future work: more diverse diagram types and documentation styles, including industrial ones; several multimodal models; multiple independent evaluators with inter-rater agreement; systematic tests of perception-check steps, image preprocessing and cross-modal consistency checks; better multimodal grounding and calibration; and the inverse task of generating diagrams from text.</t>
  </si>
  <si>
    <t>Diverse diagrams, more models and raters, perception checks</t>
  </si>
  <si>
    <t>Sections 5, 6 and 8, pp. 94-95</t>
  </si>
  <si>
    <t>Future work: one agent per DSM phase, a persistent PostgreSQL layer, time-level extension through the Asset Administration Shell with an MCP server and Neo4j, RAG over industrial knowledge bases, more ADLs, and multi-user collaboration formalised through a collaborative-network taxonomy.</t>
  </si>
  <si>
    <t>Multi-agent, persistence, lifecycle extension, RAG, multi-user</t>
  </si>
  <si>
    <t>Section 5, p. 14</t>
  </si>
  <si>
    <t>Future work: larger systems, interactive refinement with engineers to evaluate accuracy and scalability, other prompt designs and knowledge-graph structures, and systems in Java, C++, Python and COBOL.</t>
  </si>
  <si>
    <t>Larger systems, engineers in the loop, other languages</t>
  </si>
  <si>
    <t>Future work: instantiate more test patterns, find a better metric for functionality questions, and move to higher-level questions such as recommending a task that fits a given workflow architecture.</t>
  </si>
  <si>
    <t>More patterns, better metric, higher-level questions</t>
  </si>
  <si>
    <t>Section 6, p. 617</t>
  </si>
  <si>
    <t>Future work: implement and deploy the assistant with LangChain, evaluate it statistically with RAGAS, and test other prompting strategies and parameter settings.</t>
  </si>
  <si>
    <t>Build the assistant; RAGAS evaluation; other prompts and settings</t>
  </si>
  <si>
    <t>Sections 7-9, pp. 5-6</t>
  </si>
  <si>
    <t>Future work: richer formal invariants, communication style and ownership boundaries, stronger baselines, statistical analysis and expert evaluation, and an interactive human-in-the-loop workbench.</t>
  </si>
  <si>
    <t>Richer invariants, baselines, expert evaluation, workbench</t>
  </si>
  <si>
    <t>Future work: more systems, architectural styles and notations; richer project context, other prompting strategies and fine-tuning; interactive review workflows; per-model and inter-rater breakdowns, hierarchical models for repeated measures and a sensitivity analysis of the score threshold.</t>
  </si>
  <si>
    <t>More systems and notations, context, prompts, workflows, analyses</t>
  </si>
  <si>
    <t>Sections 6-7, p. 10</t>
  </si>
  <si>
    <t>Planned work: literature review and taxonomy, extraction framework, knowledge-base schema, consistency checking and resolution, the monitoring agent and question answering, with meeting minutes and recordings as later sources.</t>
  </si>
  <si>
    <t>Extraction, schema, consistency, agent and QA to be built</t>
  </si>
  <si>
    <t>Sections 1 and 3, pp. 487-489</t>
  </si>
  <si>
    <t>Future work: post-processing refinement, possibly with LLMs as judges; metrics counting satisfied requirements; generating several candidates and selecting the best; richer architectural patterns in the system prompt; other UML diagram types; and larger, more detailed specifications from real settings.</t>
  </si>
  <si>
    <t>Refinement, new metrics, multiple candidates, patterns, scale</t>
  </si>
  <si>
    <t>Sections III-A and IV-A, pp. 294, 298</t>
  </si>
  <si>
    <t>Future work: standardised frameworks to assess structural and semantic accuracy, retrieval-augmented or hierarchical extraction to scale to enterprise backlogs, and multi-agent generator-evaluator loops against error propagation.</t>
  </si>
  <si>
    <t>Evaluation frameworks, scaling by RAG, multi-agent self-correction</t>
  </si>
  <si>
    <t>Future work: broader evidence sources, full texts rather than first sections, a richer ontology, and validation across more tasks, domains and settings.</t>
  </si>
  <si>
    <t>Broader sources, full texts, richer ontology, more tasks</t>
  </si>
  <si>
    <t>Future work: a formal UML profile or metamodel, support for complex launch constructs, namespace propagation, remapping and repeated instantiation, behavioural or runtime evidence, and shared ROS 2 recovery benchmarks with reference models and common metrics.</t>
  </si>
  <si>
    <t>Profile, complex launch constructs, runtime evidence, benchmarks</t>
  </si>
  <si>
    <t>Section 6, p. 112</t>
  </si>
  <si>
    <t>Future work: a prototype application integrating deriving concerns from requirements, mapping concerns to modules and developing component designs, with ADR generation from historical data run as a background process, and a user interface for architect-AI collaboration.</t>
  </si>
  <si>
    <t>Prototype integrating the use cases; collaborative interface</t>
  </si>
  <si>
    <t>Sections 5 and 6, pp. 124-125</t>
  </si>
  <si>
    <t>Future work: more participants and projects, long-context models or RAG for lossless processing across files, comparing the reasoning of humans and the LLM, fine-tuning for domain knowledge, plugins for architects' design tools, and constructive, agent-based architecture activities.</t>
  </si>
  <si>
    <t>More data, long context or RAG, reasoning comparison, agents</t>
  </si>
  <si>
    <t>Sections 5.3 and 6, pp. 16-17</t>
  </si>
  <si>
    <t>Future work: qualitative studies with practitioners, industrial and private repositories, ADRs enriched with inferred metadata or linked into semantic graphs, LLM tools that help write better ADRs with project context, and use of the alternative categories the model already returns.</t>
  </si>
  <si>
    <t>Practitioner studies, industrial data, semantic graphs, ADR writing tools</t>
  </si>
  <si>
    <t>Sections 5.1 and 6, p. 15</t>
  </si>
  <si>
    <t>Future work: more test cases for statistical conclusions, advanced RAG techniques (semantic and hybrid chunking, hybrid retrieval, re-ranking, specialised vector databases), more RAGAs metrics, stronger and different judges, harder benchmark questions and expert evaluation.</t>
  </si>
  <si>
    <t>More cases, advanced RAG, other judges, expert evaluation</t>
  </si>
  <si>
    <t>Section 5, p. 4</t>
  </si>
  <si>
    <t>Future work: make diagrams more reliable by adding static or dynamic analysis and retrieval tailored to architectural artefacts; evaluate on more system types, larger repositories and industrial settings; and study support for documentation and maintenance workflows and human-in-the-loop refinement.</t>
  </si>
  <si>
    <t>Analysis and retrieval for diagrams; industrial evaluation; human in the loop</t>
  </si>
  <si>
    <t>Section VII, p. 210</t>
  </si>
  <si>
    <t>Future work: a larger project with a revised question set built and reviewed by graduate students with inter-rater reliability, an open-source model as a baseline, evaluation of the answers by developers experienced with the architecture, and the latest models.</t>
  </si>
  <si>
    <t>Larger project, inter-rater question set, baseline, expert grading</t>
  </si>
  <si>
    <t>Section VI-B, p. 9</t>
  </si>
  <si>
    <t>Future work: find which IaC artefacts carry pattern information, reduce inconsistent detection, study which patterns are detected accurately and why others are missed, use more repositories with independent verification by several people, detect more patterns, turn the output into a web application and measure detection speed.</t>
  </si>
  <si>
    <t>IaC informativeness, consistency, verification, more patterns</t>
  </si>
  <si>
    <t>Section V, p. 165</t>
  </si>
  <si>
    <t>Future work: larger and more realistic DEECo applications, fine-tuning for ensemble-based systems combined with formal verification to reduce hallucinations, other collective adaptive system frameworks, and how LLM support affects developers' productivity and correctness when designing ensemble-based architectures.</t>
  </si>
  <si>
    <t>Larger applications, fine-tuning with verification, other frameworks</t>
  </si>
  <si>
    <t>Section 6, p. 654</t>
  </si>
  <si>
    <t>Future work: add expert prompt engineers, use ChatGPT for more PAMS features and for code and research documentation, and develop targeted AI tools for health researchers and better tools to evaluate GenAI outputs objectively.</t>
  </si>
  <si>
    <t>Prompt expertise, more features, objective evaluation tools</t>
  </si>
  <si>
    <t>Implications and Future Directions, p. 12; Conclusions, p. 12</t>
  </si>
  <si>
    <t>Future research: explore the diverse experiences students had with ChatGPT as a development bot, optimise its use with multiple agents, and create guidelines for integrating AI tools in software engineering education.</t>
  </si>
  <si>
    <t>Diverse experiences, multi-agents, education guidelines</t>
  </si>
  <si>
    <t>Future work: hierarchical modelling, incremental modelling and refinement to handle full-scale problems within the model's limits.</t>
  </si>
  <si>
    <t>Hierarchical and incremental modelling to scale</t>
  </si>
  <si>
    <t>Section 7, p. 37</t>
  </si>
  <si>
    <t>Future work: fully automated correction, user-defined rules, cross-consistency enforced by construction, exporting block types, further diagram types such as requirement and state-machine diagrams, other LLMs, and interfacing with other modelling tools; decomposition into sub-models to scale.</t>
  </si>
  <si>
    <t>Automated correction, more views, other LLMs, decomposition</t>
  </si>
  <si>
    <t>Sections 6-7, pp. 10-11</t>
  </si>
  <si>
    <t>Future work: other problem domains of varying complexity, other models such as Gemini and Copilot, evaluations by experts and industry professionals, students refining prompts or outputs, feedback loops and self-correction, prompts generated automatically from requirement documents, and the cognitive load of evaluators.</t>
  </si>
  <si>
    <t>More domains, models and expert raters; self-correction</t>
  </si>
  <si>
    <t>Section 3.1, p. 5; Section 6, pp. 17-18</t>
  </si>
  <si>
    <t>Future work: better state-machine queries and consistency rules, a rule for attribute and signal names, CTL* property generation, explanations of the assistant's design choices, selecting the best generated model by syntactic and model-checked semantic correctness, and comparing engineers using TTool with and without TTool-AI.</t>
  </si>
  <si>
    <t>Consistency rules, explanations, best-model selection</t>
  </si>
  <si>
    <t>Conclusions, p. 17</t>
  </si>
  <si>
    <t>Future work: answers tailored to the asker's role (manager, architect, developer), ensembles, chain of thought, self-reflection, self-consistency and debate, other microservice projects and question categories, and retrieval to inject only the relevant context.</t>
  </si>
  <si>
    <t>Role-tailored answers; reasoning methods; retrieval</t>
  </si>
  <si>
    <t>Future Work, p. 20</t>
  </si>
  <si>
    <t>Future work: a longitudinal study with professional feedback, how prompt expertise improves outputs, and validation with project managers on more projects.</t>
  </si>
  <si>
    <t>Professional feedback; more projects</t>
  </si>
  <si>
    <t>Sections 5-6, p. 5</t>
  </si>
  <si>
    <t>Research questions proposed: how prompt format interacts with architectural complexity, whether naming a platform's services biases deployment to another, how prompt granularity relates to decomposition into functions, the impact of hallucination, and how the serverless pattern affects the performance efficiency of generated applications.</t>
  </si>
  <si>
    <t>Prompt format vs architectural complexity; pattern effects</t>
  </si>
  <si>
    <t>Section 4, p. 82</t>
  </si>
  <si>
    <t>Future work: mappings from more UML and SysML diagrams, such as activity diagrams, to dependency graphs; semantic consistency with specifications and requirements, helped by AI assistants deriving CTL properties after model mutations; other LLMs; automated tagging through TTool-AI; a taxonomy of inconsistency types; and evaluations with experienced engineers that measure time.</t>
  </si>
  <si>
    <t>More diagram types, CTL support, other LLMs</t>
  </si>
  <si>
    <t>Section 4.3.1, p. 23; Section 6.3, p. 35; Section 7, p. 36</t>
  </si>
  <si>
    <t>Future work: improve ChatGPT's recognition of traditional tactics through its training data, combine it with Archie in a hybrid tool, extend the study to proprietary and unstructured code bases, and evaluate other LLMs and AI-based tools.</t>
  </si>
  <si>
    <t>Hybrid with rule-based tools; other code bases and models</t>
  </si>
  <si>
    <t>Sections 4.3 and 5, pp. 4368-4369</t>
  </si>
  <si>
    <t>Future work: improve traceability coverage with link inference from commits, test more varied cross-project settings, analyse what distinguishes smell-inducing issues, combine models in ensembles, separate intentional trade-offs, try prompt engineering with retrieval or chain-of-thought, and extend the pipeline to GitHub and other smell types.</t>
  </si>
  <si>
    <t>Better links, ensembles, prompt engineering, more platforms</t>
  </si>
  <si>
    <t>Theme (and RQ answered)</t>
  </si>
  <si>
    <t>Sub-themes</t>
  </si>
  <si>
    <t>Meaning units</t>
  </si>
  <si>
    <t>Coded silences</t>
  </si>
  <si>
    <t>Studies (evidentiary)</t>
  </si>
  <si>
    <t>Independent families</t>
  </si>
  <si>
    <t>Units in T1</t>
  </si>
  <si>
    <t>Units in T2</t>
  </si>
  <si>
    <t>Units in T3</t>
  </si>
  <si>
    <t>Units in T4</t>
  </si>
  <si>
    <t>Units in T5</t>
  </si>
  <si>
    <t>Units in T6</t>
  </si>
  <si>
    <t>T1. LLMs Application / Usage for Architecture Design (RQ1)</t>
  </si>
  <si>
    <t>• 1.1 Architecture generation and synthesis from requirements
• 1.2 Design decision support: pattern, tactic and technology recommendation
• 1.3 Architecture documentation, decision records and rationale capture
• 1.4 Architecture analysis, recovery, conformance and smell detection
• 1.5 The role assigned to the model: assistant, co-designer or autonomous agent
• 1.6 Reported benefits in practice</t>
  </si>
  <si>
    <t>T2. Techniques for Optimization (RQ2)</t>
  </si>
  <si>
    <t>• 2.1 Prompting strategies: chain-of-thought, few-shot, role and self-refinement
• 2.2 Knowledge grounding: RAG, knowledge graphs and architecture repositories
• 2.3 Fine-tuning, model adaptation and multi-agent orchestration</t>
  </si>
  <si>
    <t>T3. Techniques for Evaluation (RQ2)</t>
  </si>
  <si>
    <t>• 3.1 Evaluation designs: benchmarks, case studies, expert judgement, experiments
• 3.2 Metrics and quality criteria used to judge generated architectures
• 3.3 Cost, latency and reproducibility of the reported setups</t>
  </si>
  <si>
    <t>T4. Emerging Trends (RQ3)</t>
  </si>
  <si>
    <t>• 4.1 From single-prompt assistance towards agentic and multi-agent architecting
• 4.2 Integration with model-driven engineering and formal artefact generation
• 4.3 Human-AI collaboration and the changing role of the architect
• 4.4 Movement from design-time assistance towards runtime and continuous architecting
• 4.5 Trust, governance and responsible adoption in industrial settings</t>
  </si>
  <si>
    <t>T5. Limitations (RQ3)</t>
  </si>
  <si>
    <t>• 5.1 Reported limitations in practice
• 5.2 Reported reliability problems: hallucination, inconsistency, non-determinism</t>
  </si>
  <si>
    <t>T6. Challenges (RQ3)</t>
  </si>
  <si>
    <t>• 6.1 Open challenges and stated future work</t>
  </si>
  <si>
    <t>All themes</t>
  </si>
  <si>
    <t>Core contribution</t>
  </si>
  <si>
    <t>Locus of the architectural work</t>
  </si>
  <si>
    <t>What breaks / is missing for SAS</t>
  </si>
  <si>
    <t>Framework reading (link grade)</t>
  </si>
  <si>
    <t>Best fit and why</t>
  </si>
  <si>
    <t>Possible extension for SAS (testable), with preconditions and risks</t>
  </si>
  <si>
    <t>Grounding</t>
  </si>
  <si>
    <t>Partly grounded</t>
  </si>
  <si>
    <t>Extrapolated</t>
  </si>
  <si>
    <t>Sub-theme carried forward</t>
  </si>
  <si>
    <t>RQ</t>
  </si>
  <si>
    <t>What it already offers architectural design</t>
  </si>
  <si>
    <t>What breaks or is missing for self-adaptive systems</t>
  </si>
  <si>
    <t>Self-adaptation concepts it touches</t>
  </si>
  <si>
    <t>Extension to SASS (testable), with preconditions and risks</t>
  </si>
  <si>
    <t>Supporting studies (evidenced; link grade where one applies)</t>
  </si>
  <si>
    <t>RQ1</t>
  </si>
  <si>
    <t>RQ2</t>
  </si>
  <si>
    <t>RQ3</t>
  </si>
  <si>
    <t>Q1</t>
  </si>
  <si>
    <t>Q2</t>
  </si>
  <si>
    <t>Q3</t>
  </si>
  <si>
    <t>Q4</t>
  </si>
  <si>
    <t>Q5</t>
  </si>
  <si>
    <t>Q6</t>
  </si>
  <si>
    <t>Reasoning (location; why not the adjacent score)</t>
  </si>
  <si>
    <t>Notes (not bearing on the score)</t>
  </si>
  <si>
    <t>Included as FS01</t>
  </si>
  <si>
    <t>Systematic review of 43 studies (2018-2024) on AI in microservices design. Included under our rule for reviews: the model tasks it reports target architecture (service identification and decomposition, decision-making, decision documentation).</t>
  </si>
  <si>
    <t>Systematic review of 160 studies on LLMs for semantic interoperability. The model tasks it reports target ontologies, schemas, documents and data, not a software architecture. S1 is cited once, as an example of pattern-based prompting.</t>
  </si>
  <si>
    <t>Included as FS02</t>
  </si>
  <si>
    <t>Multivocal review of 46 sources on generative AI in software architecture. Included under our rule for reviews: its model tasks (decision support, generation, reconstruction, conformance, refactoring) target architecture. S1 is one of its sources.</t>
  </si>
  <si>
    <t>Systematic review of 224 studies across the SE life cycle, with its in-depth analysis on testing. The 12 design/architecture studies are counted in its taxonomy but not synthesised.</t>
  </si>
  <si>
    <t>Five-page position paper and research roadmap. It runs no model and specifies no architectural model task of its own; its architecture subsection lists other work without synthesis.</t>
  </si>
  <si>
    <t>Included as FS03</t>
  </si>
  <si>
    <t>Primary study (SemRef): an LLM refines module views recovered from source code, each change checked against dependency structure. The model works on the implemented architecture.</t>
  </si>
  <si>
    <t>Students used ChatGPT for test-driven development on three programming tasks. The model's task targets unit tests and code, not architecture; S1 is cited only in the background.</t>
  </si>
  <si>
    <t>Included as FS04</t>
  </si>
  <si>
    <t>Primary study: LLMs from two providers generate microservice architectures from the documentation of two modular monoliths. Acceptance at JAWs 2026 confirmed on the ICSE 2026 site.</t>
  </si>
  <si>
    <t>Integrative review of five prompt-engineering frameworks for their educational value. S1 is the only architectural study and is summarised as a teaching example, not synthesised.</t>
  </si>
  <si>
    <t>Included as FS05</t>
  </si>
  <si>
    <t>Primary study: four LLMs extract architectural design decisions from commit messages and diffs. Peer review confirmed on the ECSA 2026 programme; presented 7 Sep 2026, so included after the date window was extended to the retrieval date.</t>
  </si>
  <si>
    <t>Duplicate of S1-F01</t>
  </si>
  <si>
    <t>Same article as S1-F01 (same DOI), listed twice by Google Scholar; the texts were compared and are the same. The original is on this sheet (S1-F01), included and coded as FS01.</t>
  </si>
  <si>
    <t>Two-page tutorial abstract on building human oversight into AI-enabled systems. LLMs appear only as system components; no model performs an architectural task. It is also a tutorial abstract, not a research article.</t>
  </si>
  <si>
    <t>Included as FS06</t>
  </si>
  <si>
    <t>Primary study: six LLMs recommend architectural styles, patterns and tools for four scenarios, directly and through the CAPI decision tree. Workshop uses single-blind review.</t>
  </si>
  <si>
    <t>Included as FS07</t>
  </si>
  <si>
    <t>Primary study: ChatGPT-4o and Llama 3.1 act as tutors that generate reference architectures from requirements and evaluate students' architectures against them. Six-page full paper, refereed.</t>
  </si>
  <si>
    <t>A thesis, excluded on its record without reading the full text.</t>
  </si>
  <si>
    <t>Duplicate of S1-F07</t>
  </si>
  <si>
    <t>Same article as S1-F07 (same DOI), listed twice by Google Scholar; the texts are identical. The original is on this sheet (S1-F07), excluded as out of scope (rule 1).</t>
  </si>
  <si>
    <t>SSRN preprint, excluded on its record. The full text, received later through S3 (S3-F10), carries the SSRN notice that it has not been peer reviewed on every page and cites S1 in its related work (p. 9). On its content it would be in scope (an ensemble of LLMs generates design decisions guided by ADD); revisit if a peer-reviewed version appears.</t>
  </si>
  <si>
    <t>Survey of 86 developers on GenAI and productivity (SPACE framework). The activities surveyed are code-level; architecture appears only in one respondent's quote.</t>
  </si>
  <si>
    <t>Narrative overview with no method or data. Peer review for this article could not be reliably established, and the main concern is its bibliographic record: it is dated 31 Dec 2024 but cites five papers from ICSA 2025, and the PDF metadata belongs to an unrelated article. Its architecture content would also fail the review threshold.</t>
  </si>
  <si>
    <t>Mapping study of 52 studies on prompt engineering for software modelling documents. Architecture and component models (13 of 52) are counted but not synthesised; all findings are pooled across artefact types. Borderline because of the 25% share.</t>
  </si>
  <si>
    <t>A blog post (15 Jul 2026). The author is the first author of S10.</t>
  </si>
  <si>
    <t>Duplicate of S2</t>
  </si>
  <si>
    <t>Same study as S2 of the main corpus. The original is in the main workbook (Final-TA, Included studies, S2), where it is included and coded, so it is not screened or coded again here.</t>
  </si>
  <si>
    <t>Systematic review of 30 studies on generative AI in IT project management, organised by PMBOK process group. S2 and S9 are its only architectural studies: each is summarised in the planning section and listed in a table (arXiv pp. 8-9; journal Section 4.2 and Table 2, pp. 10-11), but not synthesised. The authors' own agent vision gives a Technical Lead agent the architectural view in a single sentence, which is not a substantive part either; the journal version calls that section a conceptual perspective beyond the reviewed evidence. The journal version (S2-F02) was read in full and keeps the same treatment.</t>
  </si>
  <si>
    <t>Duplicate of S2-F01</t>
  </si>
  <si>
    <t>Journal version of the review logged as S2-F01 (its arXiv preprint), listed separately by Google Scholar: same authors, search and 30 studies, with the same text on S2 (Section 4.2, p. 10; Table 2, p. 11). Peer reviewed: received 4 May, revised 18 June, accepted 19 June, published 22 June 2026. The original is on this sheet (S2-F01), excluded under the review threshold; this version was read in full and confirms that decision.</t>
  </si>
  <si>
    <t>Duplicate of S1-F03</t>
  </si>
  <si>
    <t>Same article as S1-F03 (same DOI, identical text), reached again through S3, which it reviews as source WL[8] (Section 1, p. 2, and its tables). The original is on this sheet (S1-F03), included and coded as FS02, so it is not screened or coded again.</t>
  </si>
  <si>
    <t>Primary study in which LLM agents (ReAct with retrieval) analyse BPMN process models, extract their decision points and generate DMN decision tables and an optimised process, tested on a supply-chain sales process. The objects of the model's task are a business process and its decision rules, not a software architecture; the architecture described is that of the authors' own agent framework (rule 1). S3 is cited only as an example of ReAct-style reasoning loops (p. 3).</t>
  </si>
  <si>
    <t>Included as FS08</t>
  </si>
  <si>
    <t>Primary study: a model with an architect persona follows Attribute-Driven Design to design complete architectures from prioritised drivers, evaluated against a proven solution, by four professional architects and against zero-shot design. Accepted in IEEE TSE (early access). S3 is cited in the related work on design agents (ref. [23], p. 2).</t>
  </si>
  <si>
    <t>Included as FS09</t>
  </si>
  <si>
    <t>Primary study: LLM agents decide after every training round which architectural patterns of a federated-learning system to switch on or off, reasoning over its configuration and metric history, and the system applies the decision. The model is itself a component of the system, but the object of its task is the system's architectural configuration, so it is in scope (rule 1). Peer reviewed (received 2 March, accepted 22 May, online 29 May 2026). S3 is cited in a list of LLM work on architectural decisions (p. 2).</t>
  </si>
  <si>
    <t>Included as FS10</t>
  </si>
  <si>
    <t>Primary study: specialised LLM agents recover architecture knowledge from code repositories and generate Architecture Decision Records, compared with a single prompt in a blind user study on 29 repositories. Accepted at AGENT 2026: listed among the accepted papers on the ICSE 2026 site and presented on 14 April 2026 (lightning talk); the workshop's submission site records 27 of 44 submissions accepted. S3 is cited in the related work on agents in architecture (ref. [15], p. 4).</t>
  </si>
  <si>
    <t>Included as FS11</t>
  </si>
  <si>
    <t>Stage-1 registered report, a preregistered study design without results: an LLM multi-agent pipeline is specified to recover evidence-grounded architecture documentation (a C4-level component view with traceability links) from repositories under four levels of injected architectural knowledge. In scope under rule 3 (a model is specified to perform an architectural task). Published in the ICSA 2026 Companion proceedings (IEEE, pp. 534-541; Crossref); the track is not named on the paper or found in the conference programme, but it is an eight-page research paper, not an abstract, and a Stage-1 report is reviewed before acceptance. S3 is cited in the related work on agentic systems (ref. [25], p. 536).</t>
  </si>
  <si>
    <t>Included as FS12</t>
  </si>
  <si>
    <t>Short vision paper: from practitioner input and action research it distils eight uses of generative and agentic AI in architectural decision making, proposes decision-assistance tooling that injects modelled project knowledge into prompt templates, and illustrates it with an ADR-review prompt run with several LLMs. Accepted at IDEA-ARCH 2026, like FS05: listed in the ECSA 2026 programme (presented 7 September 2026), and each submission is reviewed by at least three programme committee members. S3 is cited for the option-exploration use case (ref. [9], pp. 3-4).</t>
  </si>
  <si>
    <t>Narrative overview that draws only on existing literature, mostly machine learning for code (defect prediction, code representation, summarisation). We accept it as peer reviewed; the journal site could not be reached to check the process independently. Its architecture content is five papers (S3, S4, S8, S9 and Arun et al., 2025), each summarised in one or two sentences and repeated across the methodology, results and discussion, without comparison or synthesis, so it falls below the review threshold, as S1-F09 and S2-F01 did. Its bibliographic record is inconsistent: it is dated to volume 1, issue 1, published 31 December 2024, yet its header reads FEMS (2026), the PDF was created in March 2026, and it cites two papers from 2025; six of its 26 references are never cited in the text. S3 is cited as an example of agents for architecture exploration (p. 29).</t>
  </si>
  <si>
    <t>SSRN preprint; every page states that it has not been peer reviewed. It extends the authors' ICSE 2026 poster on LLM-native applications. It would also be out of scope under rule 1: it proposes a taxonomy, application families and a conceptual architecture for applications whose runtime behaviour is orchestrated by an LLM, with an example chatbot for literature reviews (SCRIBE), so the model is a component of the system and performs no task on a software architecture; a peer-reviewed version would therefore still be excluded. S3 is cited as an example of agentic AI (p. 3).</t>
  </si>
  <si>
    <t>Duplicate of S1-F17</t>
  </si>
  <si>
    <t>Same SSRN preprint as S1-F17 (abstract 5775315), reached again through S3, which it cites in its related work (p. 9). The original is on this sheet (S1-F17), excluded as not peer reviewed; this full text carries the SSRN notice on every page and confirms that decision.</t>
  </si>
  <si>
    <t>Duplicate of S3-F04</t>
  </si>
  <si>
    <t>Same article as S3-F04 (same DOI), listed twice by Google Scholar; the two PDFs differ only in file metadata, and their texts are identical. The original is on this sheet (S3-F04), included and coded as FS09.</t>
  </si>
  <si>
    <t>Written in Spanish, with an English abstract. It is structured as a research proposal (research questions, objectives, preliminary progress, future work) for a multi-agent LLM workflow that refines requirements, proposes service and component boundaries, defines API contracts and specifies tests for backend development. On its content it would be a candidate for scope; revisit if an English, peer-reviewed version appears. S3 is cited as an example of agents that combine LLMs with planning, reflection and search (ReArch, p. 4).</t>
  </si>
  <si>
    <t>Google Scholar lists it only as a [CITATION] entry, with no link to a document (screenshot of the entry kept), and a web search found no copy. The Swedish title ('Architectural control in LLM-based AI agents') suggests that it is not written in English, and no venue is given. Whether and where it cites S3 could not be checked beyond Google Scholar's listing.</t>
  </si>
  <si>
    <t>Review of LLM applications across the manufacturing lifecycle (CAD and CAM, product, chip and aerospace design, supply chains, quality control, education, patents), with some evaluations of GPT-4V. The objects of the model tasks it reports are manufacturing products, processes and documents, not a software architecture, and it synthesises no architectural model task, so it could not meet the review threshold either. S4 is cited once, with two other works, for the claim that AI may turn designers into orchestrators of AI-assisted design (ref. [66], p. 520).</t>
  </si>
  <si>
    <t>arXiv preprint (v5, 23 Nov 2025), also posted on Preprints.org; no peer-reviewed version was found. It reviews LLM use across academic disciplines, from the arts, letters and law to business, science and engineering. Its only software-architecture content is S4 and the DRAFT preprint by the S4 authors and two others, and both are filed under building architecture (§3.4 Arts and Architecture): S4 gets a few sentences in §3.4.5 and is listed again as the benchmark 'AKM' in §3.4.6 and Table 12, and DRAFT gets a paragraph and a Table 12 row. It would therefore also fail the review threshold. S4 is cited as ref. [283] in Table 11 (p. 45), §3.4.5 (p. 48) and §3.4.6 with Table 12 (pp. 48-49).</t>
  </si>
  <si>
    <t>Same article as S1-F03, reached again through S4. Its title, authors and affiliations match S1-F03 exactly, so the full text did not need to be read again. The S1-F03 full text reviews S4 as source WL[5] (Dhar et al., 2024a): in Section 1 (pp. 1-2), in its tables (pp. 8-16) and in the reference list (p. 19). The original is on this sheet (S1-F03), included and coded as FS02, so it is not screened or coded again.</t>
  </si>
  <si>
    <t>Journal article (received 23 Oct 2024, published 24 Jan 2025) on an LLM-based multi-agent system for smart city management, tested on the Digital Urban Platform of St. Petersburg. Its agents route urban questions to a document pipeline or a city-services API, select functions, retrieve context and summarise answers about city development and service provision, evaluated on 150 question-answer pairs (routing accuracy, G-Eval, Answer Relevancy). The agents are components of a decision-support system whose architecture the authors designed themselves, and the objects of their tasks are urban questions, planning documents and city data, so no model performs a task on a software architecture. S4 is cited once, as ref. 32 (its arXiv version), in a list of fields where LLMs support decision making: "healthcare [31], architecture [32], logistics [33]" (§2.2, p. 5).</t>
  </si>
  <si>
    <t>Guidelines paper by 22 researchers: a taxonomy of seven study types and eight guidelines for designing and reporting empirical SE studies that involve LLMs, with an applicability matrix and a reporting checklist. It runs no model and specifies no architectural model task, so it is out of scope (rule 3); its many mentions of architecture concern how to report the architecture of LLM-based research tools. The version read is arXiv v8 (18 Sep 2026), marked as the accepted manuscript for Empirical Software Engineering (submitted 26 Aug 2025, last revised 11 Jun 2026; the journal's review is mentioned in Section 3, p. 7); no published journal version was found. S4 is cited once, as ref. 40, as an example of reporting a fine-tuning approach and its datasets (§5.2.3, p. 23); S10 is cited once, as ref. 71, as an example of a study of LLM usage (§4.2.1, p. 12).</t>
  </si>
  <si>
    <t>Journal article (received 11 Apr 2024, published 18 Jun 2024) on low-carbon building design, in three case studies: a neural network in Rhinoceros and Grasshopper that estimates a building's carbon footprint from its form; a web carbon calculator in which ChatGPT (gpt-3.5-turbo-instruct) suggests lower-carbon materials for the building components a designer describes, tested in student workshops; and a web application that loads a BIM (IFC) model, computes its embodied carbon and asks the same model for material suggestions. The object of every model task is a building design, not a software architecture; "architectural design" here means the design of buildings. S4 is cited once, as ref. 45 (its arXiv version), as an application of LLMs to "architectural design", next to BIM (ref. 46) (Section 1, p. 3).</t>
  </si>
  <si>
    <t>Survey (received 26 Aug 2025, online 21 Nov 2025) of LLMs in urban planning: a task taxonomy (planning and design, analysis and assessment, decision support, public engagement), three technical paradigms (conversational CAD, multi-agent coordinator, knowledge engine), four patterns of human-AI collaboration, and evaluation methods and benchmarks. The objects of the model tasks it reports are urban plans, buildings and BIM models, transport, spatial data and stakeholder processes, not a software architecture, and it synthesises no architectural model task, so it could not meet the review threshold either. S4 is cited twice: in Table 1 it is listed, as "AI-powered Architectural Design", among the works on building design (full-cycle building design from concept to BIM models) (p. 279), and in §5.2.5 for the point that BLEU, ROUGE and BERTScore measure surface textual similarity (p. 292).</t>
  </si>
  <si>
    <t>Perspective paper in the journal's "Ten questions" series (received 16 Sep 2025, online 16 Jan 2026) on LLMs for building applications: planning and design, building operations, code compliance checking, intelligent digital twins, tools and datasets, education, ethics (with a survey of 30 practitioners), a small bibliometric review and an outlook. The objects of the model tasks it discusses are buildings, BIM and energy models, building codes, digital twins and building systems, not a software architecture, and it synthesises no architectural model task, so it could not meet the review threshold either. S4 is cited three times as ref. [20], each time within a group of building-design works: for generative design in Section 1 (p. 2), for proposing design alternatives with rationales in project-based learning (Question 7, p. 8), and for generative design in the bibliometric cluster on BIM and architectural design (Question 9, p. 12).</t>
  </si>
  <si>
    <t>Same article as S1-F01 (DOI 10.3390/software4010006), reached again through S4. Its title, authors, affiliations and DOI match S1-F01 exactly, so the full text did not need to be read again. The S1-F01 full text cites S4 once, as ref. 27 (its arXiv version), for LLMs that help architects make design decisions from textual descriptions (Section 5.2, Q1, p. 11). The original is on this sheet (S1-F01), included and coded as FS01, so it is not screened or coded again; S1-F11 is its second Google Scholar listing under S1.</t>
  </si>
  <si>
    <t>Excluded from the final included synthesis: only arXiv 2505.16697 v1 could be verified, with no confirmed peer-reviewed publication. Formerly labelled FS13. Retained in citation log for transparency; its 26 coded meaning units and quality assessment are removed from included results.</t>
  </si>
  <si>
    <t>Implementation (code) generation from architectural context. Five LLMs regenerate ten masked serverless functions of four open-source repositories from a function description, with the README or a model-written codebase summary (components, connectors, relationships) as context, and 145 generated functions are judged by the repositories' tests, SLOC, cyclomatic and cognitive complexity, Halstead volume and CodeBLEU. The model reconstructs the code of an existing serverless component within a fixed architecture: architecture is context, implementation code is the task object. It does not decide which components exist or how they connect, select a style, pattern or tactic, compare alternatives, or recover or evaluate the architecture, and nothing architectural is evaluated. Borderline: the authors call serverless functions architectural components, and FS02 and S4-F10 (excluded study) count the paper among LLM-for-architecture studies, but labels do not decide scope (rule 2). Briefly coded as an included study and withdrawn on re-reading. S4 is cited once, as ref. [44], for LLMs documenting architecture decision records (§VI-C, p. 10).</t>
  </si>
  <si>
    <t>Duplicate of S8</t>
  </si>
  <si>
    <t>Same study as S8 of the main corpus (ECSA 2024, LNCS, pp. 324-332, DOI 10.1007/978-3-031-70797-1_21, first online 1 September 2024); the title, pages and DOI match. The original is in the main workbook (Final-TA, Included studies, S8), where it is included and coded, so it is not screened or coded again here. Its citation of S4 is confirmed by our main-corpus coding of S8, which records that it contrasts its step-wise ADR generation with Dhar et al.'s single-step generation (Sections 3 and 5).</t>
  </si>
  <si>
    <t>Included as FS13</t>
  </si>
  <si>
    <t>Primary study: five LLMs generate the design rationale of 100 architecture decisions taken in Stack Overflow posts and GitHub issues and discussions, with zero-shot prompting, chain-of-thought and a five-agent pipeline, evaluated argument by argument against the experts' rationale and in interviews with six practitioners. In scope: the task object is the rationale of an architecture decision, that is, architecture documentation (1.3). Peer reviewed: the journal version was read (received 29 April 2025, revised 17 September 2025, accepted 8 December 2025). S4 is cited as ref. [15] in the related work on design rationale (§7.1, p. 33) and in its summary, together with DRAFT [45] (§7.3, p. 34). It also cites S5 (ref. [53]) and S8 (ref. [16]).</t>
  </si>
  <si>
    <t>Duplicate of S5</t>
  </si>
  <si>
    <t>Same study as S5 of the main corpus (ICSA 2025): the title and authors match, and the content matches our coding of S5 (GPT-3.5, Hadoop HDFS, 14 engineers, 236 questions). The original is in the main workbook (Final-TA, Included studies, S5), where it is included and coded, so it is not screened or coded again here. The full text (IEEE Xplore version) confirms that it cites S4, as ref. [12]: among the researchers exploring LLMs for architecture (Section I, p. 1), and for using GPT and T5 in zero-shot, few-shot and fine-tuning setups to recommend design decisions (Section VII-2, p. 10).</t>
  </si>
  <si>
    <t>Included as FS14</t>
  </si>
  <si>
    <t>Vision paper: four LLM-based agents (Analyst, Modeler, Designer, Evaluator) are specified to design a system's architecture from its software requirements specification, drawing on architectural knowledge extracted from existing designs, authoritative literature and architecture experts. In scope under the proposed-task clause (rule 3): it runs no model, but it specifies models performing architectural tasks: decisions on technology, styles and patterns, conceptual logical and physical views, UML design diagrams, and evaluation of the artefacts against the requirements. Peer reviewed: FSE 2025 companion proceedings, received 17 January 2025 and accepted 13 March 2025; the track is not named on the paper. S4 is cited once, as ref. [3], for zero-shot prompting frequently leading LLMs to generate hallucinatory content (Section 1, p. 530).</t>
  </si>
  <si>
    <t>Included as FS15</t>
  </si>
  <si>
    <t>Primary study: LLMs extract architecture component names from architecture documentation, from source-code package structure or from both, as a simple architecture model that lets TransArC recover trace links between documentation and code without a manually created model. In scope (rule 1): the model recovers an architecture model of an existing system (1.4). Peer reviewed: ICSA 2025 (IEEE). It is the conference version of S20 (TAAS 2026), whose coding already covers the same approach and its first evaluation; we include it as a separate study in family F20 rather than as a duplicate of S20. S4 is cited once, as ref. [22], among LLM uses for supporting design decision making (Section II-B, p. 2).</t>
  </si>
  <si>
    <t>Review (structured narrative, 116 studies from 2010 to October 2024; received 15 November 2025, accepted 20 January 2026) of AI for sustainable, climate-responsive building design: climate data processing, early-stage design generation with LLMs and text-to-image or text-to-3D models, form-finding and multi-objective optimisation, building performance prediction, and integrated design across form, material and systems, with a framework and policy recommendations. The objects of the model tasks it discusses are buildings, their geometry, materials, energy and comfort, not a software architecture, and it synthesises no architectural model task, so it could not meet the review threshold either. S4 is cited twice as ref. [3], each time as work on building design: for LLMs in the introduction (Section 1, p. 1), and in Table 2 under early-stage design generation of buildings, among LLM and text-to-image works (p. 9).</t>
  </si>
  <si>
    <t>Tutorial summary: the plan of a half-day ECSA 2025 tutorial in three parts (software architecture for ML-enabled systems, LLMs for software architecture, architecting LLM-based multi-agent systems), with learning objectives, a schedule and the presenters' background. It runs no model and reports no study, and it specifies no architectural model task of its own: the LLM part introduces the topic and includes a hands-on session with an existing co-pilot tool (ArchCoPilot) based on S4, so it is out of scope (rule 3). It is also a tutorial description rather than a research article, so it would fail the publication-type criterion as well. S4 is cited as ref. [2] among works on AI supporting architecture practice (Section 1, p. 42) and as the basis of the tool used in the hands-on session (p. 43); S4's second author presents the tutorial. It also cites S9 (ref. [3]), S4-F11 (ref. [1]) and FS02's arXiv preprint (ref. [4]).</t>
  </si>
  <si>
    <t>Included as FS16</t>
  </si>
  <si>
    <t>Primary study: four open LLMs check whether the code of 109 GitHub projects complies with the decisions in their architecture decision records (980 ADRs, 1,317 accepted decisions), one model detecting violations and three validating its reasoning, with accuracy measured on 305 decisions validated by the authors. In scope (rule 1): the model judges the implementation against recorded architectural decisions, an architecture conformance task (1.4). Peer reviewed: ICSA 2026 (IEEE). S4 is cited once, as ref. [23] ('Rudra et al.'), in the related work on AI in ADR research (Section II, p. 2). It also cites S9 (ref. [10]), FS02 (ref. [16]) and S4-F11 (ref. [17]).</t>
  </si>
  <si>
    <t>Duplicate of S20</t>
  </si>
  <si>
    <t>Same study as S20 of the main corpus (ACM TAAS, 2026, DOI 10.1145/3807453); the title and all seven authors match. The original is in the main workbook (Final-TA, Included studies, S20), where it is included and coded, so it is not screened or coded again here. Its citation of S4 was checked in the arXiv version (2511.02434v2), since the ACM page could not be opened: S4 is ref. [13], cited among LLM uses for supporting design decision making (Section 2.2), the same sentence as in FS15. FS15 (S4-F16), its conference version, is included in family F20.</t>
  </si>
  <si>
    <t>Primary study: security tactics taxonomies are extended with IoT-specific trade-offs against the ISO 25010:2023 quality characteristics, the catalogue is illustrated on the Nunatak environmental monitoring system, and it is validated in a controlled experiment in which 12 practitioners designed a secure IoT system with catalogues with or without trade-off information. The designers are people; no model performs, or is specified to perform, an architectural task. An LLM-based recommender for secure IoT design is mentioned only as ongoing work in the conclusion, without being specified, so the proposed-task clause (rule 3) is not met. S4 is cited once, as ref. [136], in a group of works [134-137] on LLMs as a topic in the software architecture community (Section 8, p. 28). It also cites S7 (ref. [135]) and S8 (ref. [137]), in the same group.</t>
  </si>
  <si>
    <t>Primary study (ICSE 2026): 13 open-source LLMs make a service interoperate at runtime without human intervention, either by converting incoming data into the service's target representation directly (DIRECT) or by generating adapter code that is then tested and deployed (CODEGEN), evaluated with pass@1 over three runs on four versions of an agricultural dataset (field boundaries from John Deere's schema to GeoJSON). The objects of the model's task are data and data-conversion code, and the model works as a component of the service, so it performs no task on a software architecture (rule 1). S4 is cited once, as ref. [10], for a general definition of an LLM as a probabilistic model that generates word sequences (Section 1.2, p. 2964).</t>
  </si>
  <si>
    <t>Duplicate of S9</t>
  </si>
  <si>
    <t>Same study as S9 of the main corpus (ICSA-C 2024, pp. 163-166, DOI 10.1109/ICSA-C63560.2024.00034, IEEE Xplore 10628192); the title and the three authors match. The original is in the main workbook (Final-TA, Included studies, S9), where it is included and coded in family F3 with S4, so it is not screened or coded again here. Its link to S4 rests on our main-corpus coding of S9, whose empirical content is a restated summary of S4's study (same models, metrics and repository); S4's own reference list cites S9 as companion work. The IEEE page could not be opened to check S9's reference list.</t>
  </si>
  <si>
    <t>Included as FS17</t>
  </si>
  <si>
    <t>Primary study: SemArc recovers the module architecture of a system from its source code, with an LLM summarising each file and inferring the system's architectural patterns and components from a knowledge base of canonical patterns; the components anchor a clustering that also uses explicit and implicit dependencies. It is evaluated on 15 C/C++, Java and Python projects against seven baselines and on 30 further projects. In scope (rule 1): the model's task object is the architecture of an existing system (recovery, 1.4). Peer reviewed: IEEE TSE (received 8 February 2025, accepted 3 October 2025, online 14 October 2025). S4 is cited once, as ref. [59] (its arXiv version), in the related work on LLMs for architecture-level decisions (Section VI-B, p. 357). It also cites S10 (ref. [60]).</t>
  </si>
  <si>
    <t>Primary study: four multimodal LLMs (ChatGPT-4, Gemini, Amazon AI, Claude 3.5 Sonnet) grade UML class diagrams drawn by 34 engineering students for an exercise on the Open-Closed Principle, compared with three instructors' consensus scores, with a grounded-theory classification of the models' grading errors. The object of the model's task is a student's class-level object-oriented design in a teaching exercise, graded against SOLID principles, not a software architecture, so it is out of scope (rule 1); it sits in software engineering education and detailed design. S4 is cited once, as ref. [70], in a group of works [70-72] on generative models lacking the depth needed to evaluate complex, structured artefacts (Section 5, p. 12).</t>
  </si>
  <si>
    <t>Primary study (received 4 April 2025, accepted 2 July 2025): CrossMatAgent, a multi-agent framework in which GPT-4o agents analyse metamaterial patterns, write descriptions and prompts, and supervise image generators (DALL-E 3 and a fine-tuned Stable Diffusion XL) that produce simulation- and 3D-printing-ready metamaterial patterns, evaluated with CLIP alignment, SHAP and finite-element simulations. The objects of the model tasks are metamaterial patterns and their descriptions; 'architectural synthesis' and the agent named Architect refer to the geometry of the material, not to a software architecture, and the agent framework is the system that runs the task (rule 1). S4 is cited once, as ref. [44] (with arXiv in the entry), in a group of works [42-46] on fine-tuning pre-trained models (Section 1, p. 2).</t>
  </si>
  <si>
    <t>arXiv preprint (v1, 11 April 2025, the only version; marked 'Preprint submitted to JSS', and also posted on SSRN); no peer-reviewed version was found. Karthik Vaidhyanathan's publication page lists it under CoRR only, while his published papers carry their venues (checked 28 September 2026), and DBLP records it under CoRR as an informal publication. It is therefore excluded on its record. On its content it would be in scope and would belong to family F3: DRAFT, by the S4 authors and two others, fine-tunes an LLM with retrieved ADR examples to generate the decision of an ADR from its context, and compares few-shot, RAG and fine-tuning on 4,911 ADRs with automated metrics and human evaluation; revisit if a peer-reviewed version appears. S4 is its authors' previous work, ref. [12], cited in the introduction, the approach, the results and the related work. It also cites S7 (ref. [48]), as a vision of generating architecture candidates from requirements (Section 8, p. 20). It also cites S8 (ref. [50]), as an AI assistant among the approaches to reducing ADR effort (Section 8, p. 20).</t>
  </si>
  <si>
    <t>arXiv preprint (v1, 28 July 2025) in the ACM TOSEM template with placeholder volume, article number and DOI, that is, a manuscript under review; no published version was found in a web search on 28 September 2026 (the arXiv page itself could not be opened for its version history). It is therefore excluded on its record. On its content it would be in scope and would join family SF13 as the full paper of the MAAD framework in FS14 (its ref. [12]): four agents (Analyst, Modeler, Designer, Evaluator) produce architecture designs and evaluation reports from requirements specifications, compared with MetaGPT, with feedback from industrial architects on 11 specifications and three LLMs; revisit if a peer-reviewed version appears. S4 is cited once, as ref. [24], in the related work on LLMs for architecture (Section 2, p. 5). It also cites S5 (ref. [36]), S7 (ref. [23]) and S11 (ref. [20]), and FS02, S4-F10 (excluded study) and FS14.</t>
  </si>
  <si>
    <t>Included as FS18</t>
  </si>
  <si>
    <t>Primary study: seven LLMs (Qwen2, DeepSeek-R1-Distill-Llama, GPT-4o, GPT-4o mini, Llama 3.3, TinyLlama, Mistral Large) answer 229 questions written by software engineers about the architectural knowledge of Hadoop HDFS (components and connectors, quality attribute solutions, rationale of decisions); answers are scored against ground truth and the models' responses compared with each other. In scope (rule 1): the model's task object is the architecture of an existing system, as in S5, whose questions and ground truth it reuses. Peer reviewed: ECSA 2025 (LNCS 15929). S4 is cited once, as ref. [13], together with S9, for using GPT and T5 to recommend design decisions (Section 7.2, p. 111). It also cites S5 (ref. [37]), S8 (ref. [15]), S9 (ref. [14]) and FS15 (ref. [19]).</t>
  </si>
  <si>
    <t>Systematic mapping study (received 10 March 2025, revised 8 October 2025, accepted 13 October 2025, online 27 October 2025) of 150 studies found with a search on sustainability and digital transformation together with software architecture or machine learning. It maps how the three fields intersect, which sustainability dimensions are addressed, which application domains are covered (GICS sectors and industry groups) and which MLOps architecture components the studies mention. Its topic is software architecture for ML-based systems, so the models it maps are components of the systems being architected and perform no task on a software architecture (rule 1); the other research area, ML that supports the architecting of software, is only named in the background. It synthesises no architectural model task, so it could not meet the review threshold either. S4 is cited once, as ref. [21], together with S8 (ref. [22]), as an example of that other area (Section 2.2, p. 3).</t>
  </si>
  <si>
    <t>Duplicate of S3</t>
  </si>
  <si>
    <t>Same study as S3 of the main corpus (ICSA-C 2025); the title and all four authors match, and the content matches our coding of S3 (the ReArch design agents, adapted from ReAct and LATS, searching for patterns and tactics for textual requirements, applied to the mobility case study of ref. [6]). The original is in the main workbook (Final-TA, Included studies, S3), where it is included and coded in family F2, so it is not screened or coded again here. The full text (IEEE Xplore version) confirms that it cites S4 once, as ref. [14] (its arXiv version), together with Eisenreich et al., for using simple LLM prompting strategies to suggest, evaluate and document design alternatives (Section V, Related Work, p. 5 of the PDF).</t>
  </si>
  <si>
    <t>Included as FS19</t>
  </si>
  <si>
    <t>Primary study (short paper): ChatGPT-4o rates one architecture diagram and its textual description from each of four open-source projects on clarity, consistency, completeness, accuracy and level of detail, with justifications and suggestions, and one software architecture expert reviews its assessments. In scope (rule 1): the model's task object is the architecture documentation of existing systems, which it assesses against the architecture the text describes (1.3, 1.4). Peer reviewed: ECSA 2025 (LNCS 15929). S4 is cited once, as ref. [4] (its arXiv version), for LLMs in architectural decision support (Section 2, p. 117). It also cites S11 (ref. [1]) and FS02's arXiv preprint (ref. [6]).</t>
  </si>
  <si>
    <t>Included as FS20</t>
  </si>
  <si>
    <t>Primary study (six pages): an LLM-based recommender added to the authors' model-driven conformance tool proposes resolutions for violations of a reference architecture; Gemini 1.5 and ChatGPT-4o are evaluated on 16 IoT architectures mutated by the authors. In scope (rule 1): the model's task object is a software architecture, which it corrects to conform to a reference architecture (1.4). Peer reviewed: ICSA-C 2025 (IEEE); the companion track is not named on the paper, and FS19 cites it as a paper of the MDE4SA 2025 workshop. S4 is cited once, as ref. [14], for a tool that helps architects write ADRs with GPT and T5 models, zero- and one-shot prompting and fine-tuning (Section V, p. 408). It also cites S8 (ref. [13]).</t>
  </si>
  <si>
    <t>Included as FS21</t>
  </si>
  <si>
    <t>Primary study: three LLMs with zero-, one- and few-shot prompts, a general-purpose coding agent and a custom multi-agent approach (ArchView) generate architecture views from hierarchical summaries of the source code of 340 open-source repositories, evaluated against manually coded ground-truth views by an LLM judge, image similarity and a blinded human evaluation (4,137 views, 13 configurations). In scope (rule 1): the model's task object is the architecture of an existing system, recovered from its code and documented as views (1.3, 1.4). Peer reviewed: ICSA 2026 (IEEE). S4 is cited once, as ref. [59] (its arXiv version, dated 03 2024), for prior work on automated generation of ADRs (Section VII, p. 254). It also cites S9 (ref. [60]), S10 (ref. [56]), FS02 (ref. [10]), FS19 (ref. [14]) and S4-F11 (ref. [58]).</t>
  </si>
  <si>
    <t>Primary study (ACM TOSEM, 2026, online with DOI; volume and article number not yet assigned on the version read): EPiC evolves the prompts given to an LLM for code generation with a lightweight evolutionary algorithm whose fitness is the pass rate of generated tests, and compares it with agent-based code generators (Reflexion, LATS, LDB, Self-Collaboration) and Self-Consistency on HumanEval+, MBPP+ and BigCodeBench with o3-mini, DeepSeek-V3 and Claude 3.7 Sonnet, for pass@k and for the extra tokens and cost per solved problem. The object of the model's task is the code of single functions and the prompts that produce it, not a software architecture (rule 1). S4 is cited once, as ref. [7], together with a work on GUI prototyping, as an example of LLMs used in software design (Section 1, p. 1).</t>
  </si>
  <si>
    <t>Included as FS22</t>
  </si>
  <si>
    <t>Tool and benchmark paper (five pages): ArchBench, a platform for benchmarking LLMs and agents on software architecture tasks, with a command-line pipeline (dataset download, logged inference, automated evaluation), a public leaderboard and five tasks from published studies, two of them architectural (ADR generation, trace-link recovery between architecture documentation and code) and three code generation. It runs no model and reports no results. Included by the user's decision under the proposed-task clause (rule 3): it specifies benchmark tasks whose object is a software architecture. Peer review accepted on our judgement: the version read is arXiv v1 (18 March 2026), whose comment states acceptance in the ICSA 2026 Software Architecture Showcase track, where the programme lists it; no published version was found, and the track's review process could not be checked. S4 is cited three times, as ref. [7]: with a survey, for optional LLM-as-judge assessment (Section II, p. 2); as the source of the ADR generation task and its dataset (Section II, p. 3); and for the difficulty of comparing studies that use their own datasets and metrics (Section IV, p. 4). It also cites FS15 (ref. [9]), FS02 (ref. [1]) and S4-F11 (ref. [5]).</t>
  </si>
  <si>
    <t>Benchmark study: five LLMs (DeepSeek-V3, Gemma-3-12B, LLaMA 4 Maverick, Mistral Small 3.1, GPT-4o) generate the introductions of machine-learning papers from their titles, abstracts and related work, on new datasets from NAACL 2025 and ICLR 2025, scored by automated metrics, LLM-as-a-judge and a human evaluation of 80 outputs. The object of the model's task is the introduction of a research paper, not a software architecture (rule 1). The version read is arXiv 2508.14273v3 (31 August 2026); its project page is labelled for EMNLP 2026, but a peer-reviewed version was not checked, since the scope decision does not depend on it. S4 is cited once, as Dhar et al. (2024), as a recent benchmarking study in which each output was annotated by a single annotator (Section 7, p. 8).</t>
  </si>
  <si>
    <t>Included as FS23</t>
  </si>
  <si>
    <t>Primary study: nine commercial LLMs answer 1,230 generated questions each about the architecture of three ROS2 systems (entities, publish and subscribe relations, services, communication paths, interface types), given the computation graph extracted from each running system as JSON, checked against a ground truth derived from the graph. In scope (rule 1): the model's task object is the architecture of existing systems, their nodes and connectors (1.4). Peer reviewed: EASE 2026 (ACM); the version read is arXiv v1 (23 April 2026) with the EASE 2026 reference block and a placeholder DOI. S4 is cited as ref. [12]: with FS02, for LLMs assisting architects in design decision making (Section 1, p. 1), and in the related work and its Table 1 (Section 3, pp. 2-3). It also cites S5 (ref. [39]), S8 (ref. [13]), FS18 (ref. [38]), S4-F10 (excluded study)'s arXiv version (ref. [37]), FS02 (ref. [17]) and S4-F18 (ref. [40]).</t>
  </si>
  <si>
    <t>Primary study (workshop paper): an LLM-based coding agent (Cursor, automatic model selection) first writes an implementation plan from a requirements document and an architecture document produced with the authors' ADD approach (FS08), and then generates the code phase by phase; three experiments on a ReAct-style agent (with document and plan, with the document only, from requirements only) are compared by the authors for conformance of the code to the design, functional correctness of the main use case, and size and modularity measured with DV8; Kiro's workflow is tried as well. The architecture is an input and the model's task object is the implementation plan and the code, so it is out of scope (rule 1), as S4-F11 was; the conformance of the code to the architecture is assessed by the authors, not by the model. Had it been in scope it would join FS08 in SF7 (same three authors, and its architecture document comes from FS08's approach). Peer reviewed: Designing '26, 3rd International Workshop on Designing Software (ACM), pp. 23-30. S4 is cited once, as ref. [9], with S10, among studies of LLMs making architecture decisions (Section 2, p. 24). It also cites S10 (ref. [10]), S4-F11 (ref. [11]) and, as ref. [2], an arXiv preprint (2506.22688) by the same authors whose title matches FS08's subtitle.</t>
  </si>
  <si>
    <t>Included as FS24</t>
  </si>
  <si>
    <t>Primary study: a Socratic LLM mentor (Mistral 7B), whose dialogue follows seven design steps derived from 18 software engineers, guides first-year students in designing a system architecture from a project description and requirements; 39 students, with and without the mentor, and their architectures rated on a rubric. In scope (rule 1): the model's task object is the architecture the student is designing, whose components and relationships it identifies and suggests (1.1, 1.2), as with FS07's tutor. Peer reviewed: ICL 2024 (Springer LNNS 1280, pp. 375-386, 2025), as the Springer page confirms; the author's version was read. S4 is cited twice, as ref. [15] (its arXiv version): in the related work, for LLMs proposing design choices by generating ADRs from a decision context (Section 2, p. 3), and for LLMs' limited ability to raise high-level design quality without considerable human input (Section 6.1, p. 9). It also cites S7 (ref. [14], its arXiv version).</t>
  </si>
  <si>
    <t>Duplicate of S1-F06</t>
  </si>
  <si>
    <t>Same article as S1-F06, reached again through S4; the details sent (title, all eight authors, ICSE '26, pp. 1687-1699, DOI 10.1145/3744916.3773114) match S1-F06, so the full text did not need to be read again. The S1-F06 full text cites S4 once, as ref. [14] (its arXiv version), among works in which LLMs assist architects with design decisions and knowledge access (Section 2, p. 1689). The original is on this sheet (S1-F06), included and coded as FS03, so it is not screened or coded again.</t>
  </si>
  <si>
    <t>Same article as S3-F04, reached again through S4; the details sent (title, the three authors Compagnucci, Lu and Trubiani, ScienceDirect article S0164121226001998 in the Journal of Systems and Software) match S3-F04, so the full text did not need to be read again. The S3-F04 full text cites S4 as Dhar et al. (2024a): with S9 (2024b) among works in which LLMs support architectural decisions (Section 1, p. 2), and for its empirical study of LLMs generating design decisions as ADRs (Section 3.1, p. 3); in Section 3.1 (p. 4) S4's study is also described under the label 2024b, which the reference list assigns to S9. The original is on this sheet (S3-F04), included and coded as FS09, so it is not screened or coded again.</t>
  </si>
  <si>
    <t>arXiv preprint (v3, 9 September 2026) in an IEEE conference template without a venue, copyright notice or DOI; the arXiv page could not be read, and a web search found no peer-reviewed version (only arXiv, ResearchGate and aggregator listings). It would be in scope (rule 1, 1.1): R2ABench pairs 68 structured requirements specifications with human-validated reference architecture views in PlantUML, and LLMs (among them GPT-5, Claude Sonnet 4.6, DeepSeek V3.2, Qwen3-Coder) are run directly and inside agent frameworks (MetaGPT, Mini-SWE, OpenHands) to generate views from the requirements, scored by syntax checks, graph metrics and LLM judges; revisit if it is published. S4 is cited once, as ref. [33], for studies of whether LLMs can generate architectural design decisions or ADR-like artefacts (Section VII, p. 10). It also cites FS21 (ref. [12]), FS02 (ref. [8]) and S4-F10 (excluded study)'s arXiv version (ref. [32]).</t>
  </si>
  <si>
    <t>Extended abstract (three pages) proposing self-coding information systems as a research topic: systems that implement functional requirements or address quality requirements by generating, testing and (re)deploying the source code of at least one subsystem at runtime, assumed to use LLM-based coding agents; it gives a definition, expected impacts (architectural trade-offs, roles, social and organisational aspects) and research directions. It runs no model, and the model task it specifies is the generation of source code at runtime, not a task whose object is a software architecture; self-architecting systems that document their design decisions and review their architectures are named only as a possible later evolution, without being specified. Out of scope (rule 3); the object of the specified task is also code (rule 1). Peer reviewed: ICSE-Companion '26 (ACM), pp. 510-512; DOI 10.1145/3774748.3795876. S4 is cited once, as ref. [6], as an example of generative AI supporting architects at development time, by generating architectural design decisions (Section 1, p. 510). It also cites S10 (ref. [10]), FS19 (ref. [5]), FS02 (ref. [7]) and S4-F22 (ref. [8]).</t>
  </si>
  <si>
    <t>Included as FS25</t>
  </si>
  <si>
    <t>Primary study: o3, Gemini 2.0 Flash and Llama 4 Maverick, with three prompting strategies, generate high-level UML component architectures from the natural-language descriptions of two open-source systems, alone and in 81 two-model drafter-refiner chains, compared with the documented architectures. In scope (rule 1): the model's task object is the architecture of the system to be built, generated from its requirements (1.1). Peer reviewed: CASCON 2025 (IEEE), pp. 399-408. S4 is cited once, as ref. [10] (its arXiv version), for LLMs producing plausible design decisions from structured context but sometimes lacking comprehensive rationales (Section II, p. 400). It also cites S7 (ref. [12]) and S11 (ref. [11]).</t>
  </si>
  <si>
    <t>Primary study in information systems (received 10 March 2026, accepted 18 July 2026, online 3 August 2026): a survey of 261 firm representatives, analysed with PLS-SEM, tests how firms' evaluations of LLM quality (IS success model) and their learning and open-innovation capabilities shape perceived net benefits and growth in LLM usage, with a post-hoc experiment on 148 employees about information quality and user satisfaction. No model performs a task in the study; its object is organisational adoption of LLMs and its financial outcomes, not a software architecture (rule 1). S4 is cited once, among studies reporting positive outcomes of LLM use, for improved decision making (Section 2.1, p. 3).</t>
  </si>
  <si>
    <t>Included as FS26</t>
  </si>
  <si>
    <t>Primary study (exploratory lab study): 18 pairs of software professionals design a campus bicycle-parking app from a requirements document with optional access to GPT-3.5 Turbo; the paper reports how pairs share the model, the roles they give it (none, information source, generator, producer) and how they interpret its output. In scope (rule 1): the design includes the system's architecture, and the model is used on it: pairs had it produce whole designs as overviews of the core architectural components and their interactions, draft deployment diagrams and a C4 model, and lay out backend architecture options with their trade-offs; it is a human-centred study of design with a model, as S11 is of architecting with ChatGPT. Peer reviewed: FSE Companion '26 (ACM), pp. 1783-1792. S4 is cited once, as ref. [13], for LLM-generated ADRs that cannot be relied on without human review (Section 2.2, p. 1784). It also cites S8 (ref. [14]).</t>
  </si>
  <si>
    <t>Brief survey, combining conceptual modelling, literature synthesis and project experience, of architecture design for industrial (manufacturing) systems: most of it reviews architecture description languages and tools and their limits for manufacturing (Tables 1-3), followed by a one-page section on human-AI collaborative design and a conceptual table of human and AI roles across systems engineering (Table 4), and directions on multi-agent systems and Asset Administration Shells. Model tasks with an architectural object are not a synthesised part of it: the AI section consists of prospective statements (AI could suggest adjustments, generate and refactor architecture as code, explain design artefacts), each resting on a single citation, with no studies compared or synthesised, so it falls below the review threshold. Peer reviewed: PRO-VE 2025, Hybrid Human-AI Collaborative Networks, IFIP AICT 770 (Springer, 2026); the authors' preprint was read. S4 is cited once, as ref. [71], for AI technologies that could play a transformative role in future collaborative architectural design environments (Section 5, p. 10).</t>
  </si>
  <si>
    <t>Primary study (received 12 December 2025, accepted 18 March 2026): E2LLM, a framework for distributed LLM inference in edge-IoT environments, in which edge devices plan the structure of a response and lightweight auxiliary models generate segment-specific key-value caches so that IoT devices decode segments in parallel, evaluated on edge testbeds for latency, communication, energy and generation quality. The object of the work is the deployment and inference of LLMs; the models generate text and are components of the system, and no model performs a task on a software architecture (rule 1). S4 is cited once, as ref. [11], for 'architectural simplification' of models among techniques for deploying LLMs on constrained devices (Section I, p. 14239), a topic S4 does not address.</t>
  </si>
  <si>
    <t>Primary study (controlled experiment): 240 postgraduate students in 60 teams build Big Picture Event Storming models of a library management system from a requirements document, manually and then with one of six LLMs (GPT-4o, o4-mini, two DeepSeek models, Qwen3-235B, Qwen3-32B) under basic and optimised prompts; models are scored for accuracy, completeness and consistency against a reference model provided by domain experts. The model's task object is a business domain model (domain events, commands, actors, policies and hotspots of a business process), not a software architecture: the study deliberately stays at the Big Picture level and leaves the design-level work of defining aggregates and bounded contexts to future work, so it is out of scope under the knowledge-artefact rule (rule 4); the authors frame domain modelling as the early phase of architecture design, but framing does not decide scope (rule 2). Peer reviewed: ICSA 2026 (IEEE), pp. 323-334. S4 is cited as ref. [10], among work on LLMs for software architecture design (Section I, p. 323) and for supporting architectural design decisions (Section III, p. 325). It also cites S8 (ref. [11]), S10 (ref. [33]), FS14 (ref. [12]), FS02 (ref. [32]), S4-F10 (excluded study)'s arXiv version (ref. [31]) and S4-F11 (ref. [13]).</t>
  </si>
  <si>
    <t>Duplicate of S3-F03</t>
  </si>
  <si>
    <t>Same article as S3-F03, reached again through S4: the PDF sent is the same IEEE Xplore early-access version (DOI 10.1109/TSE.2026.3706446), and its text is identical to the S3-F03 file apart from the download stamps. It cites S4 once, as ref. [18] (its arXiv version), for an exploratory empirical study of whether LLMs can generate architectural design decisions (Section II-A, p. 2); it also cites S9 (ref. [27]) and S4-F27, the DRAFT preprint (ref. [21]). The original is on this sheet (S3-F03), included and coded as FS08, so it is not screened or coded again.</t>
  </si>
  <si>
    <t>Included as FS27</t>
  </si>
  <si>
    <t>Primary study (magazine feature): GPT-4o generates 14 design problems with quality-attribute requirements, each with four design-concept alternatives and their pros and cons; four LLMs choose among the alternatives, and 23 participants of the Designing 2025 workshop choose for five of the problems. In scope (rule 1): the model's task object is architectural design, the selection of design concepts (patterns, tactics, technologies) for quality-attribute problems (1.2). Peer reviewed: IEEE Software 43(4), pp. 87-95. S4 is cited once, as ref. 8, for LLMs generating relevant design decisions that do not yet reach human level (Related Work, p. 89). It also cites S5 (ref. 9) and S8 (ref. 7).</t>
  </si>
  <si>
    <t>Included as FS28</t>
  </si>
  <si>
    <t>Primary study (exploratory): GPT-4 Turbo, with file-system access to the specifications and code of three DEECo applications written in three DSLs, answers questions about their ensemble-based component architectures (components, ensembles, roles, membership conditions, and which ensembles form in a given state). In scope (rule 1): the model's task object is the architecture of existing collective adaptive systems (1.4). Peer reviewed: ISoLA 2024, LNCS 15220, pp. 208-223 (Springer, 2025). S4 is cited once, as ref. [8] (its arXiv version, 'accepted to ICSA 2024'), for LLMs generating design decisions from a decision context without yet reaching human-level correctness (Section 5, p. 221). It also cites S11 (ref. [1]).</t>
  </si>
  <si>
    <t>Included as FS29</t>
  </si>
  <si>
    <t>Primary study (exploratory): four LLMs (GPT-5, Gemini 2.5 Pro, GLM-4.6, DeepSeek 3.2 Terminus) decompose four monolithic Java systems into microservices through a three-phase pipeline (repository summarisation, generation of five architectural views, single-shot service decomposition with a static dependency graph), evaluated against reference decompositions and published tool results from an established benchmark. In scope (rule 1): the model's task object is the architecture of existing systems, their decomposition into services (1.4). Peer reviewed: ICSA 2026 (IEEE), pp. 268-279. S4 is cited once, as ref. [13], together with S10 (ref. [14]) and S5 (ref. [15]), for the limited empirical work on LLMs supporting architectural reasoning and system-level design decisions (Section I, p. 268).</t>
  </si>
  <si>
    <t>Vision paper with a research agenda: challenges of hybrid software design found in the authors' earlier study (missed in-room discussions, undocumented rationale, early splitting of work, unclear architectural decisions, interrupted designs) are mapped to roles GenAI could play as a co-developer, with a conceptual interaction model, three research questions and a discussion of limitations. It runs no model and presents no technical artefact, as the authors state (Section 7, p. 13). The model tasks it outlines, given as illustrative examples in Table 1 (p. 7), are summarising design discussions for remote members, logging rationale from chat messages, prompting alignment checks and retrieving earlier discussions; their object is the team's communication and collaboration, with architecture only as the topic of some stored discussions, and no architectural model task is specified beyond one example row. Out of scope (rule 3); the object of the outlined tasks is also the collaboration process rather than an architecture (rule 1). Peer reviewed: Automated Software Engineering (Springer), received 18 July 2025, accepted 18 July 2026. S4 is cited three times, as Dhar et al. 2024, among work on GenAI supporting architectural reasoning and design activities (Sections 1, 4 and 5, pp. 2, 8, 9). It also cites S8 (Díaz-Pace et al. 2024) and S11 (Ahmad et al. 2023).</t>
  </si>
  <si>
    <t>Grey literature review of 106 sources (web searches and GitHub open-source project documentation) on AI-native applications, systems built around generative AI as their core engine: it synthesises their defining characteristics, quality attributes (such as maintainability, scalability, adaptability and observability), technical implementation elements (core models, agentic systems, RAG) and opportunities and challenges, and proposes a dual-layered engineering blueprint. Its topic is the architecture of LLM-based systems, so the models it reviews are components of the systems being architected and perform no task on a software architecture (rule 1); it synthesises no architectural model task, so it could not meet the review threshold either. The version read is arXiv 2509.13144v2 (21 July 2026), a preprint submitted to an Elsevier journal; no peer-reviewed version was found in a web search on 28 Sep 2026, so it would also fail the peer-review criterion. S4 is cited once, as ref. [10], together with ref. [47] and S8 (ref. [11]), for generative AI applied to software architecture design (Section 2.2, p. 3).</t>
  </si>
  <si>
    <t>Three-page position paper proposing a research direction on how GenAI changes the skills architects need (understanding and analysing context, including prompt and context engineering, critical thinking, communication, collaboration, the skill level at which to use GenAI) and how architects develop skills when work is delegated to GenAI, with the risk of de-skilling. It runs no model, and the object of its argument is the skills of human architects; the architectural uses of GenAI it mentions (scenarios, components, ADRs, diagrams, erosion analysis) are cited from other work as background, without an architectural model task of its own being specified. Out of scope (rule 3). Peer reviewed: ICSE-Companion '26 (ACM), pp. 478-480. S4 is cited once, as ref. [9], as an example of GenAI producing documentation such as ADRs (Section 1, p. 478). It also cites S7 (ref. [11]).</t>
  </si>
  <si>
    <t>arXiv preprint (v1, 31 May 2026) in the ACM TOSEM template with placeholder volume, article number and DOI, that is, a manuscript under review; no published version was found in a web search on 28 September 2026. It is therefore excluded on its record. It is a revised manuscript of the MAAD framework, under a new arXiv entry and title, of the preprint we logged as S4-F28 (arXiv 2507.21382), with one author added (Cai), and it states that it extends the authors' FSE 2025 vision paper (FS14, its ref. [47]). On its content it would be in scope and would join family SF13: four agents (Analyst, Modeler, Designer, Evaluator), with retrieval of architectural standards and patterns and a hierarchical design memory, turn requirements specifications into multi-view architectures with quality-attribute evaluation reports, compared with MetaGPT on 10 case studies with four LLMs (GPT-5.2, Qwen 3.5, Llama 3.3, DeepSeek-R1) and reviewed by six industry architects on 10 real-world specifications; revisit if a peer-reviewed version appears. S4 is cited once, as ref. [8], for GPT-4 generating relevant design decisions zero-shot without reaching human level, and GPT-3.5 becoming competitive few-shot (Section 2.2, p. 5). It also cites S7 (ref. [11]) and S11 (ref. [3]).</t>
  </si>
  <si>
    <t>Included as FS30</t>
  </si>
  <si>
    <t>Primary study (initial, exploratory): an OpenAI reasoning model (called 'GPT-4 o3') generates microservice architectures (services, responsibilities, inter-service links) from the textual requirements of two systems, Bookstore and PetClinic, under zero-shot and one-shot prompting; outputs are compared with reference decompositions extracted from the implemented systems and reviewed blind by experienced architects. In scope (rule 1): the model's task object is the architecture of the systems to be built (1.1). Peer reviewed: SBCARS 2025, pp. 79-89 (SBC Open Library, DOI 10.5753/sbcars.2025.14591). S4 is cited three times, as ref. [10]: with S10 (ref. [17]) for LLMs suggesting architectural structures (Section 1, p. 79), in related work for generating design alternatives in context (Section 2.2, p. 80), and for GPT-4's competitive performance in design tasks (Section 3, p. 82).</t>
  </si>
  <si>
    <t>Vision article: how LLMs could be integrated across the software life cycle (requirements, architectural design, code generation, analysis and testing, program repair and migration, deployment of infrastructure as code, issue management, continuous trustworthiness assessment) to support trustworthy software, and the challenges and research directions this raises. It runs no model. Architecture appears in one paragraph on design (p. 83), which the author calls 'presently only a hypothesis': LLMs might recommend patterns that fit trustworthiness requirements (for example, microservices with isolated data processing for a health-care system) and help weigh trade-offs such as scalability against security; and in one sentence on continuous assessment (pp. 84-85), where LLMs might analyse architectural choices and recommend adjustments for resilience. These are illustrative possibilities, not a specified architectural model task, so the article is out of scope (rule 3), as S4-F55 was. Peer reviewed: IEEE Computer cover feature (IEEE Computer Society). S4 is cited once, as ref. 4, for LLMs having been studied for supporting architectural decisions (p. 80).</t>
  </si>
  <si>
    <t>Included as FS31</t>
  </si>
  <si>
    <t>Overview of the authors' research programme on architecting ML- and RL-based systems for Industry 4.0 cyber-physical production systems: six contributions (design-decision catalogues, an RLOps case study, a modelling method, automatic conformance checks, an LLM-based check of RL practices, LLM-based pipeline generation) placed in a CI/CD pipeline, proposals for further AI support, and four open challenges. It runs no model. Included by our decision under the proposed-task clause (rule 3): Section 5 (pp. 164-165) specifies two architectural model tasks, an LLM writing Python code against the authors' CodeableModels metamodel to generate the formal architecture model of a system from its code and schematics, and an LLM checking such models for conformance to catalogued architectural design decisions; both name their input, output and place in the pipeline, and their object is an architecture model. Peer reviewed: ECSA 2025 Tracks and Workshops (LNCS 15982, Springer); the track is not named on the paper or the Springer page. S4 is cited once, as ref. [22], for involving LLMs in architectural generation to automate synthesis, documentation and adaptation to changing needs (Section 2, p. 157).</t>
  </si>
  <si>
    <t>arXiv preprint (v2, 19 September 2026) marked as submitted to an Elsevier journal; no published version was found in a web search on 29 September 2026 (only arXiv, its replication package on GitHub and aggregator pages). It is therefore excluded on its record. Mixed-methods study: 291 developer-ChatGPT conversations shared on GitHub, mined for design tasks, coded into nine categories (Architecture Design among them, with 52 tasks) and characterised by interaction type and design level, and a survey of 65 practitioners on benefits and limitations. On its content it would be in scope (rule 1): in the Architecture Design conversations the model works on the architecture of the developers' systems (decomposition, messaging, integration), as in the human-centred studies S11 and FS26; revisit if a peer-reviewed version appears. S4 is cited three times, as Dhar et al. (2024), in the related work on LLMs for architecture (Section 2.2, p. 3) and in the discussion (Section 5, p. 21). It also cites S8 (Díaz-Pace et al., 2024) and S10 (Jahic and Sami, 2024).</t>
  </si>
  <si>
    <t>arXiv preprint (v1, 7 March 2026) with no venue, acceptance note or copyright line; no published version was found in a web search on 29 September 2026 (only arXiv and aggregator pages). It is therefore excluded on its record. Benchmark study: ten open-weight small language models (under 7B parameters) generate architecture decision records from decision contexts, zero-shot, few-shot and after LoRA fine-tuning, on S4's dataset of 95 ADRs from five GitHub repositories, scored for technical compliance and semantic diversity (SLM-ArchBench). On its content it would be in scope (rule 1): the model's task object is architectural design decisions, as in S4 (1.3); revisit if a peer-reviewed version appears. S4 is cited as ref. [7] throughout (Sections I-III, pp. 1-4, and the conclusion, p. 9), as the prior ADR-generation study whose dataset and baseline it adopts. It cites no other seed.</t>
  </si>
  <si>
    <t>Duplicate of S4-F60</t>
  </si>
  <si>
    <t>Earlier arXiv version (27 November 2024) of the IEEE Computer article logged as S4-F60 (July 2025, DOI 10.1109/MC.2025.3546204): same single author and the same vision of LLMs across the software life cycle for trustworthy software, with the same architecture passages (recommending patterns such as microservices with isolated data processing, weighing trade-offs, analysing architectural choices during continuous assessment); its note says that an improved and extended version was submitted to the IEEE, which is S4-F60. It is not screened again: S4-F60 is the peer-reviewed version and is excluded under rule 3, and this preprint would fail on both scope (rule 3) and peer review. S4 is cited once, as ref. 4, for LLMs helping to define secure and scalable designs during architecture design (p. 1).</t>
  </si>
  <si>
    <t>arXiv preprint (v1, 30 July 2026) in the ACM template with the placeholder venue 'Conference'17, July 2017, Washington, DC'; it is also posted on SSRN, with supplementary material on Zenodo, and no peer-reviewed version was found in a web search on 29 September 2026. It is therefore excluded on its record. It extends the authors' SBCARS 2025 study, FS30 (its ref. [31]), with a refined method, an added research question (RQ4, a descriptive synthesis of the experts' open feedback) and an expanded analysis: OpenAI o3 generates microservice architectures from the textual requirements of Bookstore and PetClinic under zero-shot and few-shot prompting, one execution per condition, compared with implemented reference architectures and rated blind by experts. On its content it would be in scope (rule 1, 1.1) and would join family SF4 with FS04 and FS30; revisit if a peer-reviewed version appears. S4 is cited as ref. [13], among work on LLM-supported architecture design (Sections 2-3, p. 3) and in the related work for LLM generation of architectural design decisions (Section 3, p. 4). It cites no other seed.</t>
  </si>
  <si>
    <t>Included as FS32</t>
  </si>
  <si>
    <t>Primary study: four LLMs (Gemini-2.5-Pro, Qwen3-235B, GLM-4.6, Gemma-3-4B) generate the next architecture decision record of a repository from its title and a selection of earlier records (none, all, first K, last K, K retrieved by similarity), on over 4,500 ADRs from 750 open-source repositories, scored by text similarity against the human records. In scope (rule 1): the model's task object is architectural design decisions and their documentation (1.3). Peer reviewed: EASE 2026, Research Papers track, as listed on the conference site (researchr profile of Vaidhyanathan, checked 29 September 2026); the version read is arXiv v2 (15 April 2026) with the EASE 2026 reference block and a placeholder DOI. S4 is cited four times, as ref. [8] and again as its arXiv version, ref. [9]: for GPT-4 generating plausible decisions and for ADR generation treated as an isolated task (Section 1, p. 1), and in the related work (Section 6, p. 10). It also cites S9 (ref. [25]), S8 (ref. [26]), S5 (ref. [27]), S7 (ref. [28]) and S10 (ref. [29]).</t>
  </si>
  <si>
    <t>Five-page PhD research proposal, read in its arXiv version (v1, 16 April 2025, GI Lecture Notes in Informatics layout, no venue stated). A web search on 29 September 2026 found no published version, but S7-F20 cites it (ref. [4]) as EMISA 2025, GI LNI P-362, pp. 59-63, DOI 10.18420/EMISA2025_08, and the EMISA 2025 programme lists it as a PhD Research Proposal. The call describes that category as proposals (up to five pages) for talks on ongoing PhD theses and does not describe how submissions are reviewed, so peer review is not established; excluded by our decision (29 September 2026). It proposes LLM-based tools, evaluated by design science, for an assisted architecture creation process (domain models and use cases from requirements, architecture candidates using patterns retrieved with RAG, and qualitative evaluation against requirements), with brief preliminary results, among them that an LLM automating ATAM found a considerable overlap with participants' trade-offs. On its content it would likely be in scope (rule 3 met by the specified architecture generation and evaluation tools) and would join family F6 with S7, the author's earlier vision paper; revisit if the review process for EMISA's PhD research proposals can be established. S4 is cited once, as [DVV24], for LLMs generating relevant decisions, not yet at human quality (Section 2, p. 2). It also cites S7 ([ESW24]) and S10 ([JS24]), and FS24 ([Gü25]).</t>
  </si>
  <si>
    <t>Included as FS33</t>
  </si>
  <si>
    <t>Primary study (controlled experiments): local and online LLMs generate architectures in an explicitly requested pattern (client-server, three-tier, MVC, microservices) as PlantUML class diagrams from requirements given as lists or SRS documents, with and without RAG, for two small systems; the four authors score the diagrams with a rubric, and in the microservice phase the models also compute architecture metrics from their own diagrams. In scope (rule 1): the model's task object is the architecture of the systems to be built (1.1). Peer reviewed: AI (MDPI), received 18 March, revised 15 May, accepted 23 May 2026. S4 is cited once, as ref. [16], for GPT-4 producing coherent decisions short of human quality and smaller fine-tuned models doing comparably (Section 2, p. 3). It also cites S7 (ref. [10]) and S10 (ref. [18]).</t>
  </si>
  <si>
    <t>Research article (received 24 September 2024, revised 1 September 2025, accepted 20 January 2026): a structured literature review and design-science method that specifies the logical boundary of an enterprise as an ontology for enterprise architecture and strategic business design, and guides intuitive judgement in finding missing or redundant enterprise elements, demonstrated in a case study. The object is the enterprise and its business architecture, not a software architecture, and no model performs, or is specified to perform, a task on one; LLMs appear only in a literature discussion of their limitations and of their possible use for architecture decision records, so it is out of scope (rule 1); the knowledge-artefact rule (rule 4) would also apply to the enterprise ontology. S4 is cited once, as ref. [65], for the lack of literature on the effectiveness of LLMs for ADR generation (Section 5, p. 6). It cites no other seed.</t>
  </si>
  <si>
    <t>Included as FS34</t>
  </si>
  <si>
    <t>Primary study: LLMs adapt the architecture of ensemble-based collective adaptive systems at runtime, either online, as part of the adaptation manager deciding each period which components form which ensembles, or offline, by writing the adaptation manager in Python; prompts are generated from an architecture specification DSL and the current state, and online answers are checked against constraints with a retry; evaluated in simulations of two examples against rule-based and reinforcement-learning managers, with five API models. In scope (rule 1): the model's task object is the runtime architecture of the system, its grouping of components into ensembles (1.2, 4.4). Peer reviewed: Future Generation Computer Systems (received 20 June 2025, revised 12 May 2026, accepted 20 June 2026). S4 is cited once, as ref. [24], for LLMs making individual architectural decisions (Section 7, p. 13). It also cites S10 (ref. [22]).</t>
  </si>
  <si>
    <t>Duplicate of S1-F10</t>
  </si>
  <si>
    <t>Same paper as S1-F10, reached again through S4: the PDF sent is the same arXiv version (2609.03721v1, 3 September 2026) with the same title, the same four authors and the same study (four LLMs, zero-shot and few-shot, 30 developer-written ADDs, ROUGE-L, BLEU, METEOR and BERTScore, manual review of the Gemini outputs). It cites S4 as ref. [6], twice, among studies of LLMs generating ADRs and on prompt design and contextual structure affecting ADR and rationale generation (Section 2, p. 2). The original is on this sheet (S1-F10), included and coded as FS05, so it is not screened or coded again.</t>
  </si>
  <si>
    <t>Duplicate of S3-F06</t>
  </si>
  <si>
    <t>Same paper as S3-F06, reached again through S4: the PDF sent is the IEEE Xplore version (DOI 10.1109/ICSA-C68850.2026.00097, pp. 534-541) with the same title and five authors. It cites S4 as ref. [7], three times, for LLMs producing plausible but unsupported architectural abstractions unless constrained (Sections I-II, pp. 534-535) and within refs. [5]-[7] on grounding and trustworthiness (p. 537). The original is on this sheet (S3-F06), included and coded as FS11, so it is not screened or coded again.</t>
  </si>
  <si>
    <t>Same article as S1-F01 (same DOI, 10.3390/software4010006; same four authors; received 27 January, accepted 14 March, published 19 March 2025), reached again through S4. It cites S4 once, in its arXiv version (ref. [27]), for LLMs helping architects make design decisions from textual descriptions (p. 11). The original is on this sheet (S1-F01), included and coded as FS01, so it is not screened or coded again.</t>
  </si>
  <si>
    <t>arXiv preprint (v1, 30 March 2026) in IEEE conference layout with no venue, acceptance note or copyright line; its arXiv page lists no comment or journal reference, and no peer-reviewed version was found in a web search on 29 September 2026. An earlier arXiv preprint by the same five authors on the same study, 'Supporting architecture evaluation for ATAM scenarios with LLMs' (2506.00150, May 2025), shows no venue either. It is therefore excluded on its record. Exploratory study: MS Copilot, given a student ATAM report through RAG, analyses quality-attribute scenarios for risks, sensitivity points and trade-offs, compared with the students' analyses and a ground truth prepared by two authors and checked by a third. On its content it would be in scope (rule 1: the model's task object is the evaluation of an architecture against quality scenarios, 1.4) and would join family F2 with S3 and S8 through Capilla and Díaz-Pace; revisit if a peer-reviewed version appears. S4 is cited once, as ref. [14], for generating ADRs with zero-shot, few-shot and fine-tuning strategies (Section III, p. 2). It also cites S5 (ref. [15]), FS18 (ref. [16]) and FS19 (ref. [18]).</t>
  </si>
  <si>
    <t>Audit of the carbon footprint of the ICSA community: an exploratory estimate of the GenAI inference use reported in accepted ICSA 2025 papers (detected with automated tools and manual checks) and an inventory of the ICSA 2025 conference's emissions (travel, accommodation, catering, venue energy, materials), with recommendations for sustainable practice. The object is research practice and conference emissions; no model performs, or is specified to perform, a task on a software architecture, so it is out of scope (rule 1). Peer reviewed: ICSA 2026 Companion (IEEE), pp. 325-332. S4 is cited once, as ref. [9], for studies of whether LLMs have architectural knowledge (Section II, p. 326). It also cites S5 (ref. [10]).</t>
  </si>
  <si>
    <t>Included as FS35</t>
  </si>
  <si>
    <t>Tool with feasibility study: a LangGraph multi-agent workflow with Gemini 3.1 Pro extracts architectural decisions from raw design-meeting transcripts, critiques and refines them, enriches them by retrieval and drafts Nygard-format ADRs; compared with zero-shot and few-shot prompting over three rounds on five transcripts, rated by 15 participants and checked against 23 decisions identified by senior architects. In scope (rule 1): the model's task object is the architectural decisions of the teams' systems and their documentation (1.3). Peer reviewed: listed among the accepted papers of the SBES 2026 Insightful Ideas and Emerging Results track (CBSoft 2026 site, checked 29 September 2026; presented 9 September 2026); the version read is arXiv v1 (18 August 2026) with the SBES 2026 running header. S4 is cited three times, as ref. [6], for generating decisions from textual context and for zero-shot, few-shot and fine-tuning strategies (Sections 1 and 2.1, p. 1) and in the conclusion (Section 8, p. 6). It cites no other seed; it also cites FS32 (ref. [7]) and the DRAFT preprint logged as S4-F27 (ref. [5]).</t>
  </si>
  <si>
    <t>Primary study (approach with a case study): meta-model based prompt templates lead ChatGPT (GPT-4) from business requirements to a requirements specification (processes, activities, rules), a design specification (entities and relationships, service classes with operation signatures, screens with UI design patterns such as master-detail or tabbed interface) and test-guided code (entity classes, schemas, services, DAOs, screens), shown on an employee pension application. The object of the model's tasks is the requirements, the detailed design within a given layered architecture and the code: the application architecture enters the prompts as an input (the technology stack and three layers), the 'design patterns' chosen are screen layouts, and the services are service classes paired with DAOs, so no model task has a software architecture as its object (rule 1); the entity model would also fall under rule 4. Peer reviewed: APSEC 2024 (IEEE), pp. 412-421. S4 is cited once, in its arXiv version (ref. [27]), for LLMs generating architecture decision records (Section II, p. 413). It cites no other seed.</t>
  </si>
  <si>
    <t>Included as FS36</t>
  </si>
  <si>
    <t>Primary study (comparative): OpenAI o3, DeepSeek-V3 and Claude 3.5 Sonnet generate microservices and directed inter-service links from the textual requirements of Bookstore and PetClinic, zero-shot and with one example, scored against reference decompositions by precision, recall and F1. In scope (rule 1): the model's task object is the architecture of the systems to be built (1.1). Peer reviewed: SAC '26 (ACM), with the ACM reference block and DOI. It is a separate study from FS30 (SBCARS 2025) by the same group on the same two systems, with new runs (August-September 2025) and two further models. S4 is cited three times, as ref. [7], for LLMs in architectural decision support and microservice decomposition (Sections 1-2, p. 2) and for strong performance on design tasks (Section 3, p. 3). It also cites S10 (ref. [14]).</t>
  </si>
  <si>
    <t>Primary study: ATAG takes step-wise textual test cases and generates a 'test architecture', a hierarchy of cohesive, loosely coupled test functions, with an optimisation algorithm over the control and data flows of the test cases, and a fine-tuned BERT model (FunBERT) generates the names of the test functions; evaluated on three industrial datasets. The structure is produced by the optimisation algorithm, not by a model, and the model's task object is the naming of test functions; the 'test architecture' is the organisation of test code, so no model task has a software architecture as its object (rule 1), and the use of the word architecture does not decide scope (rule 2). Peer reviewed: ICECCS 2024 (LNCS 14784, Springer). S4 is cited once, as ref. [11], together with ref. [16], for LLMs generating architectural designs and code with limited accuracy (Section 5, p. 142). It also cites S7 (ref. [12]).</t>
  </si>
  <si>
    <t>A diploma thesis, excluded on its record without reading the full text, as S1-F15 was. A Georgios Sotiropoulos is also a co-author of FS33 (National Technical University of Athens), which evaluates LLM-generated architectures including microservices; whether the thesis belongs to that work was not checked.</t>
  </si>
  <si>
    <t>Included as FS37</t>
  </si>
  <si>
    <t>Primary study (exploratory, qualitative): ChatGPT-4o rates the architecture diagrams and textual descriptions of four SBES 2024 Tools Track papers on clarity, consistency, completeness, accuracy and level of detail through one fixed prompt, and an expert (one of the authors) classifies each of its 20 judgements as agrees, partially agrees or disagrees. In scope (rule 1): the model's task object is the architecture documentation of existing systems, which it assesses against the architecture the text describes (1.3, 1.4). Peer reviewed: AI-SQE '26, a workshop of ICSE 2026, with the ACM reference block and DOI. It builds on FS19 by the same authors, with new diagrams (same family, SF15). S4 is cited once, as ref. [7] (its arXiv version), for architectural knowledge management and decision support (Section 2, p. 89). It also cites S10 (ref. [14]), S11 (ref. [1]), FS02 (ref. [9]), FS19 (ref. [6]) and FS20 (ref. [30]).</t>
  </si>
  <si>
    <t>A preprint, excluded on its record without reading the full text, so its citation of S4 was not checked. It shares two authors (Calvet and Falcão) with S4-F22 (Falcão, Schweitzer, Siebert, Calvet &amp; Elberzhager, ICSE 2026) and asks the same question: whether LLMs can make systems interoperate at runtime. S4-F22 was excluded as out of scope (rule 1), because the objects of the model's task are data and data-conversion code; judging by the title and that overlap, this preprint would probably fall under rule 1 as well if a peer-reviewed version appears, but we have not checked this.</t>
  </si>
  <si>
    <t>Duplicate of S1-F13</t>
  </si>
  <si>
    <t>Same paper as S1-F13 (same title and the same four authors, sent as its IEEE Xplore record), reached again through S4. We checked it against our copy of S1-F13, which carries the ASEW 2025 proceedings footer and DOI 10.1109/ASEW67777.2025.00057: it cites S4 once, as ref. [9], for using five projects with ADRs to see how far LLMs can reproduce their decisions from the given context (Section II, p. 277). The original is on this sheet (S1-F13), included and coded as FS06, so it is not screened or coded again.</t>
  </si>
  <si>
    <t>Included as FS38</t>
  </si>
  <si>
    <t>Framework proposal with a feasibility prototype: an artefact-centric human-AI agentic framework, aligned with the Design Science Methodology, in which one agent (OpenAI Agents SDK) structures requirements, generates candidate designs and architecture-as-code, checks consistency and keeps traceable artefacts such as ADRs, with the architect validating every output. In scope (rule 1): the agent's specified and demonstrated tasks have the architecture of the system being built as their object (1.1, 1.3, 1.4); the generated specification in Fig. 4 is a UML class diagram of the connectors, services and managers of a shop-floor monitoring and predictive maintenance system, a software structure rather than a domain model (rule 4). As with FS12, the evidence is only an illustration of feasibility. Peer reviewed: DoCEIS 2026 selects papers by full-text double-blind review, with proceedings in Springer's IFIP AICT series (call for papers). S4 is cited once, as ref. [29], for ADRs as an existing, weakly integrated remedy for architecture drift (Section 3.1, p. 7 of the preprint).</t>
  </si>
  <si>
    <t>Duplicate of S4-F20</t>
  </si>
  <si>
    <t>Same record as S4-F20, listed a second time among the works citing S4: the title and all seven authors (Karlsruhe Institute of Technology) match. S4-F20 already logs it as the main-corpus study S20, with its citation of S4 checked (ref. [13], Section 2.2), and its conference version FS15 (S4-F16) is included in family F20, so it is not screened or coded again.</t>
  </si>
  <si>
    <t>Primary study in computer-aided building and landscape design: a simplified deterministic analysis of each problem instance is passed to an LLM as context (SAAG), tested on a passive-surveillance task in which two lightweight models recommend vegetation removals to improve sightlines in eight notional park layouts, under four hinting strategies, judged by participants in forced-choice paired comparisons. The object of the model's task is a park layout, a built environment, not a software architecture (rule 1); 'architectural' here refers to building design. S4 is cited once, as Dhar et al. (2024), for the complexity of design problems constraining the usefulness of LLMs (Section 2, p. 104).</t>
  </si>
  <si>
    <t>No full text could be obtained: our institution's EBSCOhost link finds no match beyond the record, and web searches on 29 September 2026 for the title, the authors and the DOI found no copy; the journal's own site could not be reached from our environment. EBSCOhost lists it as a peer-reviewed academic journal article. On the abstract it would be in scope (rule 1): a model fine-tuned on ACME and AADL specifications generates natural-language descriptions of an architecture and then, after transfer of its weights, evolved ADL from natural-language change requests, and it is compared with six one-shot LLM baselines. Its citation of S4 could not be checked. Revisit if the full text is obtained.</t>
  </si>
  <si>
    <t>Included as FS39</t>
  </si>
  <si>
    <t>Primary study: an LLM recovers the architecture of existing C code bases by exploring a Neo4j knowledge graph built from the source with its own Cypher queries, proposing components, allocating functions to them and reassigning coupling candidates found by Graph Max Shift, recursively; applied to cJSON, SQLite and Bash and compared with a manual check, SQLite's documented architecture and a published Bash decomposition. In scope (rule 1): the model's task object is the architecture of existing systems, which it recovers (1.4). Peer reviewed: COMPSAC 2026 (IEEE), with the IEEE proceedings footer and DOI. S4 is cited once, as ref. [3], for evaluating whether LLMs can propose architectural decisions from project context (Section II.C, p. 494). It also cites S5 (ref. [18]), S8 (ref. [4]), FS02 (ref. [5], arXiv version) and S4-F10 (excluded study) (ref. [14]).</t>
  </si>
  <si>
    <t>Systematic mapping study of 20 primary studies (2020 to early 2026) on AI for requirements, design and architecture, coded by area, task type, input, output, evidence type and evaluation. Architecture accounts for 6 of the 20 (Table I), but its studies are counted rather than synthesised: they appear as two one-line rows of the task taxonomy (ADR support; recovery and documentation), each giving typical inputs, outputs and evaluation methods (Table II), and in the dataset and metric tables, while the cross-study findings, failure modes and guidance are pooled across all areas. It falls below the review threshold, as S1-F04 and S1-F20 did; borderline, since the architecture rows do name model tasks. The included studies are not listed as such, several sources cited as evidence are preprints or a researchr entry, and the text keeps placeholders from submission (the selection-flow figure is 'described in words'; a stable release is promised 'for the camera-ready version'). S4 is ref. [2] (its arXiv version), cited among studies that use ADRs as an evaluation target (Section II.C, p. 2) and under ADR support in Table II (p. 4) and Table III (p. 5). It also cites S14 (ref. [19], arXiv version), FS16 (ref. [4], arXiv version) and S4-F27 (ref. [3], SSRN version).</t>
  </si>
  <si>
    <t>Included as FS40</t>
  </si>
  <si>
    <t>Primary study (methodology with initial evaluation): parametrised test patterns and metrics check whether an LLM correctly interprets workflow architectures written in an ADL; GPT-4o and GPT-4 Turbo answer 25 test instances on ExtremeXP workflows in three ADL variants, five times each. In scope (rule 1): the model's task object is a workflow architecture, a graph of executable tasks and sub-workflows linked by control and data flow, specified in an ADL, whose structure, behaviour and functionality it interprets (1.4); borderline, since a workflow is close to a process model, but the tasks are software components with implementations. Peer reviewed: ENASE 2025 (SciTePress), with the proceedings block and DOI. S4 is cited once, as Dhar et al. (2024), for evaluating LLMs generating architectural design decisions from human-written requirements (Section 5, p. 616). It also cites S11 (Ahmad et al., 2023).</t>
  </si>
  <si>
    <t>Duplicate of S4-F52</t>
  </si>
  <si>
    <t>Same article as S4-F52, listed a second time among the works citing S4: the PDF sent is the IEEE Xplore version with the same DOI (10.1109/MS.2026.3663353), title, three authors and pages, and the same study (GPT-4o generating 14 design problems with four alternatives each, four LLMs choosing, 23 Designing 2025 participants choosing for five problems). It cites S4 once, as ref. 8 (Related Work, p. 89), as recorded for S4-F52. The original is on this sheet (S4-F52), included and coded as FS27, so it is not screened or coded again.</t>
  </si>
  <si>
    <t>A preprint: the manuscript keeps the ACM template's placeholder conference line, and the only listing found is on SSRN. Primary study: a multi-agent pipeline, with two software-architect agents of complementary perspectives and a validator agent that consolidates their proposals through different collaboration strategies, generates microservice architectures from the user stories of BookStore and PetClinic (experiments in July 2026), compared with reference decompositions and a few-shot baseline by service and link F1. On its content it would be in scope (rule 1): the model's task object is the architecture of the systems to be built (1.1); revisit if a peer-reviewed version appears. It would join FS30 and FS36 in family SF4 (same research group, VIRTUS/UFCG and ISISTAN, and the same two benchmark systems). S4 is cited twice, as ref. [5], among studies of LLMs generating architectures from textual requirements (Section 1, p. 1) and for investigating LLMs' potential for architectural design decisions (Section 2, p. 2). It also cites S10 (ref. [11]) and FS30 (ref. [15]).</t>
  </si>
  <si>
    <t>Requirements study: from the literature, a requirements workshop with software architecture students, three design iterations and a survey of experienced architects, it proposes a lifecycle for the natural questions that arise during architecture design and elicits functional and non-functional requirements for an environment to capture, classify, prioritise and track them. It runs no model. The AI tasks it names (detecting similar or ambiguous questions, classifying and prioritising them, a conversational assistant over past knowledge, recognising diagrams, and one requirement for 'AI-generated recommendations for addressing architectural concerns and common pitfalls', FR10, p. 9) target question management, and the one architectural item is stated in a single line without being specified, so it falls under rule 3 (and, for the question-management tasks, rule 4). It is also a preprint: the arXiv record has no journal reference, and the data statement points to the ECSA Zenodo community, but we found no ECSA 2025 version (the Springer page of the ECSA 2025 proceedings could not be opened: rate-limited). S4 is cited twice, as ref. [4], for ADRs promoting collaboration and understanding (Section 3.1, p. 4) and for LLMs assisting in the creation of ADRs without reaching human-level decisions (Section 3.2, p. 5). It also cites S9 (ref. [5]).</t>
  </si>
  <si>
    <t>A doctoral dissertation, excluded on its record without reading the full text, as S1-F15 and S4-F80 were. Its title concerns creativity in the everyday work of software professionals; whether any part of it concerns a model task on a software architecture, and where it cites S4, was not checked.</t>
  </si>
  <si>
    <t>Duplicate of S3-F07</t>
  </si>
  <si>
    <t>Same paper as S3-F07 (the IDEA-ARCH 2026 short paper), reached again through S4, now as the published Springer chapter (ECSA 2026, LNCS 16991, pp. 143-151, DOI 10.1007/978-3-032-39143-8_14; copyright line dated 2027). We compared it with the author version read for S3-F07: the text is the same apart from typesetting, the figures (now images) and the reference list, where the Zenodo dataset (ref. [19] in the author version) is missing although it is still cited twice in the text (Section 4, p. 149). It cites S4 twice, as ref. [8], among single case studies showing the feasibility of generative AI (Section 1, p. 144) and for ADR creation and elaboration (Table 1, p. 145). The original is on this sheet (S3-F07), included and coded as FS12, so it is not screened or coded again; FS12's venue now gives the published details.</t>
  </si>
  <si>
    <t>A master's thesis, excluded on its record without reading the full text, as S1-F15, S4-F80 and S4-F94 were. Its title concerns class diagrams generated from requirements; whether any part of it concerns a model task on a software architecture, and where it cites S4, was not checked.</t>
  </si>
  <si>
    <t>Included as FS41</t>
  </si>
  <si>
    <t>Primary study (exploratory, with a proposal): Gemini 2.5 Flash and DeepSeek V4 Flash recommend architectural security patterns for five design problems built from known patterns, and NotebookLM grounded in a corpus of 98 security patterns from the authors' systematic mapping does the same, motivating a planned RAG assistant. In scope (rule 1): the model's task object is the design of the system described in each problem, for which it selects a security pattern (1.2). Peer reviewed: listed among the accepted papers of the SBES 2026 Innovative Ideas and Emerging Results track (CBSoft 2026 site, checked 29 September 2026; session on 10 September 2026, with its Zenodo artefact); the site lists the first author as Rebeca Pontes. S4 is cited three times, as ref. [11], among RAG-powered tools generating ADRs (Section 1, p. 1) and for LLM-generated decisions being accurate but not yet at human level and for automating ADR generation (Section 3, p. 2). It also cites S8 (ref. [12]), FS18 (ref. [31]) and S4-F27 (ref. [10], arXiv version).</t>
  </si>
  <si>
    <t>Primary study: a framework for recommending an architectural pattern from requirements is proposed, but what is implemented and evaluated is requirement classification: TF-IDF features and Decision Tree, Random Forest and SVM classifiers assign requirement statements from a Kaggle dataset to requirement categories (optimised SVM 84.61% accuracy; Table 4, p. 185; Section 4, pp. 185-188). The object of the models' task is requirements, not a software architecture (rule 1); the mapping from classified requirements to patterns is left to future work (Section 6, p. 189), and the models are classical classifiers rather than LLMs or generative AI, with LLMs and transformers also named only as future work. Its reporting is inconsistent (the initial SVM's accuracy is 78.00% in Table 4 and 60.39% in the discussion; the abstract names PROMISE_exp and real SRS documents, the conclusion a Kaggle dataset), and the venue is a social sciences and humanities journal. S4 is cited twice, as ref. [22] (its arXiv version), for studying LLMs' ability to generate architectural design decisions (Section 1, p. 175; Section 2, p. 179). It also cites FS02 (arXiv version) and S7 (ref. [19]), twice, as an AI-based approach to translating requirements into architecture (Section 1, p. 175) and as one of the most related works (Section 2, p. 179).</t>
  </si>
  <si>
    <t>A preprint by a single practitioner author, revised and extended as version 2; version 1 contained figures its author declared fabricated for illustration. Primary study: five Claude models generate future-state enterprise target architectures (components across layers, with integrations) for a hypothetical retailer under three strategic scenarios, unguided and principle-guided, three repetitions each (90 outputs), each assessed blind by two LLM judges on coverage, parsimony against a minimal reference, principle adherence, errors and correction effort. On its content the scope would need a decision: the target architectures are enterprise architectures, but they consist largely of application, data, integration and platform components rather than only business structure (unlike S4-F69, excluded under rule 1); revisit if a peer-reviewed version appears. S4 is cited twice, as Dhar et al. (2024), among studies of LLMs generating architectural design decisions (Section 1, p. 2; Section 2.3, pp. 3-4). It also cites S5 (Soliman and Keim, 2025), S11 (Ahmad et al., 2023), FS02 (arXiv version), FS21 (arXiv version), FS33 (Hadjichristofi et al., 2026) and S4-F11.</t>
  </si>
  <si>
    <t>Taxonomy with a mixed-methods study (interviews, for which 25-30 developers were targeted, analysis of chat logs and pair-programming sessions, and a survey completed by 247 developers): it classifies the control of humans and AI in software development along four axes (initiative, validation, modification, oversight). The object is the division of control over development work and code between developers and AI tools; architecture appears only as the content of the oversight axis and in the related work, and no model performs, or is specified to perform, a task on a software architecture (rule 1). Peer review could not be established either: no venue is given and no record of it was found. S4 is cited once, as Dhar, Vaidhyanathan and Varma (2024), for AI assisting with architectural design decisions (Section 2.1, p. 4 of the PDF). It also cites S11 (Ahmad et al., 2023).</t>
  </si>
  <si>
    <t>Duplicate of S3-F08</t>
  </si>
  <si>
    <t>Same title and single author as S3-F08, reached again through S4, which lists S4 among its seeds (S4 is one of the five architecture papers it summarises). S3-F08 was read in full and excluded below the review threshold; its record was already inconsistent (volume 1, issue 1 of Frontiers in Emerging Multidisciplinary Sciences dated 31 December 2024, with a 2026 header). The Scholar entry sent here names a different journal title on the same publisher's site; the article page could not be opened, so whether this is the same record or a second publication of the same text was not checked. Either way it is not screened again: the decision of S3-F08 applies.</t>
  </si>
  <si>
    <t>A master's thesis, excluded on its record without reading the full text, as S1-F15, S4-F80, S4-F94 and S4-F96 were. Its title describes LLM-based tool support for evaluating software architectures, which would be in scope on its topic (1.4); where it cites S4 was not checked.</t>
  </si>
  <si>
    <t>Duplicate of S4-F86</t>
  </si>
  <si>
    <t>The PDF sent for this record is byte-for-byte identical to the one sent for S4-F86 (same file checksum): the CAADRIA 2026 paper on SAAG, excluded under rule 1 because its model works on a park layout, not a software architecture. Logged as a second listing of the same paper among the works citing S4; if a different file was meant for this record, it will be screened when received.</t>
  </si>
  <si>
    <t>Primary study: ODAM, a pipeline that clusters the microservices of an API from its OpenAPI specifications, evaluated on the Twilio REST API (45 microservices) against an expert grouping, with six pipeline variants (success and failure rate, Silhouette, run time). ChatGPT's tasks are to write missing endpoint descriptions from endpoint metadata and, in one variant, to group endpoint descriptions into named functional topics; the grouping of the microservices themselves is done by K-Means or hierarchical clustering over topic vectors (Sections 3-5, pp. 92-98). The objects of the model's tasks are API documentation and text topics, not a software architecture (rule 1); borderline, because the topics are the features on which services are grouped, and decided with the user on 29 September 2026. Peer reviewed: SBCARS 2025 (SBC), pp. 90-100. Had it been in scope it would join FS30 and FS36 in SF4 (Pereira, Albuquerque, Perkusich and Rodríguez are co-authors). S4 is cited once, as ref. [13], with ref. [14], for exploring whether LLMs can improve the automated functional grouping of microservices (Section 1, p. 90). It also cites S11 (ref. [3]).</t>
  </si>
  <si>
    <t>Included as FS42</t>
  </si>
  <si>
    <t>Primary study: GPT-4o-mini generates microservice decompositions (services, operations, parameters, inter-service calls) from user stories inside an elitist evolutionary loop, a Lean 4 kernel checks structural invariants and proxies for cohesion, granularity and coupling rank the valid candidates; evaluated on the 22 datasets of the Dalpiaz corpus. In scope (rule 1): the model's task object is the architecture of the systems to be built (1.1). Peer reviewed: CIbSE 2026, Emerging Ideas track (SBC SOL record, pp. 365-372, published 11 May 2026). S4 is cited twice, as Dhar et al. (2024), for LLMs opening new possibilities for architectural ideation (Section 1, p. 366) and for LLMs supporting architecture design while generation is unstable (Section 2, p. 367). It also cites S8 (Díaz-Pace et al., 2024), FS01, FS02 (arXiv version) and FS30.</t>
  </si>
  <si>
    <t>Same article as S3-F04, listed again among the works citing S4 (it was already reached through S4 as S4-F42); the title and the three authors match. Its citation of S4 was checked in the S3-F04 full text (Dhar et al., 2024a; Sections 1 and 3.1, pp. 2-4), as recorded for S4-F42. The original is on this sheet (S3-F04), included and coded as FS09, so it is not screened or coded again.</t>
  </si>
  <si>
    <t>Mixed-methods study in building design (EPOKA University, Tirana): case studies of generative design tools (Midjourney, Stable Diffusion, Finch3D, Kaedim, Leonardo AI, Dreamcatcher), eye-tracking and heat-map perception studies, and a prototype image-generation model (TheChair) that uses architects' own design vocabularies. The object of the models' tasks is buildings and spaces; 'architectural' refers to building architecture, not software architecture (rule 1). Venue and peer review could not be established. S4 is cited once, as Dhar, Vaidhyanathan and Varma (2024), for LLMs creating decisions involving architectural design (Section 2.1, p. 262).</t>
  </si>
  <si>
    <t>Same paper as S1-F10 (the IDEA-ARCH 2026 paper, read then as arXiv 2609.03721v1) and as S4-F71, now the published Springer chapter (ECSA 2026, LNCS 16991, pp. 208-215; copyright line dated 2027). We compared the texts: they are the same apart from typesetting, page layout and the shortened author lists in the references. It cites S4 twice, as ref. [6], among studies of LLMs generating ADRs and for prompt design and contextual structure affecting ADR and rationale generation (Section 2, p. 209). The original is on this sheet (S1-F10), included and coded as FS05, so it is not screened or coded again; FS05's venue now gives the published details.</t>
  </si>
  <si>
    <t>A bachelor's thesis, excluded on its record without reading the full text, as the other theses were; the file could not be retrieved (HTTP 404), so its content and where it cites S4 were not checked.</t>
  </si>
  <si>
    <t>Included as FS43</t>
  </si>
  <si>
    <t>Primary study: GPT-5 and Claude Sonnet 4.6 score the architecture diagrams of six open-source microservice systems on 15 guideline-level checks under five quality criteria, from the rendered image or the SVG/draw.io source, and a human audit with 16 software engineers provides reference scores and 253 pairwise preferences between justifications. In scope (rule 1): the model's task object is the architecture documentation of existing systems, which it assesses (1.3, 1.4). Peer reviewed: listed among the accepted papers of SBCARS 2026 (CBSoft 2026 site, checked 29 September 2026; presented 8 September 2026). S4 is cited three times, as ref. [11], among LLM studies in software architecture (Section 1, p. 1; Section 2.3, p. 3, twice). It also cites S5 (ref. [26]), S10 (ref. [17]), S11 (ref. [1]), FS02 (ref. [14]), FS19 (ref. [10]) and S4-F11 (ref. [6]).</t>
  </si>
  <si>
    <t>Primary study in building design: a property-graph data model records the documented design events, decisions, requirements and options of building projects, linked by temporal, generative, selective, refinement and justificatory relations, and is applied to a residential case reconstructed from project documents, with queries for zoning revisions and façade development. The object is building design decisions, and no model performs, or is specified to perform, a task on a software architecture (rule 1); 'architectural' refers to building architecture. S4 is cited once, as Dhar et al. (2024), for AI-based generation of architectural decisions in software contexts (Section 1, p. 2).</t>
  </si>
  <si>
    <t>Duplicate of S4-F12</t>
  </si>
  <si>
    <t>Same paper as S4-F12, listed a second time among the works citing S4 (here as its Google Books entry in the ECSA 2024 proceedings, starting at p. 324, as in S4-F12). S4-F12 already logs it as the main-corpus study S8, with its citation of S4 confirmed from our coding of S8, so it is not screened or coded again.</t>
  </si>
  <si>
    <t>Duplicate of S4-F40</t>
  </si>
  <si>
    <t>The PDF sent for this record is byte-for-byte identical to the one sent for S4-F40 (same file checksum): the author's version of the ICL 2024 paper on a Socratic LLM mentor for system architecture design, included and coded as FS24. Logged as a second listing of the same paper among the works citing S4; its citation of S4 was checked for S4-F40 (ref. [15], Sections 2 and 6.1, pp. 3, 9). If a different file was meant for this record, it will be screened when received.</t>
  </si>
  <si>
    <t>Written in Spanish (repository record read on 29 September 2026). It reports on ArchiGenMS, the LLM-based, Lean 4-verified evolutionary approach to microservice discovery from user stories that is included in English as FS42 (CIbSE 2026), on the same 22 user-story scenarios over five generations. Not screened further; where it cites S4 was not checked. If it were in English it would join FS42 in family SF1 and would need checking as a possible earlier version of the same study.</t>
  </si>
  <si>
    <t>A diploma thesis. Its record carries a Greek title, but the file linked (the English version) is written in English, so the language criterion does not apply; it is excluded as not peer reviewed, like the other theses, without reading the full text beyond its record. Its abstract describes LLMs (GPT-4o, Gemini, LLaMA, Mistral, with and without RAG) generating UML class diagrams that follow client-server, three-tier and MVC patterns in 480 scenarios, evaluated by experts and by an AI judge; the author and supervisor are co-authors of FS33 (Hadjichristofi et al., 2026), a peer-reviewed study on the same topic; whether FS33 reports the thesis work was not checked, nor where the thesis cites S4.</t>
  </si>
  <si>
    <t>A tutorial or seminar slide deck, not a peer-reviewed paper; excluded on its record without reading it. Its presenter, Mateus Dutra, is a co-author of FS43 (SBCARS 2026), on LLM evaluation of microservice architecture diagrams. Where it cites S4 was not checked.</t>
  </si>
  <si>
    <t>Written in Portuguese (title and Scholar abstract): a case study of large language models in the software architecture of an intelligent tutoring system. Excluded on the language criterion without further screening; where it cites S4 was not checked.</t>
  </si>
  <si>
    <t>Duplicate of S3-F12</t>
  </si>
  <si>
    <t>Same paper as S3-F12 (same title and author), reached again through S4. S3-F12 was read in full and excluded as not in English (Spanish, with an English abstract); the Scholar entry sent here places it in the CIbSE 2026 proceedings on SBC SOL, a venue the file read for S3-F12 did not state. It is not screened again: the decision of S3-F12 applies.</t>
  </si>
  <si>
    <t>Written in Turkish (title and Scholar abstract): a thesis on the effectiveness of large language models and LLM agents in automating business-to-business communication. Excluded on the language criterion; as a thesis it would also not be peer reviewed. Where it cites S4 was not checked.</t>
  </si>
  <si>
    <t>Duplicate of S4-F10</t>
  </si>
  <si>
    <t>Same review as S4-F10 (arXiv 2505.16697, the link sent), reached again through S5. S4-F10 records S5 among the reviewed studies, so the citation of S5 was confirmed when it was read. The original is on this sheet (S4-F10), subsequently excluded from the final synthesis (former FS13), so it is not screened or coded again.</t>
  </si>
  <si>
    <t>Same article as S1-F03 (and S3-F01 and S4-F03), reached again through S5. S1-F03 records S5 among the seeds it cites. The original is on this sheet (S1-F03), included and coded as FS02, so it is not screened or coded again.</t>
  </si>
  <si>
    <t>Duplicate of S4-F13</t>
  </si>
  <si>
    <t>Same article as S4-F13 (same DOI), reached again through S5. S4-F13 records its citation of S5 (ref. [53]). The original is on this sheet (S4-F13), included and coded as FS13, so it is not screened or coded again.</t>
  </si>
  <si>
    <t>Included as FS44</t>
  </si>
  <si>
    <t>Vision paper (five pages): an envisioned pipeline that extracts architectural knowledge from requirements, documentation, code and diagrams, links it by trace links, detects and resolves inconsistencies, keeps it in a structured knowledge base maintained by a monitoring LLM agent, and answers questions over it with retrieval-augmented generation. It runs no model. Included by our decision (29 September 2026) under the proposed-task clause (rule 3), as with FS31: the planned model tasks name their inputs, outputs and place in the pipeline (Section 3, pp. 488-489), and their object is the architecture of the systems documented, that is, their elements, decisions and conformance (1.3, 1.4). Peer reviewed: ICSE-Companion '26, with the ACM reference block and DOI. S5 is cited once, as ref. [40], for LLMs providing architectural knowledge and answering developer queries (Section 2.4, p. 488). It cites no other seed.</t>
  </si>
  <si>
    <t>Duplicate of S4-F116</t>
  </si>
  <si>
    <t>Same slide deck as S4-F116 (the link sent points to the same LabSoft UFMG seminar file, lasse2025dutra.pdf), reached again through S5; sent after S5-F31 and logged in the empty fifth slot. S4-F116 is excluded as not peer reviewed on its record, so it is not screened again; where it cites S5 was not checked.</t>
  </si>
  <si>
    <t>Duplicate of S4-F28</t>
  </si>
  <si>
    <t>Same preprint as S4-F28 (arXiv 2507.21382), reached again through S5; S4-F28 records its citation of S5 (ref. [36]). It stays excluded as not peer reviewed there (on content it would join SF13); not screened again.</t>
  </si>
  <si>
    <t>Duplicate of S4-F29</t>
  </si>
  <si>
    <t>Same paper as S4-F29, reached again through S5, which it extends (same questions and ground truth); S4-F29 records S5 among the seeds it cites. The original is on this sheet (S4-F29), included and coded as FS18, so it is not screened or coded again.</t>
  </si>
  <si>
    <t>Same article as S3-F03 (also S4-F51), reached again through S5; S3-F03 records S5 among the seeds it cites. The original is on this sheet (S3-F03), included and coded as FS08, so it is not screened or coded again.</t>
  </si>
  <si>
    <t>Duplicate of S4-F38</t>
  </si>
  <si>
    <t>Same paper as S4-F38, reached again through S5; S4-F38 records S5 among the seeds it cites. The original is on this sheet (S4-F38), included and coded as FS23, so it is not screened or coded again.</t>
  </si>
  <si>
    <t>Same paper as S1-F06 (also S4-F41), reached again through S5; S1-F06 records S5 among the seeds it cites. The original is on this sheet (S1-F06), included and coded as FS03, so it is not screened or coded again.</t>
  </si>
  <si>
    <t>Same article as S3-F04 (also S3-F11, S4-F42 and S4-F106), reached again through S5; S3-F04 records S5 among the seeds it cites. The original is on this sheet (S3-F04), included and coded as FS09, so it is not screened or coded again.</t>
  </si>
  <si>
    <t>Same article as S4-F52 (also S4-F91), reached again through S5; S4-F52 records its citation of S5 (ref. 9). The original is on this sheet (S4-F52), included and coded as FS27, so it is not screened or coded again.</t>
  </si>
  <si>
    <t>Duplicate of S4-F54</t>
  </si>
  <si>
    <t>Same paper as S4-F54, reached again through S5; S4-F54 records S5 among the seeds it cites. The original is on this sheet (S4-F54), included and coded as FS29, so it is not screened or coded again.</t>
  </si>
  <si>
    <t>Mixed-methods study (received 25 January, accepted 17 May 2025): 984 commits and issues from 893 open-source projects that reference architectural solutions on Stack Overflow and Software Engineering Stack Exchange are mined and classified by the authors, and 227 practitioners are surveyed on how they reuse such solutions. The people doing and studying the architectural work are developers and researchers; no model performs, or is specified to perform, a task on a software architecture, and LLM-based tools appear only as a direction for future research (Section V, p. 2036). Out of scope (rule 1). S5 is cited once, as ref. [27], for GPT retrieving architectural knowledge about an open-source system with higher recall than precision (Section II-A, p. 2018). It cites no other seed.</t>
  </si>
  <si>
    <t>Vision paper: LLM-based assistants at every life-cycle stage are to extract knowledge from structured and unstructured artefacts (documentation, code, meeting and call recordings, diagrams) into a knowledge base built on an ontology or another formal specification, which in turn checks new artefacts for consistency with the knowledge already stored; architecture knowledge is the motivating scenario (Section 1, p. 3). It runs no model. The only record we found is the KIT repository entry, catalogued as a research report/preprint with no venue, and the group's publication list gives it the same way (both checked 29 September 2026); FS44, the first author's later vision paper, cites it as a KIT technical report (ref. [23]). The ACM reference block on the PDF names a 'Future Software Engineering Workshop 2025 (FSEws2025)' with an IW3C2 copyright line, but a web search found no event of that name and no proceedings. It is therefore excluded on its record. On its content it would be a borderline case: the specified tasks are generic knowledge extraction and consistency checking, with architecture as the example domain, and the model's output is knowledge-base content (rule 4); FS44, which specifies architectural tasks more concretely, was included under rule 3. S5 is cited once, as ref. [68], for LLMs providing architectural knowledge and answering developers' questions (Section 2, p. 4). It cites no other seed.</t>
  </si>
  <si>
    <t>Primary study on arXiv (v1, 5 April 2026) in a Springer journal template headed 'Noname manuscript No. (will be inserted by the editor)', with 'Received: date / Accepted: date' left blank; the arXiv record has no comment or journal reference, and a web search on 29 September 2026 found only arXiv and aggregator pages. It is therefore excluded on its record. On its content it would also be out of scope (rule 1): the compilation errors in COBOL code generated by five LLMs (GPT-3.5, GPT-4, GPT-4o-mini, GPT-4o, mAInframer) are categorised, and COBOLAssist repairs them iteratively from compiler feedback, so the object of the model's task is source code. S5 is cited once, among works on GPT models performing well in general code generation and debugging tasks (Soliman and Keim, 2025; Section 4.1, p. 11). It cites no other seed.</t>
  </si>
  <si>
    <t>Duplicate of S4-F66</t>
  </si>
  <si>
    <t>Same paper as S4-F66 (arXiv 2604.03826v2; the PDF is byte-identical to the file read for S4-F66), reached again through S5; S4-F66 records its citation of S5 (ref. [27]). The original is on this sheet (S4-F66), included and coded as FS32, so it is not screened or coded again.</t>
  </si>
  <si>
    <t>Benchmark paper on arXiv (v1, 28 June 2026) in the Springer LNCS layout, with no venue, proceedings or DOI stated; the benchmark artefact is linked through an anonymised repository (footnote 1, p. 3), and a web search on 29 September 2026 found only arXiv and aggregator pages (Pith lists it as a preprint). It is therefore excluded on its record. It presents SAKE, 2,154 multiple-choice questions in eight categories (three from the Gang of Four design patterns, five from Software Architecture in Practice: quality attributes, architectural solutions, scalable practices, architectural styles, software architecture for quantum computing; Table 1, p. 8), and evaluates 11 LLMs in zero-shot and five-shot settings. On its content it would be a borderline case under rule 1: the model answers questions on general architectural knowledge and design patterns, some framed as a design choice for a described system, rather than working on the architecture of a given system as S5 does with HDFS; revisit if it appears in a peer-reviewed venue. S5 is cited three times, as ref. [17]: for LLMs not having been evaluated on answering architectural knowledge questions (Section 1, p. 2), for its recall and precision on HDFS (Section 2.2, p. 4) and in the gap analysis (Section 2.3, p. 4). It cites no other seed; it also cites S4-F10 (excluded study) (ref. [16]).</t>
  </si>
  <si>
    <t>Single-author study on arXiv (v2, 14 May 2026) in the Springer LNCS layout, with no venue, proceedings or DOI stated; a web search on 29 September 2026 found only arXiv and aggregator pages (Pith lists it as a preprint), and the arXiv page could not be read. The paper is dedicated to Sjouke Mauw on his retirement and to Michel Reniers; the Festschrift for Mauw (LNCS 16365, Springer) appeared in March 2026, before this preprint, and we could not see its table of contents, so we found no published version. It is therefore excluded on its record. Three LLMs (Gemini-3, GPT-5.4, Qwen-3.6) perform 129 tasks on the formal semantics of High-level Message Sequence Charts: events and their ordering, semantics-preserving abstraction and composition, traces and trace-equivalent labelled transition systems. On its content it would likely also fail rule 1: the object of the tasks is the semantics of a behavioural specification notation, which the author frames as architectural design specification (rule 2). S5 is cited twice, as ref. [16], together with FS18: on the availability and accuracy of architectural knowledge in LLMs (Section 2, p. 4) and in Table 2 (p. 6). It cites no other seed; it also cites S4-F10 (excluded study) (ref. [14]), FS18 (ref. [15]) and FS13 (ref. [19]).</t>
  </si>
  <si>
    <t>Same paper as S3-F06 (also S4-F72), reached again through S5: the PDF sent is the IEEE Xplore version (DOI 10.1109/ICSA-C68850.2026.00097, pp. 534-541) with the same title and five authors. It cites S5 as ref. [6], four times: for LLM synthesis producing unsupported abstractions unless grounded (Section I, p. 534), twice as work on traceability link recovery for detecting inconsistencies in architecture documentation (pp. 535-536), which S5 does not study, and within refs. [5]-[7] on limited evidence about knowledge and trustworthiness (p. 537). The original is on this sheet (S3-F06), included and coded as FS11, so it is not screened or coded again.</t>
  </si>
  <si>
    <t>Duplicate of S4-F74</t>
  </si>
  <si>
    <t>Same preprint as S4-F74, reached again through S5: the PDF is byte-identical to the file read for S4-F74 (arXiv 2603.28914 v1). S4-F74 is excluded as not peer reviewed and records its citation of S5 (ref. [15], Section III, p. 2, for an LLM answering architectural knowledge questions compared with a ground truth). It is not screened again; the S4-F74 decision applies, including the note to revisit it if a peer-reviewed version appears.</t>
  </si>
  <si>
    <t>Duplicate of S4-F75</t>
  </si>
  <si>
    <t>Same paper as S4-F75 (IEEE Xplore document 11641171, the link sent), reached again through S5; S4-F75 records its citation of S5 (ref. [10]). S4-F75 is excluded under rule 1 (an audit of the carbon footprint of the ICSA community, with no architectural model task), so it is not screened again.</t>
  </si>
  <si>
    <t>Primary study (400 evaluation runs): LLMs transform a semi-structured Hazard Analysis and Risk Assessment (HARA) workbook for a construction-zone-assist function, in two templates, into Digital Dependability Identity models conforming to the Open Dependability Exchange metamodel, either by generating ETL code or by synthesising the serialised model directly, with automated checks of parseability, metamodel conformance, completeness and semantic equivalence against a reference model. The object of the model's task is safety-analysis content (hazards, risks, safety goals) and its model-to-model transformation, not a software architecture; the 'two architectures' compared are the transformation pipelines, and a task workflow is not the architecture of the system (rule 1). Architecture appears only as the downstream consumer of the traceability information. Peer reviewed: ICSA 2026 Companion (IEEE), pp. 427-432. S5 is cited once, as ref. [10], for LLMs generating structured engineering artefacts, including architecture-related tasks (Section II, p. 428). It also cites S7 in its arXiv version (ref. [11]), at the same place.</t>
  </si>
  <si>
    <t>Same paper as S1-F13 (also S4-F83), reached again through S5: the Scholar entry sent links IEEE Xplore document 11334367 with the same title and authors. S1-F13 records its citation of S5. The original is on this sheet (S1-F13), included and coded as FS06, so it is not screened or coded again.</t>
  </si>
  <si>
    <t>Duplicate of S4-F88</t>
  </si>
  <si>
    <t>Same paper as S4-F88, reached again through S5: the Scholar entry sent links IEEE Xplore document 11645295 with the same title and authors (COMPSAC 2026). S4-F88 records its citation of S5. The original is on this sheet (S4-F88), included and coded as FS39, so it is not screened or coded again.</t>
  </si>
  <si>
    <t>Same article as S4-F52 (also S4-F91), listed a second time among the works citing S5 (the first is S5-F12): the Scholar entry sent names only Cai as author, dates it 2025 and links the early-access PDF of IEEE Software document 11393902 on computer.org. S4-F52 records its citation of S5 (ref. 9). The original is on this sheet (S4-F52), included and coded as FS27, so it is not screened or coded again.</t>
  </si>
  <si>
    <t>Duplicate of S4-F99</t>
  </si>
  <si>
    <t>Same preprint as S4-F99, reached again through S5: the Scholar entry sent links a ResearchGate copy with the same title and single author. S4-F99 is excluded as not peer reviewed (self-archived on Zenodo, with a Research Square preprint) and records its citation of S5 (Soliman and Keim, 2025). It is not screened again; the S4-F99 decision applies, including the note to revisit it if a peer-reviewed version appears.</t>
  </si>
  <si>
    <t>Duplicate of S1-F15</t>
  </si>
  <si>
    <t>Same thesis as S1-F15, reached again through S5: the Scholar entry sent links the DR-NTU repository record with the same title and author. S1-F15 is excluded as not peer reviewed, on its record, so it is not screened again; its citation of S5 was not checked.</t>
  </si>
  <si>
    <t>Same article as S3-F04 (also S3-F11, S4-F42 and S4-F106), listed a second time among the works citing S5 (the first is S5-F11), with the same title and three authors. S3-F04 records its citation of S5. The original is on this sheet (S3-F04), included and coded as FS09, so it is not screened or coded again.</t>
  </si>
  <si>
    <t>Duplicate of S4-F110</t>
  </si>
  <si>
    <t>Same paper as S4-F110, reached again through S5: the Scholar entry sent links the SBCARS 2026 PDF on the CBSoft 2026 site, with the same title. S4-F110 records its citation of S5. The original is on this sheet (S4-F110), included and coded as FS43, so it is not screened or coded again.</t>
  </si>
  <si>
    <t>Narrative overview with no method or data: it describes a 'systematic mapping approach' but names no search, selection or included studies, and the text has no in-text citations; the reference list has 31 entries (pp. 110-113). Peer review for this article could not be reliably established, and, as with S1-F19 from the same publisher's journals, the main concern is its bibliographic record: it states submission on 26 October, acceptance on 17 November and publication on 30 November 2024, but it cites three papers from ICSA 2025 and its companion (refs. 20, 27 and 29, p. 112), and the PDF was created on 15 March 2026. Its architecture content (LLM-based recovery, component summarisation, conformance) is pooled with defect prediction and code smells, so it would also fail the review threshold. S5 is cited once, as ref. 27, in the reference list only (p. 112). It cites no other seed.</t>
  </si>
  <si>
    <t>Literature survey on arXiv (v1, 29 September 2025) in the Springer LNCS layout, with no venue, proceedings or DOI stated; the arXiv record has no journal reference (its comment gives only '9 pages'), and a web search on 29 September 2026 found only arXiv pages. It is therefore excluded on its record. It maps 14 primary studies, found by two Google Scholar queries (29 June 2025), on LLMs generating UML use case and sequence diagrams, by modelling task, LLM, data source and evaluation approach. On its content it would also fall outside scope: the model tasks it covers are behavioural models of a system's requirements and interactions, not architectures (rule 1), and it counts rather than synthesises them (review threshold). S6 is one of its primary studies, PS11 (ref. [22]): listed in Table 2 (p. 3), mapped in Table 3 as generating use case and sequence diagrams from a software requirements specification with GitHub Copilot, evaluated by similarity to reference diagrams (p. 4), and named for its model and its similarity-score evaluation in Section 3 (pp. 4-5). It cites no other seed.</t>
  </si>
  <si>
    <t>Written in Finnish (title as sent: 'Utilising generative AI in software development'). Excluded on the language criterion without further screening; a student thesis in the university repository would also not be peer reviewed, but the file could not be opened (access denied), so its type, year, content and where it cites S6 were not checked.</t>
  </si>
  <si>
    <t>Same article as S1-F03 (and S3-F01, S4-F03 and S5-F02), reached again through S7. S1-F03 records S7 among the seeds it cites. The original is on this sheet (S1-F03), included and coded as FS02, so it is not screened or coded again.</t>
  </si>
  <si>
    <t>Same study as S5 of the main corpus (ICSA 2025), also logged as S4-F14: the title and authors match, and the PDF sent is the IEEE Xplore version. The original is in the main workbook (Final-TA, Included studies, S5), where it is included and coded, so it is not screened or coded again here. The full text confirms that it cites S7, as ref. [44], for outlining a vision of generating architectures from requirements, contrasted with its own analysis of the architectural knowledge of existing systems (Section VII, p. 10).</t>
  </si>
  <si>
    <t>Duplicate of S4-F16</t>
  </si>
  <si>
    <t>Same paper as S4-F16 (IEEE Xplore document 10978943, the link sent), reached again through S7; S4-F16 records S7 among the seeds it cites. The original is on this sheet (S4-F16), included and coded as FS15, so it is not screened or coded again.</t>
  </si>
  <si>
    <t>Included as FS45</t>
  </si>
  <si>
    <t>Primary study: GPT-4o, given a system prompt with one worked example, generates UML component diagrams in PlantUML (components, interfaces, exposes and requires relations, interface methods) from the informal problem descriptions of 12 exam traces of an M.Sc. software engineering course, and the diagrams are compared with the professors' solutions through indicators derived from a graph-based formalisation. In scope (rule 1): the model's task object is the architecture of the specified system, its components and their interfaces (1.1). Peer reviewed: ICSA 2025 Companion (IEEE), pp. 291-299. S7 is cited three times, as ref. [12]: among works that use LLMs to generate UML diagrams (Section I, p. 292), as generating class diagrams from requirements with ChatGPT and Llama2 without a final evaluation (Section II, p. 292), and among works using PlantUML (Section III, p. 293). It also cites S9 (ref. [9]), S8 (ref. [11]) and S10 (ref. [20]).</t>
  </si>
  <si>
    <t>Same article as S4-F20 (also S4-F85), reached again through S7: the Scholar entry sent links DOI 10.1145/3807453 with the same title and authors. S4-F20 logs it as the main-corpus study S20, included and coded in the main workbook, so it is not screened or coded again; where it cites S7 was not checked.</t>
  </si>
  <si>
    <t>Duplicate of S4-F21</t>
  </si>
  <si>
    <t>Same article as S4-F21, reached again through S7; S4-F21 is excluded under rule 3 (practitioners, not a model, design with the tactics catalogue). Its full text, read for S4-F21, cites S7 as ref. [135], in a group of works [134-137] on LLMs as a topic in the software architecture community (Section 8, p. 28); S4-F21 now records this.</t>
  </si>
  <si>
    <t>Roadmap article proposing 10 research challenges on the changing role and responsibility of software engineers (role definition, integration of AI, education, standards and impact assessment), with sustainability and ethics as its lens. It runs no model, and the object of its argument is the profession and its education; AI support for software architecture is mentioned once, as one area where approaches automate software engineering activities, without an architectural model task being specified. Out of scope (rule 3). Peer reviewed: ACM TOSEM 34(5), art. 136. S7 is cited once, as ref. [45], as an example of AI approaches in software architecture (Section 2.1, p. 136:4). It also cites S10 (ref. [68]), at the same place.</t>
  </si>
  <si>
    <t>Duplicate of S1-F05</t>
  </si>
  <si>
    <t>Same paper as S1-F05, reached again through S7: the link sent is its ACM DOI, with the same title. S1-F05 is excluded under rule 3 (a position paper and roadmap that runs no model) and records S7 among the seeds it cites, so it is not screened again.</t>
  </si>
  <si>
    <t>Primary study: NextFocus, a neural network with an attention layer over embeddings of model elements (text-embedding-3-small), is trained on the version histories of 32 EMF/Ecore modelling projects in the RepairVision dataset to predict which further elements of a software model must change after a first edit; it reaches an average Precision@k of 0.98 for k up to 10 against three baselines, and is also evaluated iteratively with an existing LLM-based single-location completion approach (RaMc). The object of the task is the evolution of software models and metamodels in model-driven engineering, not a software architecture (rule 1). Peer reviewed: ICSE '26 (ACM). S7 is cited once, as ref. [33], among works on ChatGPT generating models from requirements (Section 2.2, p. 2). It cites no other seed.</t>
  </si>
  <si>
    <t>Duplicate of S4-F27</t>
  </si>
  <si>
    <t>Same preprint as S4-F27 (arXiv 2504.08207, the link sent), reached again through S7. S4-F27 is excluded as not peer reviewed; its full text, read for S4-F27, cites S7 as ref. [48], as a vision of generating architecture candidates from requirements (Section 8, p. 20), which S4-F27 now records. It is not screened again; the S4-F27 decision applies, including the note to revisit it if a peer-reviewed version appears.</t>
  </si>
  <si>
    <t>Same preprint as S4-F28 (also S5-F06), reached again through S7: the Scholar entry sent links arXiv 2507.21382 with the same title and authors. S4-F28 is excluded as not peer reviewed and records S7 among the seeds it cites, so it is not screened again; the S4-F28 decision applies.</t>
  </si>
  <si>
    <t>Same article as S3-F03 (also S4-F51 and S5-F08), reached again through S7: the Scholar entry sent links IEEE Xplore document 11575292 with the same title and authors. S3-F03 records S7 among the seeds it cites. The original is on this sheet (S3-F03), included and coded as FS08, so it is not screened or coded again.</t>
  </si>
  <si>
    <t>Same study as S3 of the main corpus (ICSA-C 2025), also logged as S4-F31: the Scholar entry sent links IEEE Xplore document 11014919 with the same title and authors. The original is in the main workbook (Final-TA, Included studies, S3), where it is included and coded, so it is not screened or coded again here. The full text, read for S4-F31, cites S7 once, as ref. [15], together with S4, for using simple LLM prompting strategies to suggest, evaluate and document design alternatives (Section V, Related Work, p. 5 of the PDF).</t>
  </si>
  <si>
    <t>Primary study: GPT-4o (gpt-4o-2024-05-13) classifies software use cases for compliance with the consent requirements of the California Consumer Privacy Act, proposes modifications to non-compliant use cases, and the modifications are validated manually against the legal standard. The object of the model's task is requirements (use cases) and their legal compliance, not a software architecture (rule 1). Peer reviewed: ICAIL 2025 (ACM). S7 is cited once, as ref. [9], among uses of LLMs by developers to design artefacts (Section 1, p. 160). It cites no other seed.</t>
  </si>
  <si>
    <t>Earlier preprint (arXiv 2506.22688, 30 pp.) of the IEEE TSE article logged as S3-F03 ('Better Together: An LLM-assisted approach to designing software architectures using Attribute-Driven Design'): same three authors, the same approach (an explicit ADD description, an architect persona, a planned iteration sequence and one shared architecture document) and the same two case studies, the Hotel Pricing System and the Warehouse Management System; the published version revises the research questions (three in the preprint, two in TSE). It is not screened again: S3-F03 is the peer-reviewed version, included and coded as FS08, and this preprint would fail the peer-review criterion. S7 is cited once, as [Eisenreich2024], for a method and tool framework that semi-automatically generates architecture candidates from requirements (Section 2, p. 2). It also cites S1 ([Maranhão2024]), S10 ([Jahić2024]), FS02 ([Esposito2025]) and S4-F27 ([Dhar2025]).</t>
  </si>
  <si>
    <t>Same chapter as S4-F40 (also S4-F113), reached again through S7: the Scholar entry sent links the Springer chapter with the same DOI and authors. S4-F40 records S7 among the seeds it cites. The original is on this sheet (S4-F40), included and coded as FS24, so it is not screened or coded again.</t>
  </si>
  <si>
    <t>Same paper as S1-F06 (also S4-F41 and S5-F10), reached again through S7: the Scholar entry sent links DOI 10.1145/3744916.3773114 with the same title and authors. S1-F06 records S7 among the seeds it cites. The original is on this sheet (S1-F06), included and coded as FS03, so it is not screened or coded again.</t>
  </si>
  <si>
    <t>Duplicate of S4-F45</t>
  </si>
  <si>
    <t>Same paper as S4-F45, reached again through S7: the Scholar entry sent links IEEE Xplore document 11344283 with the same title and authors. S4-F45 records S7 among the seeds it cites. The original is on this sheet (S4-F45), included and coded as FS25, so it is not screened or coded again.</t>
  </si>
  <si>
    <t>Single-author preprint on arXiv (v1, 8 April 2025) in an IEEE two-column layout, with no venue, proceedings, DOI or copyright line; a web search on 29 September 2026 found only arXiv and ResearchGate pages. It is therefore excluded on its record. ARLO uses an LLM to identify architecturally significant requirements, the ISO/IEC 25010 quality attributes they imply and their conditions, maps them to a tailorable matrix of architectural choices (for example monolithic, microservices or peer-to-peer deployment), and selects the choices by integer linear programming, demonstrated on real-world examples. On its content it would be a candidate under rule 1 (1.2): the model's outputs drive the selection of architectural choices, although the model itself analyses requirements and the choice is made by the optimiser; revisit if a peer-reviewed version appears. S7 is cited once, as ref. [46], for a method to generate a system's architecture semi-automatically from requirements (Section II, p. 2 of the PDF). It cites no other seed.</t>
  </si>
  <si>
    <t>Primary study: an open-weight LLM (Llama 3.1 70B), guided by prompt engineering, extracts actors and use cases from software requirements to build use case models, and five professional software engineers compare it with manual modelling (about 60% less modelling time, with model quality on par). The object of the model's task is a use case model of the requirements, which the authors place as an intermediate step before architecture, not a software architecture (rule 1), as with the behavioural models of S6-F01. Peer reviewed: ASE 2025 Workshops (IEEE). S7 is cited once, as ref. [3], with the first author's PhD research proposal (ref. [4], logged as S4-F67), as the vision this study builds on, in which domain and use case models formalise requirements on the way to generated architectures (Section I, p. 221). It cites no other seed. Same first and last authors as S7 (family F6).</t>
  </si>
  <si>
    <t>Festschrift chapter on combining documentation as code with generative AI: GitHub Copilot's doc command generates source-code comments, assessed against quality criteria (93% judged high quality), and a proposed retrieval process for documenting legacy systems ends with an informal test in which GitHub Copilot and ChatGPT describe several small UML class diagrams written in PlantUML. The model tasks it runs have code comments and class diagrams as their object, not a software architecture (rule 1); that LLMs 'could be used' to abstract system models into component views for a target architecture is stated as a possibility, not specified as a task (rule 3, as S4-F55 and S4-F60). Peer review of the Festschrift chapter was not checked, since the scope decides. S7 is cited once, as ref. [15], for AI supporting the iterative development of an architecture from requirements (Section 3.3, p. 292). It cites no other seed.</t>
  </si>
  <si>
    <t>Duplicate of S4-F57</t>
  </si>
  <si>
    <t>Same paper as S4-F57, reached again through S7: the Scholar entry sent links DOI 10.1145/3774748.3795868 with the same title and authors. S4-F57 is excluded under rule 3 (a position paper on architects' skills that runs no model) and records S7 among the seeds it cites, so it is not screened again.</t>
  </si>
  <si>
    <t>Duplicate of S4-F58</t>
  </si>
  <si>
    <t>Same preprint as S4-F58, reached again through S7: the Scholar entry sent links arXiv 2606.01385 with the same title and authors. S4-F58 is excluded as not peer reviewed and records S7 among the seeds it cites, so it is not screened again; the S4-F58 decision applies.</t>
  </si>
  <si>
    <t>Primary study: GPT-4o extracts entities and relationships from textual descriptions of ten conceptual (entity-relationship) models of varying complexity, with each description sent five times, and the outputs are compared for accuracy and, by Jaccard similarity, for consistency; entities were recognised well, implicit relationships less so. The model's task object is a conceptual data model of the problem domain, not a software architecture, so it is out of scope under the knowledge-artefact rule (rule 4), as with S4-F50. Peer reviewed: IT 2025 (IEEE). S7 is cited once, as ref. [10], for a semi-automated approach to generating software architectures from requirements with LLMs (Section II, p. 1). It cites no other seed.</t>
  </si>
  <si>
    <t>Duplicate of S1-F08</t>
  </si>
  <si>
    <t>Same paper as S1-F08, reached again through S7: the Scholar entry sent links arXiv 2609.20308, the version read for S1-F08 (first author listed by Scholar as J Renan, that is José Renan Alves Pereira). S1-F08 records S7 among the seeds it cites. The original is on this sheet (S1-F08), included and coded as FS04, so it is not screened or coded again.</t>
  </si>
  <si>
    <t>Same paper as S4-F66 (also S5-F17), reached again through S7: the Scholar entry sent links arXiv 2604.03826, the version read for S4-F66. S4-F66 records S7 among the seeds it cites. The original is on this sheet (S4-F66), included and coded as FS32, so it is not screened or coded again.</t>
  </si>
  <si>
    <t>Included as FS46</t>
  </si>
  <si>
    <t>Primary study (industrial case study): a five-step pipeline in which GPT-5.1 recovers C4 System Context and Container diagrams from the Azure DevOps work items of two company projects, evaluated by interviews with three practitioners, a traceability analysis of the discrepancies they flagged and ten repeated runs per project. In scope (rule 1): the model's task object is the architecture of the systems, recovered and documented as C4 views (1.3, 1.4). Peer review accepted on our judgement: the version read is arXiv v1 (28 August 2026) with the ACM reference block and DOI of AISM '26 and the dates 'Received 2026-08-11; accepted 2026-08-23'; the workshop call states single-blind review with proceedings in the ASE 2026 proceedings; the workshop takes place on 12-16 October 2026, after our retrieval date, and no published version was found yet. S7 is cited once, as ref. [10], in the future work on multi-agent architectures with generator-evaluator loops (Section 8, p. 8). It also cites S10 (ref. [15]), FS02 (ref. [11]), S4-F10 (excluded study) (ref. [25]) and FS45 (ref. [30]).</t>
  </si>
  <si>
    <t>Duplicate of S4-F67</t>
  </si>
  <si>
    <t>Same PhD research proposal as S4-F67, reached again through S7: the Scholar entry sent links arXiv 2504.12192, the version read for S4-F67. S4-F67 is excluded (peer review not established for EMISA's PhD research proposals) and records S7 among the seeds it cites ([ESW24]), so it is not screened again; the S4-F67 decision applies.</t>
  </si>
  <si>
    <t>Duplicate of S4-F68</t>
  </si>
  <si>
    <t>Same article as S4-F68, reached again through S7: the Scholar entry sent links the MDPI article (AI 7(6), 195) with the same title and authors. S4-F68 records S7 among the seeds it cites. The original is on this sheet (S4-F68), included and coded as FS33, so it is not screened or coded again.</t>
  </si>
  <si>
    <t>Duplicate of S7-F52</t>
  </si>
  <si>
    <t>Earlier arXiv version (v1, 19 May 2026, LNCS layout, no venue stated) of the ECSA 2026 paper logged as S7-F52 (LNCS 16991, pp. 99-114): same title, eight authors and abstract. When first screened, no published version had been found and it was excluded as not peer reviewed; the published version was then reached through S7 as S7-F52 and included as FS48, so this preprint is recorded as its earlier version and is not screened or coded again. It extends the authors' blueprint-guided LLM-agent pipeline for recovering hierarchical ROS 2 architectures (their earlier preprint, arXiv 2602.18644). S7 is cited once, as ref. [15] (Section 2, p. 4). It cites no other seed; it also cites FS45 (ref. [16]), FS25 (ref. [18]) and the arXiv version of FS23 (ref. [19]).</t>
  </si>
  <si>
    <t>Industrial experience paper: LLMs generate, curate and evaluate a synthetic question-answering dataset (1,241 pairs) from a company's internal guidelines and standards for airborne software development, and a model fine-tuned on it answers practitioners' questions (average downstream accuracy 94%). The model's task object is a knowledge artefact, a QA dataset over process guidelines and certification standards, not a software architecture; architecture appears only as a topic of some questions (rule 4). Peer reviewed: APSEC 2025 (IEEE). S7 is cited once, as ref. [16], among uses of LLMs in design (Section I, p. 957). It cites no other seed.</t>
  </si>
  <si>
    <t>Duplicate of S5-F23</t>
  </si>
  <si>
    <t>Same paper as S5-F23, reached again through S7: the Scholar entry sent links IEEE Xplore document 11641202 with the same title and authors. S5-F23 is excluded under rule 1 (the model transforms safety-analysis content into dependability models) and records its citation of S7 (ref. [11], its arXiv version), so it is not screened again.</t>
  </si>
  <si>
    <t>Duplicate of S4-F79</t>
  </si>
  <si>
    <t>Same chapter as S4-F79, reached again through S7: the Scholar entry sent links the Springer chapter with the same DOI and authors. S4-F79 is excluded under rule 1 (the generated 'test architecture' is a hierarchy of test functions, not a software architecture) and records S7 among the seeds it cites, so it is not screened again.</t>
  </si>
  <si>
    <t>Duplicate of S4-F80</t>
  </si>
  <si>
    <t>Same diploma thesis as S4-F80 (same title and author), reached again through S7. S4-F80 is excluded as not peer reviewed on its record, so it is not screened again; where it cites S7 was not checked.</t>
  </si>
  <si>
    <t>Included as FS47</t>
  </si>
  <si>
    <t>Short paper: GPT-4o builds a provenance-aware knowledge graph of requirement-architecture relations from research papers and, in a human-on-the-loop cycle, compiles an evidence-backed trade-off table for architectural alternatives, demonstrated on centralized against decentralized automotive ECU architectures. Included by our decision (30 September 2026) under rule 1: the model's task is the trade-off analysis of architectural alternatives (1.2), a decision on how functions are distributed over the system's components; the knowledge graph is the means, not the output (rule 4 does not apply to the task). Peer reviewed: ICSA 2026 Companion (IEEE), pp. 114-117. S7 is cited once, as ref. [11], among LLMs supporting architectural design tasks (Section II, p. 114). It also cites S22 (ref. [13]), for combining LLMs with external knowledge (Section II, p. 114), and the preprint of FS08 (ref. [12], logged as S7-F15).</t>
  </si>
  <si>
    <t>No full text could be obtained: the ACM Digital Library record sent gives the authors, venue, pages and DOI, but the article is not available through our university's database access (30 September 2026). The record dates publication to 3 October 2026. On its title and authors it continues the work on LLM-based completion of software models logged as S7-F09 (Welter, Tinnes and Apel, ICSE '26, excluded under rule 1), so it would likely also fall outside scope, since its object is software models in model-driven engineering; this was not checked. Its citation of S7 could not be checked. Revisit if the full text is obtained.</t>
  </si>
  <si>
    <t>Same article as S4-F20 (also S4-F85 and S7-F05), listed a second time among the works citing S7: the link sent is the first author's copy of the TAAS 2026 article. S4-F20 logs it as the main-corpus study S20, included and coded in the main workbook, so it is not screened or coded again; where it cites S7 was not checked.</t>
  </si>
  <si>
    <t>The full text is not accessible through our university's access (30 September 2026), so it is judged on its Springer page and abstract: a within-subject crossover study in which six tutors assessed 76 student software project ideas, each paired with an LLM-generated or an expert-generated pre-assessment; LLM pre-assessments influenced tutor ratings, while expert ones gave higher inter-rater reliability. The object of the model's task is the formative assessment of student project ideas in a software project management course, not a software architecture (rule 1); nothing in the abstract suggests an architectural task. A conference paper in LNNS; its review was not checked, since scope decides. Same group as FS24 (SF18): Gürtl, Scharf, Gütl and Steinmaurer. Its citation of S7 could not be checked.</t>
  </si>
  <si>
    <t>A doctoral dissertation, excluded on its record as the other theses were. The preview shows an AutoML framework that compares grid and random search with neural architecture search strategies (Optuna and a configurable gamma strategy) over one-dimensional CNNs for human activity recognition and identification on the MotionSense dataset; the 'architectures' are neural network architectures, so it would also be out of scope (rule 1). The preview does not include the reference list, so its citation of S7 could not be checked.</t>
  </si>
  <si>
    <t>A graduate thesis (93 pages) from the IUB Academic Repository, excluded on its record without reading the full text, as the other theses were; the text after the repository cover page could not be extracted from the PDF, so its content and where it cites S7 were not checked.</t>
  </si>
  <si>
    <t>Literature-based analysis of where AI tools could support each stage of the ISO 26262 V-model (hazard and risk analysis, requirements, system and software architecture, unit design, verification and validation), against ISO 26262, IEC 61508, ISO/PAS 8800 and the EU AI Act, with a practical example in which GPT-4 derives stakeholder requirements from use cases and checks system requirements in a research project. The model it runs works on requirements (rule 1); for architecture it only lists, from the literature, tasks AI tools may support (domain models, architecture variants, evaluation, decision documentation) and judges them not yet mature for safety-critical design, without specifying a model task of its own (rule 3). S7 is cited three times, as Eisenreich et al. (2024), in the section on system and software architecture design (Section 3.3, p. 2446). It cites no other seed.</t>
  </si>
  <si>
    <t>Duplicate of S4-F96</t>
  </si>
  <si>
    <t>Same master's thesis as S4-F96 (same title), reached again through S7; the link sent is its record in the NOVA University Lisbon repository (RUN), which we did not open. S4-F96 is excluded as not peer reviewed on its record, so it is not screened again; where it cites S7 was not checked.</t>
  </si>
  <si>
    <t>A bachelor's thesis, excluded on its record without reading the full text, as the other theses were. Its title page names Tobias Eisenreich (S7's first author) and Sandro Speth (S7's second author) as supervisors, and its title concerns retrieval-augmented, semi-automated ATAM risk analysis, the kind of LLM-automated ATAM evaluation mentioned in S4-F67; where it cites S7 was not checked.</t>
  </si>
  <si>
    <t>Duplicate of S4-F98</t>
  </si>
  <si>
    <t>Same article as S4-F98, reached again through S7: the Scholar entry sent links the journal's article page with the same title and authors. S4-F98 is excluded under rule 1 (what is implemented is requirement classification with classical classifiers; the mapping to patterns is future work). Its full text, read for S4-F98, cites S7 twice as ref. [19] (Section 1, p. 175; Section 2, p. 179), which S4-F98 now records. It is not screened again.</t>
  </si>
  <si>
    <t>Duplicate of S1-F14</t>
  </si>
  <si>
    <t>Same paper as S1-F14, reached again through S7: the Scholar entry sent links IEEE Xplore document 11239087 with the same title and authors. S1-F14 records S7 among the seeds it cites. The original is on this sheet (S1-F14), included and coded as FS07, so it is not screened or coded again.</t>
  </si>
  <si>
    <t>Same thesis as S1-F15 (also S5-F28), reached again through S7: the Scholar entry sent links the DR-NTU repository record with the same title and author. S1-F15 is excluded as not peer reviewed on its record, so it is not screened again; where it cites S7 was not checked.</t>
  </si>
  <si>
    <t>Workshop report, judged on its ACM page and abstract: the organisers summarise the first Designing workshop, which brought together researchers, practitioners and educators on software design, its open challenges and future directions. It runs no model and specifies no architectural model task (rule 3); as an event report in Software Engineering Notes rather than a research article, it would also fail the publication-type criterion. S7 was presented at this workshop (Designing '24), which is presumably why it is cited; where it cites S7 was not checked.</t>
  </si>
  <si>
    <t>Duplicate of S1-F19</t>
  </si>
  <si>
    <t>Same article as S1-F19, reached again through S7: the Scholar entry sent links the journal's article page with the same title and author. S1-F19 is excluded (peer review not established; its record is dated December 2024 but it cites ICSA 2025 papers) and records S7 among the seeds it cites, so it is not screened again.</t>
  </si>
  <si>
    <t>Same preprint as S1-F17 (also S3-F10), reached again through S7: the Scholar entry sent links SSRN abstract 5775315 with the same title. S1-F17 is excluded as not peer reviewed and records S7 among the seeds it cites, so it is not screened again; the S1-F17 decision applies.</t>
  </si>
  <si>
    <t>A doctoral thesis, excluded on its record without reading the full text, as the other theses were; its title concerns a DO-178C development framework for safety-critical UAV software. The preview does not show where it cites S7, which was not checked.</t>
  </si>
  <si>
    <t>Duplicate of S7-F50</t>
  </si>
  <si>
    <t>Same PhD thesis as S7-F50, listed a second time among the works citing S7: the PolyPublie record sent has the same title, author, year and repository URL. S7-F50 is excluded as not peer reviewed on its record, so it is not screened again.</t>
  </si>
  <si>
    <t>Included as FS48</t>
  </si>
  <si>
    <t>Primary study (approach with a case study): LLM agents, guided by a UML-based blueprint and by two intermediate JSON artefacts (a list of atomic ROS nodes and a launch-file dependency description), recover component-level and system-level architecture models of a ROS 2 robotic system in PlantUML, compared element-wise with a hand-built reference model. In scope (rule 1): the model's task object is the recovered architecture of the system (1.4). Peer reviewed: ECSA 2026, LNCS 16991 (Springer); the volume is dated 2027, and we record the conference year, as for FS12 in the same volume. It is the published version of the arXiv preprint logged as S7-F30, whose record now points here. S7 is cited once, as ref. [15], for a method to generate software architecture artefacts semi-automatically (Section 2, p. 102). It cites no other seed; it also cites FS45 (ref. [16]), FS25 (ref. [18]) and the arXiv version of FS23 (ref. [19]).</t>
  </si>
  <si>
    <t>Same chapter as S4-F40 (also S4-F113), listed a second time among the works citing S7 (the first is S7-F16): the PDF is byte-identical to the file read for S4-F40. S4-F40 records S7 among the seeds it cites. The original is on this sheet (S4-F40), included and coded as FS24, so it is not screened or coded again.</t>
  </si>
  <si>
    <t>Duplicate of S4-F115</t>
  </si>
  <si>
    <t>Same NTUA diploma thesis as S4-F115, reached again through S7: the Scholar entry (screenshot as sent) gives the same author and the NTUA DSpace repository, with the Greek title under which S4-F115 was sent; the DSpace record read for S4-F115 words the Greek title differently ('Εξερεύνηση της χρήσης εργαλείων LLM στην Αρχιτεκτονική Λογισμικού') and dates the thesis November 2024, while Scholar dates it 2026. S4-F115 is excluded as not peer reviewed (its linked file is in English), so it is not screened again; where it cites S7 was not checked.</t>
  </si>
  <si>
    <t>Duplicate of S4-F117</t>
  </si>
  <si>
    <t>Same article as S4-F117, reached again through S7: the Scholar entry (screenshot as sent) gives the same Portuguese title, authors and journal. S4-F117 is excluded as not in English, so it is not screened again; where it cites S7 was not checked.</t>
  </si>
  <si>
    <t>Written in Korean (title and Scholar snippet; roughly 'An automated sprint planning and project management automation system using generative AI'): a system that uses generative AI for requirements extraction, task generation, sprint planning and schedule adjustment in web development projects. Excluded on the language criterion without further screening; Scholar lists it only as a [CITATION] entry, and where it cites S7 was not checked. The author names are romanised from the Hangul given by Scholar (장현진, 김인성, 강우석, 박세린, 강예솔).</t>
  </si>
  <si>
    <t>Same review as S1-F01, reached again through S8: the Scholar entry sent links the MDPI article with the same title and authors. S1-F01 records S8 among the seeds it cites. The original is on this sheet (S1-F01), included and coded as FS01, so it is not screened or coded again.</t>
  </si>
  <si>
    <t>Same review as S4-F10 (also S5-F01), reached again through S8: the Scholar entry sent links arXiv 2505.16697 with the same title and authors. S4-F10 records S8 among the seeds it cites. The original is on this sheet (S4-F10), subsequently excluded from the final synthesis (former FS13), so it is not screened or coded again.</t>
  </si>
  <si>
    <t>Same article as S1-F03 (also S3-F01, S4-F03, S5-F02 and S7-F01), reached again through S8: the Scholar entry sent links the ScienceDirect article with the same title and authors. S1-F03 records S8 among the seeds it cites. The original is on this sheet (S1-F03), included and coded as FS02, so it is not screened or coded again.</t>
  </si>
  <si>
    <t>Primary study (human-computer interaction): techniques that make novice programmers engage with AI-generated code before or after it is revealed (for example, tracing and predicting its behaviour or solving a code puzzle) are designed and compared with a baseline that shows the code with an explanation, including a between-subjects study with 82 participants learning programming concepts. The object of the model's task is code and its explanation for learners, not a software architecture (rule 1). Peer reviewed: IUI '25 (ACM). S8 is cited once, as ref. [21], among tools that help novices make better software design and architectural decisions with generative AI (Section 7.2.2, p. 709). It cites no other seed.</t>
  </si>
  <si>
    <t>Primary study (human-computer interaction experiment): 24 self-identified novices in machine learning used chatbots with high or low sycophancy, which validated or corrected their misconceptions, to debug machine learning models, and task performance, misconceptions, reliance and perceptions were compared. The object of the model's task is advice on debugging ML models, not a software architecture (rule 1). Peer reviewed: CHI '26 (ACM). S8 is cited once, as ref. [29], among work on adapting LLM responses to users with different skill levels (Section 2.1, p. 3). It cites no other seed.</t>
  </si>
  <si>
    <t>Same article as S4-F13 (also S5-F03), reached again through S8: the link sent is its ACM DOI, 10.1145/3785010. The original is on this sheet (S4-F13), included and coded as FS13, so it is not screened or coded again. S4-F13 records S8 among the seeds it cites.</t>
  </si>
  <si>
    <t>Same study as S5 of the main corpus (ICSA 2025), also logged as S4-F14 and S7-F02: the PDF sent is the IEEE Xplore version, differing from the file read for S7-F02 only in its download details. The original is in the main workbook (Final-TA, Included studies, S5), where it is included and coded, so it is not screened or coded again here. The full text confirms that it cites S8 twice, as ref. [13]: among architecture researchers exploring LLMs (Section I, p. 1) and for recommending design decisions with an LLM-based assistant (Section VII, p. 10).</t>
  </si>
  <si>
    <t>Same paper as S4-F16 (also S7-F03), reached again through S8: the link sent is IEEE Xplore document 10978943. S4-F16 records S8 among the seeds it cites. The original is on this sheet (S4-F16), included and coded as FS15, so it is not screened or coded again.</t>
  </si>
  <si>
    <t>Duplicate of S7-F04</t>
  </si>
  <si>
    <t>Same paper as S7-F04, reached again through S8: the PDF sent is the IEEE Xplore version with the same title, authors and DOI. S7-F04 records its citation of S8 (ref. [11], ArchMind, Section II, p. 292). The original is on this sheet (S7-F04), included and coded as FS45, so it is not screened or coded again.</t>
  </si>
  <si>
    <t>Same article as S4-F20 (also S4-F85, S7-F05 and S7-F37), reached again through S8: the link sent is its ACM DOI. S4-F20 logs it as the main-corpus study S20, included and coded in the main workbook, so it is not screened or coded again; where it cites S8 was not checked.</t>
  </si>
  <si>
    <t>Same article as S4-F21 (also S7-F06), reached again through S8. S4-F21 is excluded under rule 3 and records S8 among the seeds it cites (ref. [137]), so it is not screened again.</t>
  </si>
  <si>
    <t>Same preprint as S4-F27 (also S7-F10), reached again through S8. S4-F27 is excluded as not peer reviewed. Its full text, read for S4-F27, cites S8 as ref. [50], as an AI assistant among the approaches to reducing ADR effort (Section 8, p. 20), which S4-F27 now records. It is not screened again.</t>
  </si>
  <si>
    <t>Same chapter as S4-F29 (also S5-F07), reached again through S8. S4-F29 records S8 among the seeds it cites. The original is on this sheet (S4-F29), included and coded as FS18, so it is not screened or coded again.</t>
  </si>
  <si>
    <t>Duplicate of S4-F30</t>
  </si>
  <si>
    <t>Same article as S4-F30, reached again through S8. S4-F30 is excluded under rule 1 and records S8 among the seeds it cites, so it is not screened again.</t>
  </si>
  <si>
    <t>Same study as S3 of the main corpus (ICSA-C 2025), also logged as S4-F31 and S7-F13. The original is in the main workbook (Final-TA, Included studies, S3), where it is included and coded, so it is not screened or coded again here. The full text, read for S4-F31, cites S8 as ref. [8], the authors' previous work ArchMind (Section I, p. 1; Section II, p. 2).</t>
  </si>
  <si>
    <t>Duplicate of S4-F33</t>
  </si>
  <si>
    <t>Same paper as S4-F33, reached again through S8. S4-F33 records S8 among the seeds it cites. The original is on this sheet (S4-F33), included and coded as FS20, so it is not screened or coded again.</t>
  </si>
  <si>
    <t>Primary study (experience report): a 7,420-line terminal user interface framework for the Ring programming language is developed with Claude Code (Opus 4.5) through 107 prompts (21 feature requests, 72 bug fixes, 9 documentation excerpts, 4 prompts with architectural guidance, 1 for documentation), and the prompts and development phases are analysed. The object of the model's task is the code of the framework; architecture enters only as guidance a human gives in four prompts (rule 1). Peer reviewed: Electronics (MDPI), received 1 February 2026. S8 is cited once, as ref. [21], in a group of works [14-21] on LLM-assisted programming that did not address large multi-module systems (Section 2, p. 4). It cites no other seed.</t>
  </si>
  <si>
    <t>Review of generative AI in cybersecurity from two sides: GAI-enabled attacks (for example deepfakes and adversarial attacks) and GAI in cyber defence (for example intrusion detection, security operations centres and predictive threat analytics). The model tasks it reviews have attacks, threats and security operations as their object, not a software architecture, and it does not synthesise architectural model tasks (rule 1; it would also fall below the review threshold). Peer reviewed: Computer Science Review (Elsevier). S8 is cited once, as ref. [146], as an example of LLM-based copilots in AI-enhanced security operations centres (Section 6.3.3, p. 17). It cites no other seed.</t>
  </si>
  <si>
    <t>Short workshop paper: an analysis of how novices lead or follow an LLM assistant while debugging machine learning code, from the same group as S8-F05. The object of the model's task is debugging ML code, not a software architecture (rule 1); whether the workshop's papers are peer reviewed was not checked, since scope decides. S8 is cited once, as ref. [12], among work on adapting LLMs to users with different abilities (Section 1, p. 1). It cites no other seed.</t>
  </si>
  <si>
    <t>Same paper as S4-F38 (also S5-F09), reached again through S8: the link sent is arXiv 2604.21699, the version read for S4-F38. S4-F38 records S8 among the seeds it cites. The original is on this sheet (S4-F38), included and coded as FS23, so it is not screened or coded again.</t>
  </si>
  <si>
    <t>Same paper as S1-F06 (also S4-F41, S5-F10 and S7-F17), reached again through S8: the link sent is its ACM DOI. S1-F06 records S8 among the seeds it cites. The original is on this sheet (S1-F06), included and coded as FS03, so it is not screened or coded again.</t>
  </si>
  <si>
    <t>Included as FS49</t>
  </si>
  <si>
    <t>Position paper from Volvo Construction Equipment: challenges of architecture work in agile, distributed feature development and four use cases for AI support (generating ADRs from development data, deriving architectural concerns from functional requirements, mapping concerns to modules of the product-line reference architecture, proposing component designs), with a preliminary evaluation of the third: meta-llama-3-3-70b-instruct, prompted with five functional requirements, proposes which of 40 reference-architecture modules should realise each, with mean accuracy 0.8 against allocations from past feature development (Section 5; Table 1, pp. 124-125). Included on our judgement under rule 1: the model's task is allocating requirements to architectural modules, and its object is the reference architecture; the other three use cases are planned only. Peer reviewed: ECSA 2025 Tracks and Workshops (LNCS 15982, Springer); the track is not named on the paper or the Springer page. S8 is cited as ref. [5], among LLMs that recommend patterns and propose system decompositions (Section 4, p. 122), and again for Use Cases 2 and 4 (Section 5, pp. 124-125). It also cites FS01 (ref. [9]), FS13 (ref. [15]) and the arXiv versions of FS02 (ref. [6]) and FS14 (ref. [14]); it cites no other seed.</t>
  </si>
  <si>
    <t>Same article as S3-F04 (also S3-F11, S4-F42, S4-F106, S5-F11 and S5-F29), reached again through S8: the Scholar entry sent links ScienceDirect S0164121226001998 with the same title and authors. S3-F04 records S8 among the seeds it cites. The original is on this sheet (S3-F04), included and coded as FS09, so it is not screened or coded again.</t>
  </si>
  <si>
    <t>Duplicate of S4-F47</t>
  </si>
  <si>
    <t>Same paper as S4-F47, reached again through S8: the Scholar entry sent links ACM DOI 10.1145/3803437.3806702 with the same title and authors. S4-F47 records S8 among the seeds it cites (ref. [14]). The original is on this sheet (S4-F47), included and coded as FS26, so it is not screened or coded again.</t>
  </si>
  <si>
    <t>Duplicate of S4-F50</t>
  </si>
  <si>
    <t>Same paper as S4-F50, reached again through S8: the Scholar entry sent links IEEE Xplore document 11613045 with the same title and authors. S4-F50 is excluded under rule 4 (the model builds a business domain model, not a software architecture) and records S8 among the seeds it cites (ref. [11]), so it is not screened again.</t>
  </si>
  <si>
    <t>Same article as S3-F03 (also S4-F51, S5-F08 and S7-F12; its preprint is S7-F15), reached again through S8: the Scholar entry sent links IEEE Xplore document 11575292 with the same title and authors. S3-F03 records S8 among the seeds it cites. The original is on this sheet (S3-F03), included and coded as FS08, so it is not screened or coded again.</t>
  </si>
  <si>
    <t>Same article as S4-F52 (also S4-F91, S5-F12 and S5-F26), reached again through S8: the Scholar entry sent links IEEE Xplore document 11393902, with the title shortened to 'LLMs as Assistants in Software Architecture Design' and the same authors. S4-F52 records S8 among the seeds it cites. The original is on this sheet (S4-F52), included and coded as FS27, so it is not screened or coded again.</t>
  </si>
  <si>
    <t>Primary study (modelling and simulation): a MARTE-based framework maps the elements of a spiking neural network (neurons, synapses, spike events) to schedulable tasks and communication resources in UML/MARTE, and simulation in Papyrus MARTE compares hardware allocations (ARM only, ARM with one DSP, ARM with two DSPs in parallel), scheduling strategies (RM, EDF, non-preemptive) and energy use on an ARM Cortex-A9 and DSP platform against a 5 ms end-to-end deadline (Section 4; Tables 1-4, pp. 13-14). It uses no language model or generative AI: the spiking neural network is the application being modelled, and the modelling and scheduling analysis are done with Papyrus MARTE and OCL constraints, so it is out of scope (rule 1), as S4-F98 was for classical classifiers. S8 is cited once, as ref. [10], for UML-based decision models that help navigate architectural trade-offs (Section 2.3, p. 10), a description that does not match S8's LLM-based assistant. It cites no other seed.</t>
  </si>
  <si>
    <t>Duplicate of S4-F55</t>
  </si>
  <si>
    <t>Same article as S4-F55, reached again through S8: the link sent is its Springer page, with the same DOI and title. S4-F55 is excluded under rule 3 (a vision paper that runs no model and specifies no architectural model task) and records S8 among the seeds it cites (Díaz-Pace et al. 2024), so it is not screened again.</t>
  </si>
  <si>
    <t>Included as FS50</t>
  </si>
  <si>
    <t>Primary study (exploratory evaluation): Quasar, an LLM-based tool built for a digital marketplace of smart-city solutions, has locally hosted Qwen2 and Llama 3.1 rate the architecture documentation of open-source projects against 25 criteria, and its ratings of two projects, over three runs each, are compared with those of two software architects (Sections 4-5, pp. 7-16). In scope (rule 1): the model's task object is the architecture documentation of a system (its context, solution concepts, design decisions, decomposition and deployment), as in FS19, FS37 and FS43. Peer reviewed: SWQD 2026, LNBIP 581, pp. 65-81 (Springer). The PDF sent is an earlier version with 13 references that does not cite S8; the reference list of the published chapter, seen on the Springer page, has 17 entries and lists S8 as ref. 15, so the citation is confirmed from that list, and where the published text cites S8 was not checked. The version read cites S10 (ref. [12]), for its interview study and LLM-assisted architecture design (Section 2.2, p. 5), and the arXiv version of S4-F10 (excluded study) (ref. [13]); the published list adds the arXiv version of FS08 (ref. 14).</t>
  </si>
  <si>
    <t>Duplicate of S4-F56</t>
  </si>
  <si>
    <t>Same preprint as S4-F56, reached again through S8: the Scholar entry sent links arXiv 2509.13144 with the same title and authors. S4-F56 is excluded under rule 1 (a review of AI-native applications, whose models are components of the systems reviewed and perform no task on a software architecture) and records S8 among the seeds it cites, so it is not screened again.</t>
  </si>
  <si>
    <t>Duplicate of S4-F62</t>
  </si>
  <si>
    <t>Same preprint as S4-F62, reached again through S8: the Scholar entry sent links arXiv 2605.01392 with the same title and authors. S4-F62 is excluded as not peer reviewed and records S8 among the seeds it cites, so it is not screened again; the S4-F62 decision applies.</t>
  </si>
  <si>
    <t>Duplicate of S8-F17</t>
  </si>
  <si>
    <t>Earlier version of the Electronics (MDPI) article logged as S8-F17 (15(4), art. 903, February 2026), listed a second time among the works citing S8: same two authors, the same 7,420-line TUI framework built with Claude Code (Opus 4.5) through the same 107 prompts, under a slightly different title ('Building a Complete TUI Framework' rather than 'Developing a TUI Framework'); the published version adds prompt-length statistics and class and method counts. It carries no venue; its title matches arXiv 2601.17584, and whether the file sent is that arXiv PDF was not checked. S8 is cited once, as ref. [26], in a group of works [19-27] on LLM-assisted programming that did not address large multi-module systems (Section 2, PDF p. 4). S8-F17 is excluded under rule 1 (the model's task object is the code of the framework), so this version is not screened again.</t>
  </si>
  <si>
    <t>Same paper as S4-F66 (also S5-F17 and S7-F26), reached again through S8: the link sent is arXiv 2604.03826, the version read for S4-F66. S4-F66 records S8 among the seeds it cites. The original is on this sheet (S4-F66), included and coded as FS32, so it is not screened or coded again.</t>
  </si>
  <si>
    <t>Primary study (short paper with a preliminary evaluation), from a collaboration with a large German software company: in a Backstage internal developer platform, GPT-4o-mini, acting as a 'virtual software architect', asks clarifying questions until a service's purpose, tech stack and CI/CD needs are specified, and an embedding search (all-MiniLM-L6-v2, Chroma) then retrieves the closest pre-approved service template (boilerplate code, standard configurations, CI/CD pipelines, security policies). It picked the correct template in 10 of 10 runs against 20 close decoys, while seven students and researchers vibe-coding a deployable Angular scaffold with GitHub Copilot passed 43% of seven deployment gates on average (Section 4, pp. 4-7). Excluded by our decision (30 September 2026) under rule 1: the model's task is eliciting a service specification, the choice is made by retrieval, and the object of both is project scaffolding and deployment configuration rather than a software architecture; that the paper calls the templates architectural is framing (rule 2), as for S4-F77. Peer reviewed: CAiSE 2026 Workshops (LNBIP 586, Springer); we read the arXiv version sent, and the published chapter was seen only on its Springer page. S8 is cited as ref. [3], for RAG-based architectural decision support limited to design recommendations (Section 2.1, p. 2); the Springer page lists it as ref. 3 of the published chapter too. It also cites S10 (ref. [5]), for LLM-generated design and deployment diagrams in which practitioners had low confidence (Section 2.1, p. 2), and S4-F11 (ref. [1]).</t>
  </si>
  <si>
    <t>Same review as S1-F01 (also S1-F11, S4-F09, S4-F73 and S8-F01), listed a second time among the works citing S8: the Scholar entry sent links a ResearchGate copy with the same title, authors and citation ('Software 2025, 4, 6'). S1-F01 records S8 among the seeds it cites. The original is on this sheet (S1-F01), included and coded as FS01, so it is not screened or coded again.</t>
  </si>
  <si>
    <t>Written in Spanish, with a Spanish abstract. It presents ArchiGenMS, the evolutionary pipeline in which an LLM generates candidate microservice architectures from user stories, metrics for cohesion, granularity and coupling rank them and Lean certifies structural properties; the same approach is included in English as FS42 (CIbSE 2026). Excluded on the language criterion, as S4-F114 (the WICC 2026 paper on ArchiGenMS) was. S8 is cited as ref. [18], for LLM outputs that are plausible but not necessarily correct or consistent with architectural constraints (Section 2.2, p. 598). It also cites FS01, the authors' review (ref. [4]); we found no other seed in its reference list. If it were in English it would join FS42 in family SF1 and would need checking as an earlier version of the same study.</t>
  </si>
  <si>
    <t>Included as FS51</t>
  </si>
  <si>
    <t>Primary study (repository mining with an LLM-based pipeline): GPT-4.1-mini classifies 4,316 architecture decision records from 547 open-source projects by Kruchten's decision types, Zimmermann's concern categories and quality attributes, and, as a judge, checks five MADR sections for presence, content quality and purpose consistency; the classifier agreed with a 200-ADR human ground truth in 46-66% of cases across taxonomies and prompting strategies (Sections 3-4, pp. 4-13). Included under rule 1: the model's task object is architectural decisions as documented in ADRs, as for FS05 and FS50. Peer reviewed: accepted in the ECSA 2026 research track (listed in the conference programme on researchr, session of 9 September 2026; the authors' Zenodo artifact is released as the ECSA 2026 artifact); we read arXiv 2609.07375v1, and no published chapter turned up in our web searches on 30 September 2026. S8 is cited as ref. [7], with DRAFT-ing (ref. [6], S4-F27), for work that uses LLMs to generate or improve ADRs (Section 2, p. 3; Section 6, p. 15). It cites no other seed. Two of its authors, Tommasel and Diaz-Pace, are authors of S8.</t>
  </si>
  <si>
    <t>arXiv preprint (v1, 17 August 2025) in the ACM template with placeholder venue and DOI, so it is excluded on its record. Our web searches on 30 September 2026 found only arXiv and ResearchGate copies, and a poster by the same authors under a different title ('Understanding Proactive Support for Cloud Architecture: A Qualitative Study with Novice Engineers') on the programme of the ProActLLM workshop at CIKM 2025 (Seoul, 14 November 2025), whose page states neither peer review nor proceedings; whether the poster is this paper was not checked. Qualitative user study: 60 newly hired engineers of a Japanese company design a cloud architecture for one of three scenarios with CA-Buddy, a system-driven tool in which Gemini 2.0 Flash proposes an architecture, summarises and inspects it and asks questions to elicit requirements, and their free-text feedback is analysed thematically. On its content it would be in scope (rule 1): the model proposes, inspects and revises the cloud architecture of the system being designed. S8 is cited three times, as ref. [3]: for novices missing important factors with chat-based tools and lacking the domain understanding to manage trade-offs (Section 1, p. 1), and as ArchMind, a chat-based tool that tracks design decisions for novices (Section 4, p. 4). It cites no other seed. If a peer-reviewed version is found, it should be revisited.</t>
  </si>
  <si>
    <t>Same article as S4-F20 (also S4-F85, S7-F05, S7-F37 and S8-F10), listed a second time among the works citing S8: the link sent is the first author's copy of the TAAS 2026 article, as for S7-F37. S4-F20 logs it as the main-corpus study S20, included and coded in the main workbook, so it is not screened or coded again; where it cites S8 was not checked.</t>
  </si>
  <si>
    <t>Same paper as S4-F88 (also S5-F25), reached again through S8: the Scholar entry sent links IEEE Xplore document 11645295 with the same title and authors (COMPSAC 2026). S4-F88 records S8 among the seeds it cites. The original is on this sheet (S4-F88), included and coded as FS39, so it is not screened or coded again.</t>
  </si>
  <si>
    <t>Same article as S4-F52 (also S4-F91, S5-F12, S5-F26 and S8-F27), listed a second time among the works citing S8 (the first is S8-F27): as for S5-F26, the Scholar entry sent names only Cai as author, dates it 2025 and links the early-access PDF on computer.org (document 11393902), with the title shortened to 'LLMs as Assistants in Software Architecture Design'. S4-F52 records S8 among the seeds it cites. The original is on this sheet (S4-F52), included and coded as FS27, so it is not screened or coded again.</t>
  </si>
  <si>
    <t>Primary study: a domain-specific meta-language embedded in prompts makes LLMs (GPT-4o mini, o3-mini, DeepSeek-R1 and a local 14B DeepSeek-R1) produce machine-readable structures for a tool, evaluated on two use cases: layouts of Virtual Reality scenes in Unity (objects, positions, parent-child placement) from prompts such as 'Generate a classroom for 20 students', and automotive security models (attacks with attributes such as attack complexity and required privileges, and their vulnerabilities) for a security modelling tool; 88% of 132 generated files validated against the schema, compared with a LangChain and Pydantic baseline (Sections IV-V, pp. 534-540). The object of the model's task is a VR scene and a threat model, not a software architecture (rule 1); that it speaks of domain experts producing structures 'without being trained as architects' is framing (rule 2). Peer reviewed: FedCSIS 2025 (ACSIS vol. 43). S8 is cited once, as ref. [3], for complex software and system architectures needing experts (Section II, p. 532). It cites no other seed.</t>
  </si>
  <si>
    <t>Duplicate of S4-F94</t>
  </si>
  <si>
    <t>Same dissertation as S4-F94, reached again through S8: the link sent is its ProQuest record, with the same title. S4-F94 is excluded as not peer reviewed on its record, so it is not screened again; where it cites S8 was not checked.</t>
  </si>
  <si>
    <t>A doctoral thesis, excluded as not peer reviewed on its record. The file sent is ProQuest's preview (title page, abstract, acknowledgements, contents and the start of the background chapter), without the bibliography, so where it cites S8 was not checked. From the abstract, its object is how novices and end-user programmers learn and program with AI (a controlled experiment on learning outcomes, pedagogical guardrails, interfaces for cognitive engagement with AI-generated code, and data analysis with AI), so on its content it would also be out of scope (rule 1); the cognitive-engagement work it describes matches S8-F04 (IUI '25), which is excluded under rule 1.</t>
  </si>
  <si>
    <t>Duplicate of S4-F97</t>
  </si>
  <si>
    <t>Same paper as S4-F97, reached again through S8: the link sent is the paper's PDF on the CBSoft 2026 site, with the same title. S4-F97 records its citation of S8 (ref. [12]). The original is on this sheet (S4-F97), included and coded as FS41, so it is not screened or coded again.</t>
  </si>
  <si>
    <t>A master's thesis, excluded as not peer reviewed on its record, as S1-F15, S4-F80, S4-F94 and S4-F96 were, without reading the full text. The JKU ePUB record sent returned only a browser-verification page when we tried to open it, so its content and where it cites S8 were not checked; its year, 2025, is taken from the Google Scholar entry sent for S9-F19. Its title suggests natural-language interaction with software architecture knowledge, which could be in scope on content; as a thesis it is excluded on its record whatever its content.</t>
  </si>
  <si>
    <t>Same paper as S1-F14 (also S7-F45), reached again through S8: the Scholar entry sent links IEEE Xplore document 11239087 with the same title and authors. S1-F14 records S8 among the seeds it cites. The original is on this sheet (S1-F14), included and coded as FS07, so it is not screened or coded again.</t>
  </si>
  <si>
    <t>Same thesis as S1-F15 (also S5-F28 and S7-F46), reached again through S8: the Scholar entry sent links the DR-NTU repository record with the same title and author. S1-F15 is excluded as not peer reviewed on its record, so it is not screened again; where it cites S8 was not checked.</t>
  </si>
  <si>
    <t>Primary study: a microservices framework for enterprise content management in financial institutions, in which generative models classify, process and summarise documents and check compliance, and reinforcement-learning agents orchestrate services, balance load and handle faults; it is compared with monolithic and non-adaptive configurations on classification accuracy, throughput, recovery time and latency (Sections III-IV, pp. 753-758). The generative models are components of the system being built, and their task object is financial documents and content, not a software architecture; the microservice architecture is the authors' design, not a model's output (rule 1). Peer reviewed: ICCBI 2026 (IEEE). S8 is cited once, as ref. [4], for large language models having shifted data management paradigms (Section I, p. 752), a use that does not match S8's content. It cites no other seed.</t>
  </si>
  <si>
    <t>Same title and single author as S3-F08 (also S4-F101), reached again through S8. S3-F08 was read in full, excluded below the review threshold, and lists S8 among the seeds it summarises. As for S4-F101, the Scholar entry names a different journal title on the same publisher's site than the record read for S3-F08, and the article page was not opened, so whether this is the same record or a second publication of the same text was not checked. Either way it is not screened again: the decision of S3-F08 applies.</t>
  </si>
  <si>
    <t>Duplicate of S4-F105</t>
  </si>
  <si>
    <t>Same paper as S4-F105, reached again through S8: the Scholar entry sent links SBC SOL article 42461 with the same title and authors. S4-F105 records S8 among the seeds it cites. The original is on this sheet (S4-F105), included and coded as FS42, so it is not screened or coded again.</t>
  </si>
  <si>
    <t>Same preprint as S1-F17 (also S3-F10 and S7-F49), reached again through S8: the Scholar entry sent links SSRN abstract 5775315 with the same title. S1-F17 is excluded as not peer reviewed and records S8 among the seeds it cites, so it is not screened again; the S1-F17 decision applies.</t>
  </si>
  <si>
    <t>Same article as S3-F04 (also S3-F11, S4-F42, S4-F106, S5-F11, S5-F29 and S8-F23), listed a second time among the works citing S8 (the first is S8-F23), with the same title and three authors. S3-F04 records S8 among the seeds it cites. The original is on this sheet (S3-F04), included and coded as FS09, so it is not screened or coded again.</t>
  </si>
  <si>
    <t>A master's thesis, excluded as not peer reviewed on its record, as S1-F15, S4-F80, S4-F94, S4-F96 and S8-F47 were, without reading the full text. Only the title page was sent, so its content and where it cites S8 were not checked. Its title suggests prompting LLMs to produce software architecture models, which could be in scope on content; as a thesis it is excluded on its record whatever its content.</t>
  </si>
  <si>
    <t>Duplicate of S4-F114</t>
  </si>
  <si>
    <t>Same record as S4-F114, reached again through S8: the link sent is the same SEDICI handle (10915/196677) with the same Spanish title. S4-F114 is excluded as not in English, so it is not screened again; where it cites S8 was not checked. It reports on ArchiGenMS, included in English as FS42.</t>
  </si>
  <si>
    <t>Included as FS52</t>
  </si>
  <si>
    <t>Primary study (short workshop paper): an LLM-as-a-judge evaluation, with RAGAs, of ArchSec.AI, the authors' RAG-based assistant for recommending security architectural patterns (FS41): for five design problems built from randomly selected patterns, mean faithfulness and answer relevance were 0.70, context precision 0.00 and context recall 0.17 (Sections 2-3; Table 1, pp. 2-3). In scope (rule 1): the model's task is recommending architectural patterns for a design problem (1.2), as in FS41. Peer reviewed on our judgement: the AISecDev 2026 site states review by a programme committee and lists the paper in its programme (under Rebeca Pontes and Lina Garcés, as the CBSoft site lists the first author of FS41), but does not say where papers are published. S8 is cited as ref. [6], among RAG-based tools for architecture design and as ArchMind, a RAG-based tool for pattern recommendation and ADRs evaluated in a small experiment (Section 1, pp. 1-2). It also cites the arXiv versions of FS08 (ref. [3]) and S4-F27 (ref. [5], DRAFT-ing) and FS41 (ref. [19]); it cites no other seed.</t>
  </si>
  <si>
    <t>Primary study in building design: FU GPT, a platform combining a fine-tuned LLM with a regulatory knowledge graph of building codes and a vector comparison engine, answers architects' questions on building regulations, parses design files and generates images at different design stages; the knowledge graph is evaluated on 500 regulation questions from 17 Chinese building codes, written by licensed architects and checked by a code reviewer, against five LLMs without graph grounding (Section 3.5). The object of the model's task is building design and building regulations, not a software architecture (rule 1), as for S4-F06 and S4-F111. S8 is cited once, as ref. [4], as ArchMind, an LLM-based platform supporting design decisions of novice architects (Section 2, p. 116). It cites no other seed; ref. [18] (Soliman, on teaching architectural design) is not S5.</t>
  </si>
  <si>
    <t>Same paper as S3-F12 (also S4-F118), reached again through S8: the SOL page sent shows the same Spanish title and author, and places it in the Doctoral Symposium of CIbSE 2026 (DOI 10.5753/cibse.2026.42459, published 11 May 2026), which we have now added to S3-F12's venue. S3-F12 was read in full, is excluded as not in English, and records S8 among the seeds it cites, so it is not screened again. Its author is also the first author of FS51.</t>
  </si>
  <si>
    <t>Same article as S1-F03 (also S3-F01, S4-F03, S5-F02, S7-F01 and S8-F03), reached again through S9: the link sent is the ScienceDirect article with the same title. S1-F03 records S9 among the seeds it cites. The original is on this sheet (S1-F03), included and coded as FS02, so it is not screened or coded again.</t>
  </si>
  <si>
    <t>Systematic mapping study (received 3 August 2024, accepted 24 January 2025) of 151 primary studies from the MSR, ICSA and ECSA proceedings (2004-2023) that mine software repositories for architecture activities, classified by goals, data sources, mining techniques (source code, model and statistical analysis, machine learning, NLP) and the architectural information mined. It synthesises no LLM or generative-AI studies: generative AI appears only as future work in its conclusion, with two preliminary studies cited, so it is below the review threshold. Peer reviewed: Information and Software Technology 181. S9 is cited once, as ref. [45], with S11 (ref. [44]), among the few preliminary studies applying generative AI to extracting architectural information and to architectural reasoning (Section 11, p. 15). Its first author shares the surname of the first author of S5 (Soliman); whether they are the same person was not checked, and it would matter only if the record were included.</t>
  </si>
  <si>
    <t>Same preprint as S2-F01 (its journal version is S2-F02), reached again through S9: the PDF sent is byte-identical to the file read for S2-F01. S2-F01 is excluded under the review threshold and records S9 among the seeds it cites (Dhar et al., 2024, summarised in the planning section and its table), so it is not screened again.</t>
  </si>
  <si>
    <t>Same study as S5 of the main corpus (ICSA 2025), also logged as S4-F14, S7-F02 and S8-F07: the Scholar entry sent links IEEE Xplore document 10978937 with the same title and authors. The original is in the main workbook (Final-TA, Included studies, S5), where it is included and coded, so it is not screened or coded again here. The full text read for S8-F07 cites S9 once, as ref. [43], with S4 (ref. [12]), for GPT and T5 recommending design decisions from context (Section VII, p. 10).</t>
  </si>
  <si>
    <t>Duplicate of S4-F18</t>
  </si>
  <si>
    <t>Same chapter as S4-F18, reached again through S9: the Scholar entry sent links the Springer chapter with the same title and authors. S4-F18 is excluded under rule 3 (a tutorial that specifies no architectural model task) and records S9 among the seeds it cites (ref. [3]), so it is not screened again.</t>
  </si>
  <si>
    <t>Duplicate of S4-F19</t>
  </si>
  <si>
    <t>Same paper as S4-F19, reached again through S9: the Scholar entry sent links IEEE Xplore document 11612823 with the same title and authors. S4-F19 records S9 among the seeds it cites. The original is on this sheet (S4-F19), included and coded as FS16, so it is not screened or coded again.</t>
  </si>
  <si>
    <t>Same paper as S7-F04 (also S8-F09), reached again through S9: the Scholar entry sent links IEEE Xplore document 11014997 with the same title and authors. S7-F04 records S9 among the seeds it cites. The original is on this sheet (S7-F04), included and coded as FS45, so it is not screened or coded again.</t>
  </si>
  <si>
    <t>Same chapter as S4-F29 (also S5-F07 and S8-F13), reached again through S9: the Scholar entry sent links the Springer chapter with the same title and authors. S4-F29 records S9 among the seeds it cites. The original is on this sheet (S4-F29), included and coded as FS18, so it is not screened or coded again.</t>
  </si>
  <si>
    <t>Position paper (five pages): it sets out competencies of generative AI (brainstorming, summarisation, applying patterns) and limitations (objective analysis, subjective assessment, contextualisation, fact checking), rates the fit of generative AI for the sub-tasks of five architecture activities (defining ASRs, design, evaluation, documentation, reconstruction) by the authors' own assessment (Table I, pp. 42-43), and proposes criteria and research directions. It runs no model, and the fit ratings and directions do not specify a model task with its inputs, outputs and place in a process (rule 3), as for S1-F05 and S4-F57. Peer reviewed: ICSA 2025 Companion (IEEE). S9 is cited once, as ref. [4], among early investigations of architecture knowledge management with generative AI (Section I, p. 41). It also cites S10 (ref. [11]), for ChatGPT 4 mixing high- and low-level architecture concepts in an industry study (Section II-B, p. 42; Section III-A, p. 43).</t>
  </si>
  <si>
    <t>Duplicate of S4-F34</t>
  </si>
  <si>
    <t>Same paper as S4-F34, reached again through S9: the Scholar entry sent links IEEE Xplore document 11613067 with the same title and authors. S4-F34 records its citation of S9 (ref. [60]). The original is on this sheet (S4-F34), included and coded as FS21, so it is not screened or coded again.</t>
  </si>
  <si>
    <t>Primary study in building design: 18 factors influencing the adoption of AI in architectural (building) design, drawn from the literature, are weighted and structured with AHP, DEMATEL, ISM and MICMAC from the judgements of fifteen experts from the architecture industry, academia and computer science. It runs no model, and its object is the adoption of AI by building-design firms, not a software architecture (rule 1), as for S4-F06, S4-F111 and S8-F58. Peer reviewed: Buildings (MDPI), received 8 September, accepted 22 October 2025. S9 is cited once, as ref. [43], among the sources for the factor 'organizational governance' in its table of influencing factors (Table 1, p. 7), a use unrelated to building design. It cites no other seed.</t>
  </si>
  <si>
    <t>Primary study: a two-layer RAG system of LLM-based agents analyses interviews with managers and consultants of a consulting firm to identify stakeholders' needs for its knowledge management practice, and its conclusions are compared with an expert's manual analysis. The object of the model's task is organisational knowledge-management needs, not a software architecture (rule 1); S9's 'architecture knowledge' is cited only for knowledge management in general. Peer reviewed: ICED25 (Proceedings of the Design Society). S9 is cited twice, as Dhar, Vaidhyanathan &amp; Varma (2024): for knowledge management creating value for human intelligence (Section 1.1, p. 1676) and for AI tools penetrating the internal organisation of companies (Section 2.1, p. 1678). It cites no other seed.</t>
  </si>
  <si>
    <t>Same article as S3-F04 (also S3-F11, S4-F42, S4-F106, S5-F11, S5-F29, S8-F23 and S8-F54), reached again through S9: the Scholar entry sent links ScienceDirect S0164121226001998 with the same title and authors. S3-F04 records S9 among the seeds it cites. The original is on this sheet (S3-F04), included and coded as FS09, so it is not screened or coded again.</t>
  </si>
  <si>
    <t>Duplicate of S14</t>
  </si>
  <si>
    <t>Same study as S14 of the main corpus (ICASSP 2026): the Scholar entry sent links IEEE Xplore document 11462552 with the same title and authors. The original is in the main workbook (Final-TA, Included studies, S14), where it is included and coded, so it is not screened or coded again here; where it cites S9 was not checked.</t>
  </si>
  <si>
    <t>Same article as S3-F03 (also S4-F51, S5-F08, S7-F12 and S8-F26; its preprint is S7-F15), reached again through S9: the Scholar entry sent links IEEE Xplore document 11575292 with the same title and authors. S3-F03 records S9 among the seeds it cites. The original is on this sheet (S3-F03), included and coded as FS08, so it is not screened or coded again.</t>
  </si>
  <si>
    <t>Journal version of the review logged as S2-F01 (the same as S2-F02; its preprint was also reached through S9 as S9-F03), reached again through S9: the Scholar entry sent gives the journal title in Systems with the same authors. S2-F01 is excluded under the review threshold and records S9 among the seeds it cites, and S2-F02 was read in full and keeps that treatment, so it is not screened again.</t>
  </si>
  <si>
    <t>Same paper as S1-F08 (also S7-F25), reached again through S9: the Scholar entry sent links arXiv 2609.20308 with the same title and authors. S1-F08 records S9 among the seeds it cites. The original is on this sheet (S1-F08), included and coded as FS04, so it is not screened or coded again.</t>
  </si>
  <si>
    <t>Same paper as S4-F66 (also S5-F17, S7-F26 and S8-F34), reached again through S9: the Scholar entry sent links arXiv 2604.03826, the version read for S4-F66. S4-F66 records S9 among the seeds it cites. The original is on this sheet (S4-F66), included and coded as FS32, so it is not screened or coded again.</t>
  </si>
  <si>
    <t>Duplicate of S8-F47</t>
  </si>
  <si>
    <t>Same master's thesis as S8-F47, reached again through S9: the Scholar entry sent links the same JKU ePUB record (12572745), dates it 2025 and quotes an abstract on software architecture knowledge management. S8-F47 is excluded as not peer reviewed on its record, so it is not screened again; where it cites S9 was not checked. We have added the year 2025 from this entry to S8-F47.</t>
  </si>
  <si>
    <t>Same title and single author as S3-F08 (also S4-F101 and S8-F51), reached again through S9. S3-F08 was read in full, excluded below the review threshold, and lists S9 among the seeds it summarises. As for S4-F101 and S8-F51, the Scholar entry points to a different journal page on the same publisher's site than the record read for S3-F08, and it was not opened, so whether it is the same record or a second publication of the same text was not checked. Either way it is not screened again: the decision of S3-F08 applies.</t>
  </si>
  <si>
    <t>Duplicate of S4-F102</t>
  </si>
  <si>
    <t>Same master's thesis as S4-F102, reached again through S9: the Scholar entry sent links the same LUTPub handle (10024/170266) with the same title, names the author (A. Annengala) and the year (2025), which we have added to S4-F102, and quotes an abstract on evaluating sustainability in software architecture. S4-F102 is excluded as not peer reviewed on its record, so it is not screened again; where it cites S9 was not checked.</t>
  </si>
  <si>
    <t>Same preprint as S1-F17 (also S3-F10, S7-F49 and S8-F53), reached again through S9: the Scholar entry sent links SSRN abstract 5775315 with the same title. S1-F17 is excluded as not peer reviewed and records S9 among the seeds it cites, so it is not screened again; the S1-F17 decision applies.</t>
  </si>
  <si>
    <t>Same article as S3-F04 (also S3-F11, S4-F42, S4-F106, S5-F11, S5-F29, S8-F23, S8-F54 and S9-F13), listed a second time among the works citing S9 (the first is S9-F13), with the same title and three authors. S3-F04 records S9 among the seeds it cites. The original is on this sheet (S3-F04), included and coded as FS09, so it is not screened or coded again.</t>
  </si>
  <si>
    <t>A bachelor's thesis, excluded as not peer reviewed on its record, as S1-F15, S4-F80, S4-F94, S4-F96, S8-F47 and S8-F55 were, without reading the full text. Only the title page was sent, so its year, content and where it cites S9 were not checked. Its title concerns generative AI across the software development life cycle rather than architecture in particular.</t>
  </si>
  <si>
    <t>Same review as S4-F10 (also S5-F01 and S8-F02), reached again through S10: the Scholar entry sent links arXiv 2505.16697 with the same title and authors. S4-F10 records S10 among the seeds it cites. The original is on this sheet (S4-F10), subsequently excluded from the final synthesis (former FS13), so it is not screened or coded again. A search on 1 October 2026 found no published version (arXiv, ResearchGate, the KIT repository and an author copy only).</t>
  </si>
  <si>
    <t>Same article as S1-F03 (also S3-F01, S4-F03, S5-F02, S7-F01, S8-F03 and S9-F01), reached again through S10: the Scholar entry sent links the ScienceDirect article with the same title and authors. S1-F03 records S10 among the seeds it cites. The original is on this sheet (S1-F03), included and coded as FS02, so it is not screened or coded again.</t>
  </si>
  <si>
    <t>Duplicate of S4-F05</t>
  </si>
  <si>
    <t>Same guidelines paper as S4-F05, reached again through S10: the Scholar entry sent links arXiv 2508.15503 with the same title and authors. S4-F05 records S10 among the seeds it cites (ref. 71, §4.2.1, p. 12). The original is on this sheet (S4-F05), excluded as out of scope (rule 3), so it is not screened again.</t>
  </si>
  <si>
    <t>Exploratory empirical study (seven pages): a one-day workshop in April 2024 with eight managers and team leaders from Nordic organisations, who marked potential uses, current uses and barriers of LLMs on coloured cards; two researchers analysed the cards and notes by thematic synthesis (Section 3, pp. 1339-1340). No model performs a task in the study; its object is managers' perceptions of LLM adoption across software engineering tasks. Design is one of four task areas, where 'automated design proposals' are a perceived potential use and current use is 'limited or pilot usage only', with one manager having 'toyed with LLM-based design suggestions' (Section 4.1, p. 1340; Table 2, p. 1341). No model performs, or is specified to perform, a task on a software architecture (rule 1, as S1-F18, S4-F46 and S4-F100). Peer reviewed: published in the ACM FSE 2025 companion proceedings; the track is not stated in the PDF and the ACM page could not be opened (403), so it was not checked. S10 is cited twice, as ref. [12]: among works calling for investigations across the life cycle (Section 1, p. 1338) and as an industry survey showing LLMs adopted for code assistance and generation with significant human oversight (Section 2, p. 1339). It cites no other seed and no included FS study.</t>
  </si>
  <si>
    <t>Benchmark study: LLM agents (Gemini-2.5-Pro, GLM-4.5, DeepSeek-V3, Kimi K2 and Qwen3-235b, scored by DeepSeek-R1) explore three synthetic environments, a 10 x 10 grid world with hidden symbol rules (Mystery Grid), a five-rule sequence transformation pipeline (Sequence Exploration) and a triploid alien organism's inheritance rules (Alien Genetics Laboratory), and must infer the hidden rules over long trajectories; their scores are compared with human participants and their failures are classified into eight error types (Sections 3.2-5, pp. 4-9). The object of the agents' task is the hidden rules of these environments, not a software architecture; software development appears only as a motivating example (rule 1). The version sent is the arXiv preprint, but the ICML 2026 programme lists the paper as an accepted poster (8 July 2026) with the same 18 authors and a slightly changed title, so we treat it as peer reviewed (as FS51); the OpenReview page could not be opened, so differences between the versions were not checked. S10 is cited once, among examples of large-scale software development as a long-horizon, partially observable real-world task (Section 1, p. 2; reference list, p. 11). It cites no other seed; it cites FS14 (Zhang et al., 2025b) in the same sentence (p. 2; reference list, p. 13).</t>
  </si>
  <si>
    <t>Mixed-methods HCI study: an online survey (N = 85) and interviews with hackathon participants (N = 31) and practitioners (N = 8) on how technical and non-technical users employ chatbots, local development assistants and cloud development environments across seven product development stages, from understanding the problem to deployment (Section 3, pp. 4-5). No model performs a task in the study; its object is how people use GenAI tools to build products. Architecture appears only as human work that participants say still needs technical expertise (Section 4.2.4, p. 10; Sections 4.4 and 5.1, p. 12) and as a feature users request from the tools (UML diagrams or architectural visualisations, Section 5.3, p. 13), so no model performs, or is specified to perform, a task on a software architecture (rule 1, as S1-F18 and S4-F100). Peer reviewed: CHI '26 full paper (ACM). S10 is cited once, as ref. [25], for experiments showing that LLMs can generate several structural alternatives in architectural design (Section 2.2, Define stage, p. 3). It cites no other seed and no included FS study.</t>
  </si>
  <si>
    <t>Same paper as S7-F04 (also S8-F09 and S9-F07), reached again through S10: the Scholar entry sent links IEEE Xplore document 11014997 with the same title and authors. S7-F04 records S10 among the seeds it cites (ref. [20]). The original is on this sheet (S7-F04), included and coded as FS45, so it is not screened or coded again.</t>
  </si>
  <si>
    <t>Duplicate of S4-F24</t>
  </si>
  <si>
    <t>Same article as S4-F24, reached again through S10: the Scholar entry sent links IEEE Xplore document 11203255 with the same title and authors. S4-F24 records S10 among the seeds it cites (ref. [60]). The original is on this sheet (S4-F24), included and coded as FS17, so it is not screened or coded again.</t>
  </si>
  <si>
    <t>Duplicate of S7-F07</t>
  </si>
  <si>
    <t>Same article as S7-F07, reached again through S10: the Scholar entry sent links the ACM Digital Library record (DOI 10.1145/3715112) with the same title and authors. S7-F07 records S10 among the seeds it cites (ref. [68], Section 2.1, p. 136:4). The original is on this sheet (S7-F07), excluded as out of scope (rule 3), so it is not screened again.</t>
  </si>
  <si>
    <t>arXiv preprint (v2, 1 April 2026, the version sent; v1, 29 December 2025) with no venue, journal reference or acceptance note; it was also posted on SSRN on 23 March 2026, which gives no review status. No published version was found in a web search on 1 October 2026 (only arXiv, SSRN, Zenodo, ResearchGate and aggregator pages). It is therefore excluded on its record. Questionnaire survey of 204 software engineering practitioners from 37 countries on the status of GenAI adoption, its benefits and challenges, how tools and techniques are institutionalised, and expected long-term effects, with bootstrapped confidence intervals and coded open answers. On its content it would also be out of scope (rule 1, as S1-F18 and S4-F46): no model performs a task in the study, and architecture definition is among the task categories that each account for less than five percent of reported uses (Section 4.2.2, p. 23), so no revisit is needed if it is published. S10 is cited four times, as ref. [37] (pages as printed): in the related work, as a survey focused mainly on architecture and as a study of LLMs as task-specific tools (Section 2.2, p. 4), for GenAI tools struggling with project-specific context such as architectural history (Section 2.2, p. 6), and in Table 1 of questionnaire studies (p. 8). It cites no other seed and no included FS study.</t>
  </si>
  <si>
    <t>Survey study (preliminary findings): an anonymous global questionnaire answered by 131 software practitioners on how they use LLMs for coding tasks, the benefits and limitations they perceive and how they integrate the tools into their work (Sections III-IV, pp. 106-111). No model performs a task in the study, and the tasks surveyed are coding tasks (Section III-A and Table I, pp. 106-107); design appears only in respondents' remarks that LLMs free them to focus on higher-level design decisions (Section IV-A, p. 109). No model performs, or is specified to perform, a task on a software architecture (rule 1, as S1-F18 and S10-F04). Peer reviewed: AIware 2025 (IEEE/ACM), IEEE Xplore. S10 is cited once, as ref. [12], among empirical studies of how professionals use LLMs in practice (Section II, p. 106). It cites no other seed and no included FS study.</t>
  </si>
  <si>
    <t>Qualitative interview study: semi-structured interviews with 15 software testers, analysed with grounded theory-based thematic analysis, describe how testers use LLMs (defining objectives, prompting, refining prompts, evaluating outputs) and lead to a preliminary practice-based guideline for integrating LLMs into testing (Sections III-V, pp. 97-103). No model performs a task in the study, and the activities studied are software testing tasks; architecture does not appear outside the reference list. No model performs, or is specified to perform, a task on a software architecture (rule 1, as S1-F18 and S10-F11, a survey by two of the same authors). Peer reviewed: AIware 2025 (IEEE/ACM), IEEE Xplore. S10 is cited once, as ref. [8], with ref. [7], for developers using LLMs to explore alternative solutions, understand unfamiliar code and inform design decisions (Section I, p. 96). It cites no other seed and no included FS study.</t>
  </si>
  <si>
    <t>Duplicate of S9-F09</t>
  </si>
  <si>
    <t>Same paper as S9-F09, reached again through S10: the PDF sent is the IEEE Xplore version with the same title, authors and DOI. S9-F09 records S10 among the seeds it cites, and this full text confirms it: S10 is ref. [11], cited for ChatGPT 4 mixing high- and low-level architecture concepts in an industry study (Section II-B, p. 42) and for generative AI responses giving architects helpful starting points or missing topics (Section III-A, p. 43). The original is on this sheet (S9-F09), excluded as out of scope (rule 3), so it is not screened again.</t>
  </si>
  <si>
    <t>arXiv preprint (v1, 5 February 2026, the version sent) in an ACM template with placeholder conference ('Conference'17'), ISBN and DOI, that is, without a venue; no published version was found in a web search on 1 October 2026 (only arXiv, ResearchGate and aggregator pages). It is therefore excluded on its record. Empirical study: the energy of LLM inference is measured separately for the prefill and decoding phases on ten open models of 3B-7B parameters, on HumanEval (code generation) and LongBench (code understanding), and suppressing 'babbling' output saves 44-89% of energy in code generation without loss of accuracy. On its content it would also be out of scope (rule 1): the models' tasks are code generation and code understanding, and architecture appears only as model or hardware architecture, so no revisit is needed if it is published. S10 is cited once, as ref. [16], for adopters believing that AI-assisted tools boost productivity, reduce costs and offer valuable coding assistance (Section 1, p. 1). It cites no other seed and no included FS study.</t>
  </si>
  <si>
    <t>Same paper as S4-F34 (also S9-F10), reached again through S10: the Scholar entry sent links IEEE Xplore document 11613067 with the same title and authors. S4-F34 records S10 among the seeds it cites (ref. [56]). The original is on this sheet (S4-F34), included and coded as FS21, so it is not screened or coded again.</t>
  </si>
  <si>
    <t>Industry experience report: GPT-4 and Claude, prompted zero-shot with a description of the performance problem, one-shot with one API's code and SQL query, and few-shot with the API code and its two faulty queries, suggest optimisations of the Node.js APIs and SQL queries of Volvo's SCORE HR system; the authors implemented the suggestions and report one API's response time falling from 26 to about 3 seconds, followed by lessons for practitioners (Sections IV-V, pp. 104-110). The object of the models' tasks is API code and SQL queries (rule 1, as S7-F21). The system's monolithic architecture is named among its problems (C4, Section II, p. 104), and Claude's output included an 'architecture-level view' and a suggestion to move to microservices (Section IV-D, p. 108; Section V, p. 110), but no prompt asked for an architectural task, and these suggestions were reported in a sentence each, judged outside the project's scope and neither implemented nor evaluated; we therefore do not treat them as a model task on a software architecture. Peer reviewed: SANER 2025 (IEEE). S10 is cited once, as ref. [23], for LLM tools generating code snippets and reducing time spent on repetitive tasks (Section VII, p. 111). It cites no other seed and no included FS study.</t>
  </si>
  <si>
    <t>Primary study: a multi-agent LLM framework (code review, debugging and security analysis agents, with FAISS memory of past feedback) reviews Python code snippets submitted through a REST API, and three experiments assess learning over time, collaborative against independent agent execution, and personalised feedback (Sections III-IV, pp. 542-545). The object of the agents' tasks is source code; the 'system architecture' described is that of the review tool itself, in which the models are components (rule 1, as S4-F56 and S8-F50). Peer reviewed: MRAI 2025 (IEEE). S10 is cited once, as ref. [4], for an empirical study of how companies adopt LLMs, which assist with code generation and architectural design but raise concerns about reproducibility and bias (Section II, p. 542). It cites no other seed and no included FS study.</t>
  </si>
  <si>
    <t>Included as FS53</t>
  </si>
  <si>
    <t>Primary study (approach with a user study): CIAO flattens a GitHub repository into one text file (Repomix) and has an LLM (GPT-5, chosen in a pilot over Claude Sonnet 4.5, Gemini 2.5 and Mistral Large 2) write each section of an eight-section template for system-level architecture documentation, derived from ISO/IEC/IEEE 42010, SEI Views &amp; Beyond and the C4 model (system overview, architectural context, containers, components, code level, cross-cutting concerns, quality attributes and rationale, deployment), with PlantUML diagrams; 22 participants each rated the documentation generated for a repository they had contributed to, and generation time and API cost were measured (Sections III-V, pp. 203-210). In scope (rule 1): the model's task object is the architecture of an existing system, recovered from its code and configuration and documented as views and rationale (1.3, 1.4), as in FS17, FS21, FS46 and FS48. Peer reviewed: ICSA 2026 (IEEE), pp. 201-212. S10 is cited once, as ref. [41], with refs. [39] and [40], for work on architectural reasoning from requirements or code in microservice settings (Section II, p. 202). It cites no other seed and no included FS study; it cites the authors' earlier ECSA paper on LLM-based architecture design recovery from source code (ref. [37]), which is not on this sheet.</t>
  </si>
  <si>
    <t>Included as FS54</t>
  </si>
  <si>
    <t>Primary study (short workshop paper, preliminary results): ChatGPT 4 Turbo (2024-04-09), given only the project tree of a small Swift iOS app built on the VIPER architecture (View, Interactor, Presenter, Entity, Router), answers open-ended questions at the six levels of Bloom's taxonomy, from identifying the role of files in VIPER modules and describing data flows to detecting deviations from VIPER, critiquing the architecture and proposing new feature modules; answers are graded correct, partially correct or incorrect (Sections IV-V, pp. 8-9). In scope (rule 1), included by our decision (1 October 2026): the object of the model's tasks is the architecture of an existing app, its decomposition into VIPER modules and layers, their roles and interactions and its conformance to the style (1.4, with design in 1.1 and evaluation in 1.2), as in FS23 (questions on a ROS 2 system's architecture) and FS33 (MVC among the requested styles); the abstract calls VIPER 'a design pattern for iOS applications', while the paper treats it as the app's architecture throughout. Peer reviewed: Designing 2025 workshop (IEEE/ACM, IEEE Xplore). S10 is cited once, as ref. [9], with ref. [10], for work on how LLMs might be integrated into broader architectural frameworks (Section II, p. 7). It cites no other seed and no included FS study.</t>
  </si>
  <si>
    <t>Primary study: a VS Code extension with specialised agents (energy usage analysis, performance prediction, hardware utilisation monitoring, predictive scheduling), transformer-based code embeddings, FAISS memory of developer interactions and reinforcement learning gives real-time recommendations for making code more energy-efficient, evaluated on 50+ projects against SonarQube and Coverity (Sections III-IV, pp. 354-357). The object of the agents' tasks is source code and its energy use; the 'system architecture' described is that of the tool itself, and no LLM or generative model is named for the agents (rule 1, as S10-F17, by the same first author, and S4-F56). Peer reviewed: ISCTIS 2025 (IEEE). S10 is cited once, as ref. [6], for an empirical study of LLM adoption in industry, with benefits in code generation and debugging and concerns about reproducibility and bias (Section II, p. 354). It cites no other seed and no included FS study.</t>
  </si>
  <si>
    <t>Survey of LLMs across the software development life cycle, stated to review 147 publications from 2017-2025, with a taxonomy mapping capabilities to seven phases and a discussion of risks (Sections III-V, pp. 45-49). Architecture gets one subsection (Section V-C, pp. 47-48), which lists what LLMs can do (suggest patterns and components, explore alternatives and trade-offs, generate documentation, then low-level design, UI design, data models and API specifications) in general terms, citing only S10 for high-level architectural design; no architectural model tasks from studies are synthesised, so it falls below the review threshold (as S1-F04, S1-F20 and S4-F89). We note that the reference list has only 20 entries against the 147 publications said to be reviewed. S10 is cited twice, as ref. [8]: in Table III, as a survey limited to architecture with anecdotal evidence (p. 47), and for LLMs helping identify architectural patterns, components and design decisions and evaluate trade-offs (Section V-C, p. 47). It cites no other seed and no included FS study.</t>
  </si>
  <si>
    <t>Included as FS55</t>
  </si>
  <si>
    <t>Primary study (early-career paper on ongoing PhD research, with a prototype and early experiments): MicroPAD filters a repository's infrastructure-as-code files (Dockerfiles, compose, Kubernetes, Terraform, shell and configuration files) and sends them in chunks, with natural-language descriptions of 24 patterns from Richardson's microservice catalogue, to GPT-4o mini, which reports the pattern instances present with supporting snippets, a justification and a certainty level; run three times on 22 GitHub repositories, 83% of detections were judged present by one researcher (Sections III-IV, pp. 162-165). In scope (rule 1): the model's task object is the architecture of existing systems, the microservice architecture patterns they implement, recovered as architecture knowledge (1.4, with documentation in 1.3). Peer review accepted by our decision (1 October 2026): the ICSA 2025 Early Career Track names a programme committee (co-chairs Lago and Bucaioni, eight members), and its papers are published in the IEEE companion proceedings, although the call we could read (2024) does not describe the review; unlike S4-F67, where no committee review was described for EMISA's PhD research proposals. S10 is cited once, as ref. [29], in the range [29]-[31], for the growing use of LLMs on software engineering problems (Section II, p. 162). It cites no other seed and no included FS study.</t>
  </si>
  <si>
    <t>Duplicate of S4-F39</t>
  </si>
  <si>
    <t>Same paper as S4-F39, reached again through S10: the Scholar entry sent links the ACM Digital Library record (DOI 10.1145/3786152.3788588) with the same title and authors. S4-F39 records S10 among the seeds it cites (ref. [10], with S4, Section 2, p. 24). The original is on this sheet (S4-F39), excluded as out of scope (rule 1), so it is not screened again.</t>
  </si>
  <si>
    <t>Survey study with a preliminary case: in a six-week sub-study a junior engineer built three versions of a Tetris game, without AI, with GPT Pilot and ChatGPT, and with five ChatGPT instances in roles (project manager, requirements engineer, software architect, developer, QA), with results reported by GQM questions on code (Tables 1-2, pp. 91-93); then 40 practitioners from 13 countries answered a survey on productivity and on whether adopting AI-generated code erodes architecture quality (cohesion, coupling, partitioning), analysed by open and axial coding (Section 4, pp. 94-101). Excluded by our decision (1 October 2026), rule 1: the model tasks studied are code generation, modification, bug fixing and test generation, and architecture is what AI-generated code affects, not the object of a model's task; the 'software architect' role, which 'designs the base software architecture' (p. 92), is neither shown nor evaluated, and the summary's claim that AI tools can suggest adequate architectural designs (Section 4.3, p. 101) has no supporting data in the paper (as with the unevaluated suggestions in S10-F16). Its second author is S10's first author, so had it been in scope it would join family F7. Peer reviewed: ECSA 2025 Tracks and Workshops (Springer LNCS); the year follows our convention of recording the conference year for LNCS volumes dated the following year, whereas FS49, in the same volume, is recorded as 2026 (an open decision). S10 is cited twice, as ref. [12]: for engineers using AI tools for assistance with software architecture (Section 1, p. 89) and, with ref. [21], for generating software architecture solutions (Section 2, p. 90). It cites no other seed (ref. [21] is a different Ramachandran paper, not S6) and no included FS study.</t>
  </si>
  <si>
    <t>Systematic literature review of 25 primary studies, published before July 2025, on the design of GenAI-enabled systems: eight quality attributes, ten challenges and 17 solutions, at the level of the models, the overall architecture and their integration (Sections 3-4, pp. 3-11). Its object is the architecture of systems in which GenAI models are components, and its exclusion criterion EX3 removes papers that use GenAI to support architectural design (Table 1, p. 3), so no model task on a software architecture is reviewed (rule 1, as S4-F56, a grey literature review of AI-native applications by an overlapping group). Peer reviewed: Information and Software Technology (special issue on GenAI). S10 is cited once, as ref. [28], in the range [26-28], among studies of how AI shapes software engineering (Section 2.3, p. 3). It cites no other seed; it cites FS02 (ref. [25]) at the same place, and the withdrawn main-corpus study S31 (Lu et al., reference architecture for foundation-model-based agents).</t>
  </si>
  <si>
    <t>Primary study: LLMs (23 assessed for robustness, of which 15 with above-average robustness were taken further) select responsible AI values, rate their importance in contexts, resolve trade-offs between values and prioritise software requirements that embody them, and their answers are compared with a US-representative sample and with AI practitioners (Sections III-IV, pp. 134-138). The object of the models' tasks is responsible AI values and requirements, not a software architecture (rule 1). Peer reviewed: AIware 2025 (IEEE/ACM). S10 is cited once, as ref. [2], in the range [1]-[4], for LLMs and multi-agent systems participating in co-developing software (Section I, p. 133). It cites no other seed and no included FS study.</t>
  </si>
  <si>
    <t>Survey study: 70 Brazilian professionals, of whom 49 use Scrum and 33 use LLM-based assistants in their Scrum practice, report how they use LLMs for Scrum artefacts, events and management tasks, with benefits (productivity, less manual effort) and risks ('almost correct' outputs, confidentiality, hallucinations). No model performs a task in the study, and the activities surveyed are Scrum management, not work on a software architecture (rule 1, as S1-F18 and S10-F11). Peer reviewed: XP 2026 (Springer LNBIP). S10 is cited once, as ref. [21], for the impact of LLMs on architecture design (Section 1, p. 256). It cites no other seed and no included FS study.</t>
  </si>
  <si>
    <t>Structured literature review of ten papers (from 295 search results) on how the emergence of ChatGPT affected Stack Overflow: users' participation behaviour, their perception of ChatGPT against the platform, and implications, especially for higher education (Sections 2-4, pp. 2-10). The model uses it reviews concern programming questions and answers, not a software architecture (rule 1, as S8-F18), and it synthesises no architectural model tasks, so it would also fall below the review threshold. Peer reviewed: ISD 2025 conference paper. S10 is cited once, as ref. [23], among sources on LLM adoption in programming (Section 1, p. 2). It cites no other seed and no included FS study.</t>
  </si>
  <si>
    <t>Duplicate of S10-F31</t>
  </si>
  <si>
    <t>Earlier preprint (arXiv 2506.21703 v1, 26 June 2025, 12 pp.) of the Designing '26 paper logged as S10-F31 ('Using Generative AI in Software Design Education'): same three authors, the same class of 179 students in 36 teams, the same mandatory ChatGPT assignment (Design Studio 2, Part 1: stakeholders, a UML class diagram of the simulator's state and pseudocode) and the same analysis of conversation logs and reflections. It was first excluded as not peer reviewed; on receiving the published version (S10-F31) we logged it as a duplicate, as for S4-F64, S7-F15 and S7-F30. We also correct our first rationale, which said the mandatory part covered architecture design: the preprint describes architecture design (main components and their interactions) only for Design Studio 3, where GenAI use was optional and whose logs were not analysed (Section 3.3, p. 4; Section 3.5, p. 5), and its 'system's architecture' quote refers to a PlantUML class model (Section 4.1.7, p. 7); like S10-F31, it is out of scope (rule 1). S10 is cited twice, as ref. [27] (Section 1, p. 1; Section 2.1, p. 2).</t>
  </si>
  <si>
    <t>Duplicate of S4-F44</t>
  </si>
  <si>
    <t>Same extended abstract as S4-F44, reached again through S10: the Scholar entry sent links the ACM Digital Library record (DOI 10.1145/3774748.3795876) with the same title and authors. S4-F44 records S10 among the seeds it cites (ref. [10]). The original is on this sheet (S4-F44), excluded as out of scope (rule 3), so it is not screened again.</t>
  </si>
  <si>
    <t>Experience report (published version of the preprint logged as S10-F29): 179 undergraduate students in 36 teams of a software design class had to hold at least ten conversations with ChatGPT 3.5 while designing an educational traffic flow simulator, producing a list of stakeholders, a UML class diagram of the data structure that tracks the simulation's state and pseudocode for an algorithm that advances it by one tick; 360 conversations and 30 team reflections were analysed for purposes of use (ideation, knowledge seeking, decision making, validation), how responses entered the designs, issues and students' views (Sections 3-5, pp. 37-42). The object of the model's tasks is a class-level data model and an algorithm, not a software architecture (rule 1, as S4-F25, class-level design in teaching). Had it been in scope, it would have joined family SF20 with FS26 (Jackson and van der Hoek). Peer reviewed: Designing '26 (ACM). S10 is cited once, as ref. [20], for mixed opinions on ChatGPT-generated C4 architecture diagrams (Section 2, p. 36). It cites no other seed and no included FS study.</t>
  </si>
  <si>
    <t>Included as FS56</t>
  </si>
  <si>
    <t>Primary study (exploratory evaluation), an extended version of FS28 (its ref. [6]): six LLMs (GPT-4o mini and o3-mini remotely; Llama 3.3, Qwen2.5, Qwen2.5-Coder and DeepSeek-R1 locally), given the source code of three DEECo applications written in three DSLs either through a file-reading tool or inlined in the prompt, answer six zero-shot questions in three steps about their ensemble-based component architectures (components, ensembles, overall functionality, roles and membership conditions, and which ensembles form in a given state), with plain, hinted and paper-supported variants and an anonymised application (Sections 3-4, pp. 644-652). In scope (rule 1): the model's task object is the architecture of existing collective adaptive systems (1.4), as in FS28. Included by our decision (1 October 2026) as a separate study in family SF21, because it adds five models and a second way of giving access to the code; it is not independent of FS28. Peer reviewed: STTT (Springer). S10 is cited once, as ref. [24], for practitioners' use of LLMs in architecture design being mainly small tasks such as code snippets (Section 5, p. 653). It also cites S4 (ref. [26]) and S11 (ref. [27]) in the related work (Section 5, p. 654), and FS02 (ref. [23]) and FS28 (ref. [6]).</t>
  </si>
  <si>
    <t>Same paper as S4-F50 (also S8-F25), reached again through S10: the Scholar entry sent links IEEE Xplore document 11613045 with the same title. S4-F50 is excluded under rule 4 (the model builds a business domain model, not a software architecture) and records S10 among the seeds it cites (ref. [33]), so it is not screened again.</t>
  </si>
  <si>
    <t>Primary study: a VS Code extension with specialised agents for code review, bug detection, security analysis and performance optimisation, using transformer-based code embeddings, FAISS memory and reinforcement learning from developer feedback, reviews Python code snippets in real time (Sections III-IV, pp. 536-539). The object of the agents' tasks is source code; the architecture described is that of the review tool, in which the models are components (rule 1). It overlaps closely with S10-F17 (the same two authors, MRAI 2025) and S10-F20 (the same first author, ISCTIS 2025), both excluded under rule 1; it is a separate paper with its own venue, not a duplicate. Peer reviewed: ICAIDE 2025 (IEEE). S10 is cited once, as ref. [7], for an empirical study of how software engineering companies adopt LLMs (Section II, p. 535). It cites no other seed and no included FS study.</t>
  </si>
  <si>
    <t>arXiv preprint (v1, 9 July 2026, the only version; comment '10 pages, 6 figures', no venue or journal reference); no published version was found in a web search on 1 October 2026 (only arXiv and aggregator pages). It is therefore excluded on its record. Controlled experiment with 86 Python programmers and a think-aloud follow-up on how well developers judge the correctness and completeness of LLM-generated assertions, with and without natural-language explanations. On its content it would also be out of scope (rule 1): the object of the model's task is assertions about code, so no revisit is needed if it is published. S10 is cited once, as ref. [34], for generative AI being used in architectural design (Section 1, p. 1). It cites no other seed and no included FS study.</t>
  </si>
  <si>
    <t>Same article as S3-F03 (also S4-F51, S5-F08, S7-F12, S8-F26 and S9-F15; its preprint is S7-F15), reached again through S10: the Scholar entry sent links IEEE Xplore document 11575292 with the same title. S3-F03 records S10 among the seeds it cites. The original is on this sheet (S3-F03), included and coded as FS08, so it is not screened or coded again.</t>
  </si>
  <si>
    <t>Primary study: Gemini 3 Pro and DeepSeek-V3.1, prompted in Croatian through a fixed four-step chain (domain entity classes, CRUD repository, service and controller layers, advanced functionality, configuration and tests) with corrective prompts, generate a Java/Spring Boot backend, compared on corrective prompts, manual interventions, requirement coverage, tests, latency and static quality (Sections 3-4, pp. 4-21). The prompts prescribe the layered structure, and the object of the models' tasks is the code; the 'architectural reasoning' assessed is code-level design within that structure (whether DTOs separate JPA entities from the REST API, how entities are fetched; Section 4.7, pp. 18-19), so no model performs a task on a software architecture (rule 1, as S4-F11 and S4-F39; the authors' framing does not decide, rule 2). Peer reviewed: Electronics (MDPI). S10 is cited once, as ref. [37], for research shifting towards system-level architecture, component orchestration and generating complete codebases (Section 2.2, p. 4). It cites no other seed and no included FS study.</t>
  </si>
  <si>
    <t>Same paper as S4-F54 (also S5-F13), reached again through S10: the Scholar entry sent links IEEE Xplore document 11612827 with the same title. S4-F54 records S10 among the seeds it cites (ref. [14], Section I, p. 268). The original is on this sheet (S4-F54), included and coded as FS29, so it is not screened or coded again.</t>
  </si>
  <si>
    <t>arXiv preprint (v1, 25 July 2025, the version sent) in an ACM journal template marked 'Manuscript submitted to ACM', with a placeholder DOI; no published version was found in a web search on 1 October 2026 (arXiv, ResearchGate and aggregator pages; a co-author's publication page lists it as a 2025 arXiv preprint). It is therefore excluded on its record. ReCatcher is a regression testing framework that compares two code-generation LLMs on logical correctness, static code quality and execution performance of generated Python code, applied to fine-tuning, merging and model-release scenarios with CodeLlama, DeepSeek-Coder and GPT-4o. On its content it would also be out of scope (rule 1): the object of the models' task is code, so no revisit is needed if it is published. S10 is cited once, as ref. [31], for the increasing use of LLMs in software development (Section 1, p. 1). It cites no other seed and no included FS study.</t>
  </si>
  <si>
    <t>Duplicate of S8-F30</t>
  </si>
  <si>
    <t>Same chapter as S8-F30, reached again through S10: the Scholar entry sent links the Springer chapter with DOI 10.1007/978-3-032-24216-7_4 and the same title. S8-F30 records S10 among the seeds it cites (ref. [12] in the version read, Section 2.2, p. 5). The original is on this sheet (S8-F30), included and coded as FS50, so it is not screened or coded again.</t>
  </si>
  <si>
    <t>Book chapter: it discusses opportunities and risks of LLMs across the software development life cycle and, as its own contribution, a framework for detecting document incompleteness, inconsistencies and discrepancies (DIID) in safety-critical acquisition, illustrated by a drone avionics case in which ChatGPT-4o compares a NASA software safety standard with derived safety requirements and verification evidence (Sections III-IV, manuscript pp. 3-18). The model task it runs has requirements and safety documents as its object, not a software architecture (rule 1); its architecture subsection lists what LLMs could do (recommend architectural approaches, create or describe design diagrams), citing studies such as S4 and S10, without specifying or running such a task (rule 3, as S4-F60). As a chapter in an edited book it is also outside our publication types (as S7-F47 noted for its own case). S10 is cited once, for architects valuing LLMs' quick generation of alternatives while seeing copyright and hallucinations as barriers (Section III, Architecture and Design, manuscript p. 5). It also cites S4 (Dhar et al., 2024) at the same place, and no included FS study. The version read is the authors' December 2024 manuscript, so page numbers refer to it, not to the published chapter.</t>
  </si>
  <si>
    <t>A master's thesis, excluded as not peer reviewed on its record, as S1-F15, S4-F80, S4-F94, S4-F96, S8-F47 and S8-F55 were, without reading the full text. Only the document of defense was sent, so its content and where it cites S10 were not checked. Its title suggests LLMs generating software diagrams, which might include architecture diagrams and so could be in scope on content; as a thesis it is excluded on its record whatever its content. Revisit if a peer-reviewed version appears.</t>
  </si>
  <si>
    <t>Duplicate of S4-F59</t>
  </si>
  <si>
    <t>Same paper as S4-F59, reached again through S10: the Scholar entry sent links SBC Open Library article 36976 with the same title. S4-F59 records S10 among the seeds it cites (ref. [17], with S4, Section 1, p. 79). The original is on this sheet (S4-F59), included and coded as FS30, so it is not screened or coded again. Its extension, the preprint S4-F65, is excluded as not peer reviewed.</t>
  </si>
  <si>
    <t>Primary study (computational experiment): 13 LLMs generate Java code for 164 HumanEval-X challenges under four strategies for making them apply the Singleton design pattern (instructions, binary automated feedback, extensive automated feedback, extensive feedback with few-shot examples), measured by Singleton alignment, functional tests and McNemar's tests (Sections 3-5, pp. 3-9). The object of the models' task is code and a class-level design pattern, not a software architecture (rule 1, as S4-F25). Peer reviewed: PROMISE '26 (ACM). S10 is cited once, as ref. [8], for LLM-generated code not adhering to higher-level design principles such as modularity and abstraction (Section 1, p. 1). It cites no other seed and no included FS study.</t>
  </si>
  <si>
    <t>Same preprint as S4-F62 (also S8-F32), reached again through S10: the Scholar entry sent links arXiv 2605.01392 with the same title. S4-F62 is excluded as not peer reviewed (on its content it would be in scope; revisit if a peer-reviewed version appears) and records S10 among the seeds it cites (Jahic and Sami, 2024), so it is not screened again; the S4-F62 decision applies.</t>
  </si>
  <si>
    <t>arXiv preprint (v1, 8 April 2026, the version sent) in an ACM template with placeholder conference ('Conference'17'), ISBN and DOI; no published version was found in a web search on 1 October 2026 (only arXiv and aggregator pages). It is therefore excluded on its record. By the authors of S10-F14, it proposes Babbling Suppression, which runs tests on intermediate outputs during code generation and stops generation once a solution passes, evaluated on two Python and two Java benchmarks with ten 3-7B models (energy savings of up to 65%). On its content it would also be out of scope (rule 1): the object of the models' task is code, so no revisit is needed if it is published. S10 is cited once, as ref. [17], among studies of LLM effectiveness in software development (Section 2, p. 2). It cites no other seed and no included FS study.</t>
  </si>
  <si>
    <t>Same paper as S4-F66 (also S5-F17, S7-F26, S8-F34 and S9-F18), reached again through S10: the Scholar entry sent links arXiv 2604.03826 with the same title. S4-F66 records S10 among the seeds it cites. The original is on this sheet (S4-F66), included and coded as FS32, so it is not screened or coded again.</t>
  </si>
  <si>
    <t>Duplicate of S7-F27</t>
  </si>
  <si>
    <t>Same paper as S7-F27, reached again through S10: the Scholar entry sent links arXiv 2608.28403, the version read for S7-F27, with the same title and authors. S7-F27 records S10 among the seeds it cites. The original is on this sheet (S7-F27), included and coded as FS46 from its AISM '26 workshop version, so it is not screened or coded again.</t>
  </si>
  <si>
    <t>Same PhD research proposal as S4-F67 (also S7-F28), reached again through S10: the Scholar entry sent links arXiv 2504.12192, the version read for S4-F67. S4-F67 is excluded (peer review not established for EMISA's PhD research proposals, by our decision of 29 September 2026) and records S10 among the seeds it cites, so it is not screened again; the S4-F67 decision applies.</t>
  </si>
  <si>
    <t>Same article as S4-F68 (also S7-F29), reached again through S10: the Scholar entry sent links the MDPI article with the same title and authors. S4-F68 records S10 among the seeds it cites. The original is on this sheet (S4-F68), included and coded as FS33, so it is not screened or coded again.</t>
  </si>
  <si>
    <t>Duplicate of S4-F70</t>
  </si>
  <si>
    <t>Same article as S4-F70, reached again through S10: the Scholar entry sent links the ScienceDirect article (S0167739X26003171) with the same title and authors. S4-F70 records S10 among the seeds it cites (ref. [22]). The original is on this sheet (S4-F70), included and coded as FS34, so it is not screened or coded again.</t>
  </si>
  <si>
    <t>Same paper as S1-F10 (also S4-F71 and S4-F108), reached again through S10: the Scholar entry sent links arXiv 2609.03721, the version read for S4-F71, with the same title and authors. S1-F10 records S10 among the seeds it cites. The original is on this sheet (S1-F10), included and coded as FS05, so it is not screened or coded again.</t>
  </si>
  <si>
    <t>Duplicate of S8-F35</t>
  </si>
  <si>
    <t>Same paper as S8-F35, reached again through S10: the Scholar entry sent links the Springer chapter (DOI 10.1007/978-3-032-28160-9_14) with the same title, and its PDF link is arXiv 2605.04973, the version read for S8-F35. S8-F35 is excluded under rule 1 by our decision (the model elicits a specification while retrieval picks a scaffold template) and records S10 among the seeds it cites, so it is not screened again.</t>
  </si>
  <si>
    <t>arXiv preprint (v1, 20 April 2026) with no venue, copyright notice or DOI; a web search on 1 October 2026 found only the arXiv record and aggregator pages, so it is excluded on its record. It would also be out of scope under rule 1: a three-stage pipeline (gemini-3.1-pro-preview) extracts natural-language requirements from informal human-robot interaction specifications, classifies whether each is verifiable on the stochastic hybrid automaton generated from a LIrAs model, and translates the verifiable ones into UPPAAL SMC queries, evaluated on three scenarios (71 ground-truth requirements, 72 queries; Sections 4-5, pp. 5-10). The object of every model task is a requirement or a formal property, not a software architecture, so a peer-reviewed version would still be excluded and no revisit note is needed. S10 is cited once, as ref. [15], for the use of LLMs in software engineering research and industry, in the related work on LLM-assisted requirements engineering (Section 2, p. 3). It cites no other seed and no included study; two of its authors (Tagliaferro, Guindani) also wrote FS45 (S7-F04), which it does not cite.</t>
  </si>
  <si>
    <t>Duplicate of S4-F78</t>
  </si>
  <si>
    <t>Same paper as S4-F78, reached again through S10: the ACM Digital Library entry sent has the same title and DOI (10.1145/3748522.3780005). S4-F78 records S10 among the seeds it cites (ref. [14]). The original is on this sheet (S4-F78), included and coded as FS36, so it is not screened or coded again.</t>
  </si>
  <si>
    <t>Only the first page is available to us (the screenshot sent; the publisher's page offers the full text only through its access options), so it is judged on that page: the article history (received 15 December 2025, revised 9 January 2026, accepted 10 February 2026, published 8 September 2026), the abstract and the opening of the introduction. The journal and DOI were confirmed in Crossref on 1 October 2026. Empirical study: GPT-4o, Aya, Gemma and Phi-4 classify 296 atomic requirements from the PROMISE+ dataset (multilabel), once from the models' own knowledge and once with a rubric of quality characteristic definitions from ISO/IEC 25010:2023 (SQuaRE), with agreement measured by Cohen's and Fleiss' kappa. The object of the model's task is a set of requirements, not a software architecture, so it is out of scope under rule 1. S10 is cited in the introduction (p. 2650068-1), with Ozkaya (2023), for early research suggesting what LLMs can do in software engineering; the sentence continues past the visible page. Whether it cites other seeds or included studies could not be checked: the reference list (31 entries) is behind the access wall, and Crossref holds no deposited references.</t>
  </si>
  <si>
    <t>Duplicate of S4-F81</t>
  </si>
  <si>
    <t>Same paper as S4-F81, reached again through S10: the Scholar entry sent links ACM Digital Library DOI 10.1145/3786175.3788350 with the same title and authors. S4-F81 records its citation of S10 (ref. [14]). The original is on this sheet (S4-F81), included and coded as FS37, so it is not screened or coded again.</t>
  </si>
  <si>
    <t>Same paper as S1-F13 (also S4-F83 and S5-F24), reached again through S10: the Scholar entry sent links IEEE Xplore document 11334367 with the same title and authors. S1-F13 records S10 among the seeds it cites. The original is on this sheet (S1-F13), included and coded as FS06, so it is not screened or coded again.</t>
  </si>
  <si>
    <t>Book chapter, not freely available: Unpaywall lists it as closed access with no repository copy (1 October 2026), and the ResearchGate and IGI Global pages could not be read from our environment (rate-limited). It is therefore judged on its first page (p. 315), the screenshot sent, as S10-F41 (also a book chapter) and S7-F38 were judged on what was available. The abstract describes integrating LLMs into software requirements selection to automate requirement analysis, requirements prioritisation and decision-making about which requirements to implement. The object of the model's task is a set of requirements, not a software architecture, so it is out of scope under rule 1; we did not establish whether the chapter was peer reviewed, since the scope decision does not depend on it. We record the year of online publication (2025); the chapter's footer carries copyright 2026. Where it cites S10, and whether it cites other seeds or included studies, could not be checked beyond the first page.</t>
  </si>
  <si>
    <t>Duplicate of S4-F92</t>
  </si>
  <si>
    <t>Same record as S4-F92, reached again through S10: the SSRN entry sent has the same abstract ID (7207018), title and authors. S4-F92 records its citation of S10 (ref. [11]). The original is on this sheet (S4-F92), excluded as not peer reviewed with a revisit note; a web search on 1 October 2026 still found only the SSRN listing, so the decision stands and it is not screened again.</t>
  </si>
  <si>
    <t>A master's thesis, excluded as not peer reviewed on its record, as S1-F15, S4-F80, S4-F94, S4-F96, S8-F47, S8-F55 and S10-F42 were, without reading the full text. Only the title page was sent, so its content and where it cites S10 were not checked. Its title concerns the semantic similarity of LLM explanations across software engineering tasks in general rather than a model task on a software architecture.</t>
  </si>
  <si>
    <t>Same dissertation as S4-F94 (also S8-F44), reached again through S10: the Scholar entry sent links its ProQuest record, with the same title, author (V. Jackson) and year. S4-F94 is excluded as not peer reviewed on its record, so it is not screened again; where it cites S10 was not checked.</t>
  </si>
  <si>
    <t>Preprints.org preprint, marked 'Not peer-reviewed version' on its cover page (v1, posted 22 January 2025, the only version); the preprint page lists no peer-reviewed version, and a web search on 1 October 2026 found only the preprint and its ResearchGate and Sciety listings, so it is excluded on its record. On its abstract it would also be out of scope under rule 1: it proposes an augmented-schema integration layer through which LLMs interact with complex application data systems, so the model is a component of the system rather than performing a task on a software architecture; a peer-reviewed version would therefore still be excluded and no revisit note is needed. Only the cover page was sent, so where it cites S10 and whether it cites other seeds were not checked.</t>
  </si>
  <si>
    <t>Same article as S1-F19 (also S7-F48), reached again through S10: the Scholar entry sent links the journal's article page (usajournal.net, article 1126) with the same title and author. S1-F19 is excluded (peer review not established; its record is dated December 2024 but it cites ICSA 2025 papers) and records S10 among the seeds it cites, so it is not screened again.</t>
  </si>
  <si>
    <t>Duplicate of S3-F09</t>
  </si>
  <si>
    <t>Same preprint as S3-F09, reached again through S10: the Scholar entry sent links SSRN abstract 6799068 with the same title and authors. S3-F09 is excluded as not peer reviewed (and would also be out of scope under rule 1) and records S10 among the seeds it cites, so it is not screened again.</t>
  </si>
  <si>
    <t>Same preprint as S1-F17 (also S3-F10, S7-F49, S8-F53 and S9-F22), reached again through S10: the Scholar entry sent links SSRN abstract 5775315 with the same title. S1-F17 is excluded as not peer reviewed and records S10 among the seeds it cites; a web search on 1 October 2026 still found only the SSRN listing, so the S1-F17 decision and its revisit note stand and it is not screened again.</t>
  </si>
  <si>
    <t>Written in Portuguese, with an English abstract (SBC OpenLib article page read on 1 October 2026). Excluded on the language criterion without further screening. On its abstract it compares LLM-based tools in recommending design patterns for object-oriented applications as support for design decisions; whether the patterns concerned are architectural, which would decide scope under rule 1, was not checked. Revisit if an English, peer-reviewed version appears. Where it cites S10 was not checked.</t>
  </si>
  <si>
    <t>Written in Ukrainian (title and Scholar snippet; roughly 'Methods and tools for cybersecurity analysis and protection of large language models against generating prohibited content on local and cloud servers'). Excluded on the language criterion without further screening; a web search on 1 October 2026 found no record beyond the khai.edu file, so its document type was not established. On its title it concerns the security of the models themselves rather than a model task on a software architecture. Where it cites S10 was not checked.</t>
  </si>
  <si>
    <t>Same paper as S1-F10 (also S4-F71, S4-F108 and S10-F52), listed a second time among the works citing S10 (the first is S10-F52, Scholar's entry for the arXiv version): this Scholar entry links the published version in the ECSA 2026 Springer volume (978-3-032-39143-8), the version read for S4-F108, with the same title. S1-F10 records S10 among the seeds it cites. The original is on this sheet (S1-F10), included and coded as FS05, so it is not screened or coded again.</t>
  </si>
  <si>
    <t>Same paper as S4-F110 (also S5-F30), reached again through S10: the Scholar entry sent links the SBCARS 2026 PDF on the CBSoft 2026 site, with the same title and authors. S4-F110 records its citation of S10 (ref. [17]). The original is on this sheet (S4-F110), included and coded as FS43, so it is not screened or coded again.</t>
  </si>
  <si>
    <t>Same article as S4-F117 (also S7-F55), reached again through S10: the Scholar entry (screenshot as sent) gives the same Portuguese title, authors and journal. S4-F117 is excluded as not in English, so it is not screened again; where it cites S10 was not checked.</t>
  </si>
  <si>
    <t>Written in German (title and Scholar snippet; roughly 'Performance of large language models in fault detection and fault correction in software testing'). Excluded on the language criterion without further screening; the repository file is named as a bachelor's thesis (BA_), so it would also not be peer reviewed. On its title it concerns software testing rather than a model task on a software architecture. Where it cites S10 was not checked.</t>
  </si>
  <si>
    <t>Survey of 194 arXiv papers mentioning ChatGPT (up to 1 April 2023), with trend, word-cloud and domain-distribution analyses and a narrative review of applications (question answering, classification, text and code generation, inference, information extraction, human-ChatGPT collaboration, medicine), ethics, evaluation, limitations and future directions. Software architecture appears only in one summarised study: S11, described in the human-ChatGPT collaboration subsection as turning architecture stories into architecture diagrams and evaluating them with SAAM (Section 2.1.7, p. 8). Architectural model tasks have no research question, section or synthesis of their own, so the review does not meet the review threshold. Peer reviewed (journal article with received and accepted dates). S11 is cited once, as ref. [83] (its arXiv version). It cites no other seed and no included study.</t>
  </si>
  <si>
    <t>PRISMA-based review of 159 publications on generative AI and work productivity across professional sectors (academia and research, engineering and technology, communication, healthcare, agriculture and government, business, computer science), with a bibliometric co-occurrence analysis (Sections 2-4). Software architecture appears only as one row of Table 2 (engineering and technology): S11, summarised as examining architecture-centric software engineering and the role of ChatGPT in software architecture design (Section 3.2, p. 7). Architectural model tasks have no research question, section or synthesis of their own, so the review does not meet the review threshold. Peer reviewed (journal article with received, revised and accepted dates). S11 is cited once, as ref. [37] (the EASE 2023 version). It cites no other seed and no included study.</t>
  </si>
  <si>
    <t>Survey of LLM-based software engineering with open problems, organised by activity: requirements engineering and design, code generation, testing, maintenance and evolution, documentation, analytics, human-computer interaction, process and education (Sections III-XII). Design gets no synthesis: the authors state that they found little work on LLM-based requirements engineering or design (Section III-A, p. 35), and S11 is mentioned once, in a single sentence under human-computer interaction, as exploring how a novice architect could interact with ChatGPT (Section IX, p. 46). Architectural model tasks have no research question, section or synthesis of their own, so the survey does not meet the review threshold. Peer reviewed (ICSE 2023 Future of Software Engineering track, IEEE proceedings). S11 is cited once, as ref. [212] (its arXiv version). It cites no other seed and no included study.</t>
  </si>
  <si>
    <t>Narrative article on the use of ChatGPT in education: its features, workflow elements, applications for teachers and students, and limitations (Sections 3-9), with no model task on a software architecture; the object of every task it discusses is teaching or learning material. S11 is cited once, as ref. [55] within [55-57], for ChatGPT being able to change how humans interact with computers (Section 6, p. 4). It cites no other seed and no included study.</t>
  </si>
  <si>
    <t>Study of activity-based learning and of ChatGPT as an educational tool, combining a literature review with surveys and trials of students' use (Sections 2-5); the object of the model's tasks is teaching and learning, not a software architecture. S11 is cited once, as Ahmad et al. (2023a), in the software-testing row of Table 3 (use of ChatGPT in different domains), for the claim that ChatGPT cannot complete a software testing training programme on its own (Section 2.1, p. 5); the claim does not match S11's content. It cites no other seed and no included study.</t>
  </si>
  <si>
    <t>Primary study: pre-trained LLMs (the best being CodeGen-16B) are fine-tuned on Verilog from GitHub and textbooks to complete partial hardware descriptions, and the generated Verilog is tested for syntactic and functional correctness against GPT-3.5-turbo on a custom problem set with test benches. The object of the model's task is hardware description code, not a software architecture (rule 1). S11 is cited once, as ref. [1] within [1, 8, 18], among work on language models for writing software (Section 1, p. 2). The second author, Baleegh Ahmad, is not S11's first author (Aakash Ahmad). It cites no other seed and no included study.</t>
  </si>
  <si>
    <t>Research agenda built from rapid literature reviews and focus groups, giving 78 open research questions in 11 areas of software engineering (Sections 3-4). It has its own section on software design (Section 4.2, pp. 1814-1815), with seven agenda questions, among them pattern selection and evolving architectures, but its state of the art is a short paragraph summarising a handful of studies in a sentence each (S11; ChatGPT suggesting design patterns; ChatGPT identifying microservices) after the authors state that they found few papers on GenAI for design. Excluded under the review threshold by our decision (3 October 2026): architectural model tasks are not synthesised beyond these one-sentence summaries and forward-looking questions, as in S4-F48 and S10-F21. Peer reviewed (journal article with received, revised and accepted dates). S11 is cited once, as ref. [79], for a novice architect collaborating with ChatGPT to architect a service-based system (Section 4.2.3, p. 1815). It cites no other seed and no included study; its co-author Eduardo Guerra is an author of S1, which it does not cite.</t>
  </si>
  <si>
    <t>Case study in which a hardware engineer and conversational LLMs (ChatGPT-4 for the full design) co-design an 8-bit accumulator-based microprocessor and write its Verilog, which was sent to tapeout. The 'architecture' worked on is a processor's hardware architecture and its HDL code, not a software architecture, so the object of the model's task is out of scope (rule 1). S11 is cited once, as ref. [11], for observational studies of ChatGPT in software (Section I-B, p. 1). It cites no other seed and no included study.</t>
  </si>
  <si>
    <t>Literature review of 123 papers (from 2022 onwards, seven databases) on LLMs in software engineering, organised by seven tasks (code generation, summarisation and translation, vulnerability detection and repair, code evaluation, code management, Q&amp;A interaction) plus other works, with a collation of reported performance (Sections 3-5). It has no category, section or synthesis on software design or architecture. S11 is cited twice, as Ahmad et al. (2023a, its arXiv version): among applications of LLMs in software engineering (Section 1, p. 2) and, in one clause of the Q&amp;A interaction section, for whether LLMs can act as a DevBot (Section 4.7, p. 16). Architectural model tasks are not synthesised, so it falls below the review threshold. Peer reviewed (journal article). It cites no other seed and no included study.</t>
  </si>
  <si>
    <t>Review of over 100 Scopus-indexed publications on ChatGPT, with a taxonomy of the research and its application areas (healthcare, marketing and finance, software engineering, writing, education, environment and others), challenges and future directions. Its software engineering subsection is mostly about coding; architecture appears in one paragraph summarising S11 alone, which used ChatGPT to analyse, synthesise and evaluate the architecture of a service-oriented application (Section 5.3, p. 10). Architectural model tasks have no research question, section or synthesis of their own beyond that single-study summary, so it falls below the review threshold. Peer reviewed (journal article). S11 is cited once, as Ahmad et al. (2023), its arXiv version. It cites no other seed and no included study.</t>
  </si>
  <si>
    <t>Same article as S1-F03 (also S3-F01, S4-F03, S5-F02, S7-F01, S8-F03, S9-F01 and S10-F02), reached again through S11: the link sent is the ScienceDirect article with the same title. S1-F03 records S11 among the seeds it cites. The original is on this sheet (S1-F03), included and coded as FS02, so it is not screened or coded again.</t>
  </si>
  <si>
    <t>Observational study: 24 professional engineers used ChatGPT in their work for a week, and their 180 dialogues and an exit survey were analysed qualitatively, giving a taxonomy of purposes (artifact manipulation, expert consultation, training) and a framework of factors shaping perceived usefulness and trust (Sections 3-4). Most dialogues concern implementation (104 of 180), with 8 in the design stage (Table 3, p. 9); software architecture appears only once, in a list of artefact types participants asked ChatGPT to generate (Section 4.1.1, p. 9), and no architectural dialogue is reported or analysed. The model tasks the study reports and analyses therefore do not have a software architecture as their object (rule 1), unlike S4-F62, where architecture-design conversations were coded and characterised. Peer reviewed: FSE 2024 (PACMSE). S11 is cited once, as Ahmad et al. (2023), for studies of chatbots' helpfulness in decision-making (Section 2, p. 3). It cites no other seed and no included study; it also cites Waseem et al. (2023, arXiv), by S11's authors, on novice developers using ChatGPT.</t>
  </si>
  <si>
    <t>Primary study in programming education: students teach a ChatGPT-based teachable agent (learning by teaching), and the effects on knowledge gains, programming ability and self-regulated learning strategies are measured against a control group (Method and Results). The object of the model's task is programming exercises and students' learning, not a software architecture (rule 1). S11 is cited once, as Ahmad et al. (2023), for dividing a task into parts and managing them in collaboration with ChatGPT being a key skill in human-AI interaction (Discussion, p. 178). It cites no other seed and no included study.</t>
  </si>
  <si>
    <t>Perspective article on the opportunities and challenges of large multimodal foundation models in education, for learners, teachers, educational researchers and developers of educational applications. The model tasks it discusses concern teaching, learning and building educational software; architecture appears only through S11, summarised as an example of human-bot collaborative architecting under collaborative software development (p. 5) and cited for consistency, legal and ethical concerns about ChatGPT in architecture-centric software engineering (p. 7). It neither runs nor specifies a model task on a software architecture (rule 1), and as an overview it synthesises no architectural model tasks beyond one study's summary. Peer reviewed (journal article with received and accepted dates). S11 is cited as ref. [66], six times on those two pages. It cites no other seed and no included study.</t>
  </si>
  <si>
    <t>Systematic literature review of 134 studies (2016-2023) on quantum cryptography and quantum key distribution for network security, answering seven research questions on solutions, threats and countermeasures. It concerns no language model and no model task on a software architecture (rule 1). S11 is cited once, as ref. [21], at the end of the paragraph stating the review's goals for network security (Section I-C, p. 180050); the citation has no evident connection to S11's content. It cites no other seed and no included study.</t>
  </si>
  <si>
    <t>Position paper on how software engineering education should adapt to LLMs: the goals of software engineering education and changes to practice, course content, pedagogy and ethics (Sections 2-4). No model performs, or is specified to perform, a task on a software architecture; architecture appears only as a topic the curriculum should cover (Section 2, p. 667). Peer reviewed: SIGCSE 2024 (ACM). S11 is cited once, as ref. [1] with [3], for curricula exploring ways to incorporate AI (Section 1, p. 667). It cites no other seed and no included study.</t>
  </si>
  <si>
    <t>Roadmap article on human-centred software engineering in the AI era: the impact of AI on developer productivity, tools, collaboration, the profession and education (Section 2), human-centric software systems from intelligent user interfaces and smart ecosystems to AIOps (Section 3), and key research questions (Section 4). It neither runs nor specifies a model task on a software architecture; architecture appears only in passing (for example, generative AI might suggest architectural changes to ease testing, Section 2.2.2, p. 129:9), and no architectural model task is synthesised (rule 1). Peer reviewed (TOSEM). S11 is cited once, as ref. [4] in [4, 49, 127], for AI-implemented development tasks in collaboration practices (Section 2.3.1, p. 129:11). It cites no other seed and no included study.</t>
  </si>
  <si>
    <t>arXiv preprint (v2, 19 May 2025) with no venue, copyright notice or DOI; a web search on 3 October 2026 found only arXiv, ResearchGate and aggregator listings, so it is excluded on its record. It would also be out of scope under rule 1: a review of AI text-generation tools (ChatGPT, Bing Chat, Bard, Ernie) in digital education, with no model task on a software architecture. S11 is cited as ref. [66] for Figures 3 and 4, presented as 'various models of ChatGPT' and the 'architecture of ChatGPT', and for a sentence saying this architecture was evaluated with SAAM on a 'View Bike' component (Section 3.1, pp. 13-14); this misreads S11, whose SAAM evaluation concerns the architecture designed in its case study, not ChatGPT itself. It cites no other seed and no included study.</t>
  </si>
  <si>
    <t>Overview of LLMs in model-driven engineering: background, a guide to adopting LLMs for MDE tasks with an illustrative example (UML models from textual specifications, Section 3.2), a systematic review of 14 LLM4MDE studies grouped by task (Section 4), a research agenda and MDE for LLMs. Architecture appears only as one task category, 'Model architecture', with a single study, S11, summarised in one paragraph (Section 4.5, p. 936) and listed in Table 2 (p. 937); the other categories (model completion, search, generation, management, DSL requirements, goal modelling) concern models, not architectures. Architectural model tasks are not synthesised beyond that single-study summary, so it falls below the review threshold, as S1-F09 and S11-F10. Peer reviewed (journal article with received, revised and accepted dates). S11 is cited as ref. [3] in those two places. It cites no other seed and no included study.</t>
  </si>
  <si>
    <t>Primary study: ChatGPT answers six requirements-elicitation questions on trustworthy AI, and its responses are compared with 30 responses from five RE experts, all rated by five other experts on seven requirements quality attributes (Section III). The object of the model's task is requirements, not a software architecture (rule 1). Peer reviewed: SEAA 2023 (IEEE). S11 is cited once, as ref. [3], summarised in the related work on LLMs in software engineering as a case study of a novice architect collaborating with ChatGPT (Section II-C, p. 355). It cites no other seed and no included study.</t>
  </si>
  <si>
    <t>Literature review of 183 papers on conversational AI in software engineering practice, software engineering education and computing education, with co-occurrence maps and a thematic analysis per research question. Design gets one paragraph in the software-industry findings, which speaks of design generation in general terms (UML models to user-interface layouts), citing S11 among two studies (Section 5.1, pp. 10-11); in Table 1 the six software-design papers include a single 'system architecture' paper (p. 13). Architectural model tasks are not synthesised beyond that, so it falls below the review threshold. Peer reviewed (journal review with named reviewers). S11 is cited twice, as Ahmad et al. (2023), in that paragraph. It cites no other seed and no included study.</t>
  </si>
  <si>
    <t>arXiv preprint (v5, 15 May 2026) with no venue, copyright notice or DOI; a web search on 3 October 2026 found only arXiv, ResearchGate and aggregator pages, so it is excluded on its record. It would also be out of scope under rule 1: a framework of guidelines and a dynamic benchmark (TrustGen) for the trustworthiness of generative foundation models (truthfulness, safety, fairness, robustness, privacy), where the models are the object of evaluation, not performers of a task on a software architecture. S11 is cited once, as ref. [1488] in [1488, 1489, 1490], for GenFMs co-developing software architecture as an example of human-AI collaboration (Section 9.6, p. 90). It cites no other seed and no included study.</t>
  </si>
  <si>
    <t>arXiv preprint (v2, 12 October 2025), also posted on SSRN, with no venue, copyright notice or DOI; a web search on 3 October 2026 found only arXiv, SSRN, Zenodo, ResearchGate and aggregator pages, so it is excluded on its record. It would also be out of scope under rule 1: an LLM-based multi-agent system (27 agents) automates qualitative data analysis (summarisation, initial coding, theme extraction), so the object of the model's task is qualitative research data, not a software architecture. Two of its authors (Waseem, Ahmad) are authors of S11. S11 is cited once, as ref. [11] in [7-12], among SE tasks LLMs perform (Section 1, p. 2). It cites no other seed and no included study.</t>
  </si>
  <si>
    <t>Primary study: GPTSniffer, a classifier built on CodeBERT, detects whether source code was written by ChatGPT or by humans, evaluated on datasets collected from GitHub and ChatGPT and compared with GPTZero and the OpenAI Text Classifier. The object of the model's task is source code, not a software architecture (rule 1). Peer reviewed (journal article). S11 is cited once, as Ahmad et al. (2023), summarised in the related work on ChatGPT in software engineering as testing ChatGPT's help to a software architect (Section 7.2, p. 14). It cites no other seed and no included study.</t>
  </si>
  <si>
    <t>Study (presented by its authors as a technical report) of ChatGPT programming numerical algorithms: generating, debugging, completing, translating and parallelising code for problems such as the Poisson, diffusion and Navier-Stokes equations, and recognising human- or machine-written code. The object of the model's tasks is numerical code, not a software architecture (rule 1). S11 is cited once, as Ahmad et al. (2023), for ChatGPT having been examined for developing software (Section 1, p. 2). It cites no other seed and no included study.</t>
  </si>
  <si>
    <t>Exploratory study mining developer-ChatGPT conversations (17,913 prompts and responses) for refactoring requests, classifying how developers state refactoring needs and how ChatGPT answers them (Sections 2-3). The object of the conversations analysed is code refactoring, not a software architecture (rule 1). Peer reviewed: MSR 2024. S11 is cited once, as ref. [3] in a list of twelve, among studies of LLMs in software engineering tasks (Section 1, p. 202). It cites no other seed and no included study.</t>
  </si>
  <si>
    <t>Primary study (approach with a case study): meta-model based prompt templates lead ChatGPT through four SDLC steps for an employee pension application: requirements specification (processes, activities, rules), design specification (entities and relationships, five service classes with operation signatures, screens), code (service, DAO and input-output classes, screens, database schemas) and test cases (Sections 3-5). The application architecture is an input to the prompts (the technology stack and the presentation, service and data layers of the meta-model), so the object of the model's tasks is the requirements, the detailed design within that given architecture and the code, not a software architecture (rule 1). It is the earlier version of the approach logged as S4-F77 (APSEC 2024, same group and case), excluded on the same grounds. Peer reviewed: ISEC 2024 (ACM). S11 is cited once, as ref. [11], in the related work on architecture and design (Section 2, p. 2). It cites no other seed and no included study.</t>
  </si>
  <si>
    <t>Vision paper on AI for software engineering: its history, the challenges of trustworthy and synergistic AI4SE, a vision of Software Engineering 2.0 and two roadmaps. It neither runs nor specifies a model task on a software architecture (rule 1); architecture appears only in one clause listing less-explored areas where LLM research has begun. S11 is cited once, as ref. [97], for that clause, 'designing software architecture' (Section IV-A, p. 76). Peer reviewed (ICSE 2023 Future of Software Engineering track). It cites no other seed and no included study.</t>
  </si>
  <si>
    <t>Qualitative study (ethnographic interviews and participatory observation) of how game development interns in a summer programme perceived and used generative AI, focusing on their resistance and ethical commitments. No model performs a task on a software architecture (rule 1). Peer reviewed: CHI 2024 (ACM). S11 is cited once, as ref. [2] in a list of five, among studies of generative AI in software engineering (Section 1, p. 1). It cites no other seed and no included study.</t>
  </si>
  <si>
    <t>Primary study: GPT-4's comprehension of the Goal Structuring Notation is tested, and four experiments have it generate safety cases for given systems, compared with ground-truth safety cases (for example, for an X-ray system). The object of the model's task is safety-assurance arguments, not a software architecture (rule 1). Peer reviewed (journal article). S11 is cited once, as Ahmad et al. (2023), summarised in the related work as a case study of a novice architect and ChatGPT architecting service-based software (Section 2.2, p. 4). It cites no other seed and no included study.</t>
  </si>
  <si>
    <t>Multivocal literature review of 107 sources (79 formal, 28 grey) on bots and conversational agents in software engineering: a taxonomy of bots, challenges of adopting and developing them, and mitigation strategies. Its topic is bots as systems used in development; where architecture appears, it is the architecture of the bots themselves (client-server designs, framework integration), so the models are components of the systems being built and perform no task on a software architecture (rule 1, as S4-F56); it synthesises no architectural model task. Peer reviewed (ACM Computing Surveys). S11 is one of its formal sources, [A48], cited eight times: among documentation bots and generative AI writing commit messages (Section 4.1.3, pp. 93:14-93:15) and among the challenges of developing bots, such as choosing frameworks, architecting bots and meeting non-functional requirements (Section 4.2.3, p. 93:19). It cites no other seed and no included study.</t>
  </si>
  <si>
    <t>Exploratory study in a requirements analysis and modelling course: 45 undergraduate students used LLMs (such as ChatGPT) to create a use case model, a class diagram and a sequence diagram for an order-processing case, and their reports were analysed for how well the LLMs identified modelling elements and how output formats affected results (RQ1-RQ4). The object of the model's tasks is requirements-analysis models of the system's use cases, classes and interactions, not a software architecture (rule 1; the class model would also fall under rule 4), as for S6-F01. Peer reviewed: SSE 2024 (IEEE). Its third author, Peng Liang, is an author of S11. S11 is cited twice, as ref. [3]: among LLM uses in software architecture (Section I, p. 249) and summarised as a novice architect collaborating with ChatGPT (Section II, p. 250). It cites no other seed and no included study.</t>
  </si>
  <si>
    <t>Systematic literature review of 118 publications on how LLMs support the design process (Discover, Define, Develop, Deliver) in product, industrial and related design fields, with their strengths, limitations and roles. The design objects it reviews are products, services and user experiences, not software architectures, and it synthesises no architectural model task (rule 1). Peer reviewed (journal review). S11 is cited twice, as ref. [154], for LLMs generating content that builds emotional connection and engagement with products (pp. 8 and 14); the citation does not match S11's content. It cites no other seed and no included study.</t>
  </si>
  <si>
    <t>Synthetic knowledge synthesis (bibliometric mapping with thematic analysis) of 9,046 publications on AI in software engineering, giving research themes and future directions. Individual architectural model tasks are not synthesised; architecture appears only in the reference list, so it falls below the review threshold. Peer reviewed (journal article). S11 is cited once, as ref. [98], for collaborative development ecosystems in which AI partners with human developers (Section 3, p. 9). It cites no other seed and no included study.</t>
  </si>
  <si>
    <t>Included as FS57</t>
  </si>
  <si>
    <t>Primary study (case study): ChatGPT-4 is prompted, with role personas, to recreate a personalised automatic messaging system (PAMS) that the team had built for a digital diabetes prevention programme, from behaviour-change theory and personas through user stories and requirements to an architectural diagram and code, and 11 evaluators rate its outputs against the team's own on Likert scales. In scope (rule 1), included by our decision (3 October 2026): in the architectural-design step the model, given its own requirements and the constraints AWS, a microservice approach, REDCap and Twilio, produces the architecture of the system to be built, shown beside the team's diagram (Figure 5, p. 9) (1.1); the evidence on it is thin, since the architecture diagram and the code were rated together and most evaluators answered N/A for them (p. 10). Peer reviewed: JMIR Human Factors, with two named peer reviewers and a dated review history (p. 12). S11 is cited twice, as ref. [4]: for ChatGPT as a coding copilot in programming and engineering (Introduction, p. 2) and as evaluated as a tool for collaborative software design (Related Work, p. 12). It cites no other seed and no included study.</t>
  </si>
  <si>
    <t>Primary study: MAGDA, a tool using an LLM with few-shot prompting, suggests modelling elements for domain models (domain concepts and their relationships), evaluated in a user study with 30 participants in Montreal and Malaga. The object of the model's task is a domain model, a knowledge artefact rather than a software architecture (rule 4; also rule 1). Peer reviewed (TOSEM). S11 is cited once, as ref. [2], for GPT models used in software architecture (Section 2.2, p. 112:4). It cites no other seed and no included study.</t>
  </si>
  <si>
    <t>Primary study: a federated-learning set-up fine-tunes Llama2-7B for code summarisation without sharing the clients' code, compared with centrally trained models. The object of the model's task is code and its summaries, not a software architecture (rule 1). Peer reviewed: EASE 2024 (ACM). S11 is cited once, as ref. [1] with [31], for the GPT family (Section 7, p. 107). It cites no other seed and no included study.</t>
  </si>
  <si>
    <t>Qualitative study: a thematic analysis of a three-hour workshop in which 22 professional software engineers worked with ChatGPT on coding tasks for two and a half hours, giving themes on human-AI interaction, ChatGPT's capabilities and its limitations. The tasks were coding tasks, so no model task has a software architecture as its object (rule 1). Peer reviewed: IWSiB 2024 (ACM). S11 is cited once, as ref. [18], summarised in the related work as exploring ChatGPT in architecture processes (Section 2, p. 2). It cites no other seed and no included study.</t>
  </si>
  <si>
    <t>arXiv preprint (v2, 22 February 2024) with no venue, copyright notice or DOI; a web search on 3 October 2026 found only arXiv and aggregator pages, so it is excluded on its record. It would also be out of scope under rule 1: SecRepair, an LLM fine-tuned with reinforcement learning and a semantic reward, repairs vulnerable code and describes the vulnerability, so the object of the model's task is code. S11 is cited twice, as Ahmad et al. (2023), among AI tools said to have improved software architecture and development and AI-assisted software development (Introduction, pp. 1-2). It cites no other seed and no included study.</t>
  </si>
  <si>
    <t>Mixed-methods study (interviews with 14 students and 13 faculty members, then a survey of 54 students and 42 faculty members) of the drivers and factors by which generative AI improves the productivity of engineering faculty and students. No model performs a task on a software architecture (rule 1). Peer reviewed (journal article). The authors also wrote S11-F02. S11 is cited once, as ref. [1], for generative AI revolutionising industries (Section 1, p. 2). It cites no other seed and no included study.</t>
  </si>
  <si>
    <t>Survey study analysed with PLS-SEM on how a tourism destination chatbot affects tourists' satisfaction, continued-usage intention and intention to visit Quito. The chatbot is the system studied, and no model performs a task on a software architecture (rule 1). Peer reviewed (journal article). S11 is cited once, as Ahmad et al. (2023), for the Transformer architecture of ChatGPT meriting further exploration (Section 2.1, p. 9385); the claim does not match S11's content. It cites no other seed and no included study.</t>
  </si>
  <si>
    <t>arXiv preprint (v1, 23 January 2024) with no venue, copyright notice or DOI; a web search on 3 October 2026 found only arXiv, Semantic Scholar and aggregator pages, so it is excluded on its record. It would also be out of scope under rule 1: an interview study (n=20) of the ethics of LLMs in computer-science higher education, in which no model performs a task on a software architecture. S11 is cited once, as ref. [2], for LLMs helping with complex software architecting tasks (Section 2.2, p. 3). It cites no other seed and no included study.</t>
  </si>
  <si>
    <t>Interview study: semi-structured interviews with 16 early-adopter software professionals on how LLM tools affected people, processes, products and society in their work in early to mid 2023, analysed thematically. No model performs a task in the study; participants report minimal LLM use in requirements gathering and growing use for design ideation and problem decomposition, and six of them name software architecture among the fundamentals people must keep (arXiv version pp. 3, 27); no architectural model task is reported or analysed, so no model performs, or is specified to perform, a task on a software architecture (rule 1, as S10-F06 and S10-F11). The PDF sent is the arXiv preprint (v2); the Springer page confirms the peer-reviewed EMSE version (checked 3 October 2026), so the record is screened as that paper. The preprint read does not cite S11 (its reference list has no entry for it); where the published version cites S11 was not checked. It cites no other seed and no included study.</t>
  </si>
  <si>
    <t>Narrative review of ChatGPT for customer and patient service management in business and healthcare (features, perspectives, enablers, applications and limitations). No model performs a task on a software architecture, and no architectural model task is synthesised (rule 1). Peer reviewed (journal review article). Two of its authors (Javaid, Haleem) also wrote S11-F04. S11 is cited once, as ref. [134] within [133-137], for businesses saving money by using ChatGPT in customer service (Section 5, p. 396); the claim does not match S11's content. It cites no other seed and no included study.</t>
  </si>
  <si>
    <t>Vision paper with preliminary results: a pipeline of GPT-based agents (eight in the preprint read; twelve according to the published abstract) generates code from high-level descriptions across the life cycle, from planning and requirements to testing. Excluded under rule 1 by our decision (3 October 2026): architecture appears only in one sentence saying that a system-design agent turns requirements into system blueprints and another agent checks the design for flaws (Section 4, p. 3); the design is neither shown nor evaluated, and the object of the tasks reported is the code. The Springer chapter page confirms the peer-reviewed XP 2024 Workshops version (checked 3 October 2026). It shares its second author (Waseem) with S11 (family F8). S11 is cited once, as ref. [1] with [4] and [32], among studies exploring GPT models in software engineering (Section 2, p. 2). It cites no other seed and no included study.</t>
  </si>
  <si>
    <t>Exploratory study comparing 243 pull requests that list ChatGPT prompts with a sample of 384 without, and classifying what developers used ChatGPT for. The tasks are mostly code-related; system design is one sub-topic of the 'Recommendations' topic, which covers 5% of prompts (27.27% of that topic), with no architectural conversation analysed, so no model task with a software architecture as its object is reported or analysed (rule 1, as S11-F12). Peer reviewed: MSR 2024. S11 is cited twice, as ref. [20], for natural-language interaction and the impact of LLMs on daily life (Section 1, p. 212). It cites no other seed and no included study.</t>
  </si>
  <si>
    <t>Review of 64 AI learning tools for children and their static and interactive design features. No model performs a task on a software architecture (rule 1). Peer reviewed: CHI 2025 (ACM). S11 is cited once, as ref. [3], as an example of AI applications such as ChatGPT (Section 1, p. 2). It cites no other seed and no included study.</t>
  </si>
  <si>
    <t>Two experimental studies and a replication in organisational psychology on how using AI while helping a co-worker changes perceived warmth, felt obligation and reciprocity. No model performs a task on a software architecture (rule 1). Peer reviewed (journal article). S11 is cited once, as Ahmad et al. (2023), for software developers delegating coding tasks to ChatGPT (p. 4 of the PDF). It cites no other seed and no included study.</t>
  </si>
  <si>
    <t>arXiv preprint (v1) with no venue, copyright notice or DOI; a web search on 3 October 2026 found only arXiv, Zenodo and aggregator pages, so it is excluded on its record. It would also be out of scope under rule 1: a multi-model platform generates code from natural-language prompts and 60 practitioners assess the code, so the object of the model's task is code. Two of its authors (Waseem, Ahmad) are authors of S11. S11 is cited once, as ref. [1] in a list of five, for LLMs supporting collaboration in software projects (Section 1, p. 2). It cites no other seed and no included study.</t>
  </si>
  <si>
    <t>Overview paper on the ChatGPT API and how to integrate it into software, with its applications and advantages. The model is a component of the software being built and performs no task on a software architecture (rule 1). Peer review was not examined further, since the scope decision does not depend on it. S11 is cited once, as ref. [15], summarised in the related work as a case study of a novice architect and ChatGPT designing service-based software (p. 28). It cites no other seed and no included study.</t>
  </si>
  <si>
    <t>Primary study: GeneUS, a GPT-4 based tool, generates user stories with test case specifications from requirements documents, assessed through the RUST survey sent to 50 developers. The object of the model's task is requirements and tests, not a software architecture (rule 1); an 'architecture_design' item appears only as a definition-of-done entry in an example output. The PDF sent is an arXiv preprint; a related paper by the same authors, 'Take Loads Off Your Developers: Automated User Story Generation using Large Language Model', appears on ResearchGate, but whether it is a peer-reviewed version of this one was not checked, since the record is out of scope on its content. S11 is cited once, as ref. [23], for collaborative architecture design with a pre-trained LLM (Section II, p. 3). It cites no other seed and no included study.</t>
  </si>
  <si>
    <t>Included as FS58</t>
  </si>
  <si>
    <t>Primary study (project-based study with surveys): seven first- and second-year undergraduates in two teams used ChatGPT (GPT-3.5 and GPT-4) as a development bot for three months on three real projects, from requirements to deployment, and an exit survey of 114 Likert questions asked about its effectiveness, advantages and limitations in each phase, their learning and their difficulties. In scope (rule 1), included by our decision (3 October 2026): in the design phase the model worked on the architecture of the students' systems, and the survey reports on that use (5 of 7 agreed it led to clearer, scalable architectures, 7 that it aligned architectural decisions with project constraints, with items on architecture representation, architectural decision-making, design oversimplification and architectural expertise neglect; Section 4.2, p. 5), a human-centred study like S11 and FS26, though no architectural conversation or artefact is reported. Peer reviewed: ENASE 2024 (SciTePress), pp. 406-413, confirmed on the SciTePress PDF (3 October 2026); the arXiv version was read. It is by S11's authors (Waseem, Ahmad, Liang, Fahmideh, Mikkonen), so it joins S11's main-corpus family F8. S11 is cited three times, as Ahmad et al. (2023): among practical applications of GPTs (Section 1, p. 1), in the related work on ChatGPT-assisted design (Section 2.1, p. 2) and for AI tools facilitating design phases (Section 5, p. 7). It cites no other seed and no included study.</t>
  </si>
  <si>
    <t>Duplicate of S11-F10</t>
  </si>
  <si>
    <t>Earlier preprint of S11-F10, reached again through S11: the SSRN version (abstract 4413921, 'Preprint submitted to Elsevier') of the same authors' review, under an earlier title ('The Future of GPT: ...'), with the same paragraph summarising S11 as the only architectural study (p. 8 of 22). As an earlier preprint of a published record it is logged as a duplicate of S11-F10, which is excluded under the review threshold, so it is not screened again.</t>
  </si>
  <si>
    <t>Case study of how ten mathematics teacher candidates used ChatGPT to develop lesson plans over eight weeks, analysed with the instrumental approach. The object of the model's task is lesson plans, not a software architecture (rule 1). Written in English (Turkish title and abstract given as well). S11 is cited once, as Ahmad et al. (2023), in the discussion (p. 174). It cites no other seed and no included study.</t>
  </si>
  <si>
    <t>Primary study on GPT generating follow-up questions in unmoderated usability studies and how useful participants' answers to them are. The object of the model's task is usability-study questions, not a software architecture (rule 1). Peer reviewed (journal article). S11 is cited once, as Ahmad et al. (2023), among studies of LLMs in human-computer interaction (Introduction, p. 9752). It cites no other seed and no included study.</t>
  </si>
  <si>
    <t>Same paper as S4-F16 (also S7-F03 and S8-F08), reached again through S11: the PDF sent has the same title and authors. S4-F16 records S11 among the seeds it cites (here ref. [26], Section II, p. 2). The original is on this sheet (S4-F16), included and coded as FS15, so it is not screened or coded again.</t>
  </si>
  <si>
    <t>Design-science study proposing a no-code approach that combines low-code development with ChatGPT, generating application components from natural-language descriptions, validated through a focus group of experts. The object of the model's task is application content and code within a low-code platform, not a software architecture (rule 1). Peer reviewed (journal article). S11 is cited once, as Ahmad et al. (2023), for textual descriptions of the problems to be addressed (p. 8). It cites no other seed and no included study.</t>
  </si>
  <si>
    <t>Study in building-architecture education: an AI-based teaching model, using ChatGPT-4o among other tools, to assess and improve students' emotional intelligence, piloted with students. 'Architecture' here is the design of buildings, and no model performs a task on a software architecture (rule 1). Peer reviewed (journal article). S11 is cited once, as ref. [29], for improvements in academic performance (p. 16); the citation does not match S11's content. It cites no other seed and no included study.</t>
  </si>
  <si>
    <t>Conjoint survey study of when users want explanations from generative AI, how they prefer them and what should be explained. No model performs a task on a software architecture (rule 1). Peer reviewed (journal article). The PDF sent does not cite S11: neither its text nor its reference list contains S11 or its authors; whether Google Scholar linked it in error was not checked.</t>
  </si>
  <si>
    <t>arXiv preprint (v1) in the ACM template with a placeholder venue ('Conference’17') and DOI; a web search on 3 October 2026 found only arXiv and aggregator pages, so it is excluded on its record. On its content it might be in scope (rule 1): its multi-agent platform includes an architecting agent that turns prioritised user stories into PlantUML diagrams described as depicting the system architecture (Section 3.3, Algorithm 2, pp. 3-5), although the abstract names the deliverables as UML sequence diagrams; revisit if a peer-reviewed version appears. It would join family F8 through Waseem, an author of S11. S11 is cited once, as ref. [3] with [23], for requirements in the development process (Section 1, p. 1). It cites no other seed and no included study.</t>
  </si>
  <si>
    <t>Included as FS61</t>
  </si>
  <si>
    <t>Primary study (empirical evaluation): GPT-4-turbo generates four UML diagram types (class, deployment, use case and sequence) for the iCoot car rental system as PlantUML code, from prompts built with a rule-based zero-shot prompt framework, and 121 students at three U.S. universities rated, element by element, the completeness and correctness of the generated diagrams and of the textbook's own diagrams (Sections 3-4, pp. 4-16). In scope (rule 1), included by our decision (3 October 2026): the deployment diagram is the system's physical deployment architecture across client, application-server and database-server tiers, and the model generates it (RQ2; Section 4.2.2, p. 15; Appendix B, pp. 23-26) (1.1). The class, use case and sequence diagrams are analysis and design models, as for S11-F32, and are coded as related activity. Peer reviewed: Information (MDPI), with an academic editor and a revision round (received 23 May, revised 20 June, accepted 27 June 2025). S11 is cited once, as ref. [4], for LLMs in software architecture design (Section 1, p. 1). It cites no other seed and no included study; it benchmarks its correctness scores against the arXiv version of S11-F32 (ref. [27]), which we excluded.</t>
  </si>
  <si>
    <t>Comparative case study: five LLMs (ChatGPT, Claude, Copilot, Gemini, Meta) carry out nine activities of a UML-based process (requirements, use cases, domain model, system operations, sequence diagrams, design class diagrams, code, tests) for a food delivery system and a smart wallet system, scored for reliability and similarity. The design activities are class-level object-oriented design (sequence and design class diagrams), not a software architecture (rule 1, as S4-F25 and S10-F31). Peer reviewed (journal article). S11 is cited once, as ref. [29], summarised in the related work as exploring ChatGPT in software architecture (Section 2, p. 3). It cites no other seed and no included study.</t>
  </si>
  <si>
    <t>Comparative overview of AI-driven automation tools for software development (code generation, testing and related tools). No model performs a task on a software architecture (rule 1); peer review was not examined, since the scope decision does not depend on it. S11 is cited once, as ref. [6] within [4-6], for automating boilerplate code and repetitive logic (p. 1640). It cites no other seed and no included study.</t>
  </si>
  <si>
    <t>Primary study: ChatGPT and Bard repair 58 Ansible script revisions for edge-cloud infrastructures. The object of the model's task is infrastructure scripts, not a software architecture (rule 1). Peer reviewed (journal article). S11 is cited once, as ref. [2] in a list, for ChatGPT's performance on software engineering tasks (Section 1, p. 890). It cites no other seed and no included study.</t>
  </si>
  <si>
    <t>arXiv preprint (v1) with no venue, copyright notice or DOI; a web search on 3 October 2026 found only arXiv, ResearchGate and aggregator pages, so it is excluded on its record. It would also be out of scope under rule 1: LLM-based agents generate and prioritise requirements, so the object of the model's task is requirements. It shares an author (Waseem) with S11. S11 is cited once, as ref. [24] with [25] and [12], among studies of GPT models in software engineering (Section 2, p. 4). It cites no other seed and no included study.</t>
  </si>
  <si>
    <t>Case study at a large Brazilian media company: questionnaires and interviews with developers on how they use generative AI tools and with what effect. No model performs a task in the study; developers report using the tools mostly for code, and see high-level architectural design as work requiring human creativity, so no architectural model task is reported or analysed (rule 1, as S10-F06 and S10-F11). Peer reviewed: ICSE-SEIP 2025. S11 is cited once, as ref. [5], for LLMs in software architecture (Section I, p. 330). It cites no other seed and no included study.</t>
  </si>
  <si>
    <t>Written in Portuguese, with an English title and abstract. A systematic mapping review of how natural-language generative AI tools affect requirements, design and architecture, development and testing. Excluded on the language criterion without further screening; whether its design and architecture findings would meet the review threshold was not checked. S11 is one of its included studies (E10, in its list of selected studies).</t>
  </si>
  <si>
    <t>arXiv preprint (v1, 12 June 2024) marked 'A PREPRINT', with no venue or DOI; a web search on 3 October 2026 found only arXiv, Semantic Scholar, ResearchGate and aggregator pages, so it is excluded on its record. It would also be out of scope under rule 1: an LLM-based tool generates test case scenarios from user stories. It shares an author (Waseem) with S11. S11 is cited once, as Ahmad et al. (2023), with Barke et al. (2023), for GUI testing (p. 3); the citation does not match S11's content. It cites no other seed and no included study.</t>
  </si>
  <si>
    <t>Included as FS59</t>
  </si>
  <si>
    <t>Primary study (approach with an evaluation): TTool-AI, an extension of the SysML toolkit TTool, has GPT-3.5 Turbo generate SysML block diagrams (blocks, attributes, signals, ports and connections) and then state machines from natural-language system specifications, with injected knowledge on the expected JSON format and SysML constraints and an automated feedback loop that returns format and constraint errors to the model; on three systems from European projects its block diagrams are graded higher than those of about 15 master's students (Sections 3-5, pp. 29-37). In scope (rule 1), included by our decision (3 October 2026): the block diagram is the component-and-connector structure of the system to be built, which the authors present as preliminary design for system architects and which is graded on whether 'the proposed architecture meet[s] the specification' (1.1). Peer reviewed: MODELSWARD 2024 (SciTePress), pp. 27-38. S11 is cited once, in the related work, as a more architecture-oriented study using ChatGPT for architecture tasks, requirements, UML models and evaluation (Section 6, p. 37). It cites no other seed and no included study.</t>
  </si>
  <si>
    <t>Included as FS60</t>
  </si>
  <si>
    <t>Primary study (approach with an evaluation): an extension of TTool-AI generates SysML use case diagrams and block diagrams from a specification under formally defined internal consistency rules, then has an LLM (GPT-4) detect inconsistencies between the two diagrams and within each, and regenerate them to correct those found; on three systems (automated braking, space-based, dynamic positioning) 69 relevant inconsistencies were detected in 24 diagram checks and 87% were corrected (Sections 3-5, pp. 3-10). In scope (rule 1), included by our decision (3 October 2026): the block diagram is the system's logical architecture, and the model generates it and checks and repairs its consistency with the use cases (1.1, 1.4). Peer reviewed: MODELS 2024 (ACM). It builds on FS59 (TTool-AI, ref. [3]) by the same authors, so it joins family SF37. S11 is cited once, as ref. [2], for an overview of ChatGPT in software architecture tasks, including requirements, UML models and their evaluation (Section 2.2, p. 2). It cites no other seed; of the included studies it cites FS59 (ref. [3]).</t>
  </si>
  <si>
    <t>Exploratory study: AI-SME, a CATIA Magic plugin, has GPT-4 Turbo generate SysML requirements, block definition diagrams and internal block diagrams for a model rocket from a mission statement and stakeholder desires; nine generated models (three prompts, three runs each) are compared qualitatively with one human modeller's model, and generation took 99.6 seconds against about 10 hours (pp. 4-14). Excluded under rule 1 by our decision (3 October 2026): the system modelled is a physical product (airframe, fins, propulsion, recovery and payload), so the object of the model's task is the structure of a hardware system, not a software architecture. Published in the INCOSE International Symposium 2024 (Wiley), found by a web search on 3 October 2026; the PDF sent is the authors' working draft, which keeps a blind-review placeholder '(Author, 2015)' (p. 11). S11 appears only in the reference list (pp. 15-16); the draft does not cite it in the text. It cites no other seed and no included study.</t>
  </si>
  <si>
    <t>Study in which five LLMs (ChatGPT, Claude, Copilot, Gemini and Meta) refactor the code of two case systems to apply the Factory Method, Strategy, Composite, Observer and Singleton patterns, assessed against pattern properties specified in predicate logic with three metrics. The object of the model's task is object-oriented code and class-level design patterns, not a software architecture (rule 1). Peer reviewed (journal article). S11 is cited twice, as Ahmad et al. (2023): among studies of LLMs in architectural design (Section 1, p. 1) and summarised as a framework for human-bot collaboration in architectural design (Section 2, p. 2). It cites no other seed; of the included studies it cites FS58 (Waseem et al., 2024; Section 2, p. 3).</t>
  </si>
  <si>
    <t>Study of LLM-based classification of issue reports (GPT-4o and DeepSeek R1) on NLBSE competition datasets. The object of the model's task is issue reports, not a software architecture (rule 1). Peer reviewed (journal article). S11 is cited once, as ref. [2], described as exploring service-based software with AI-powered bots (Section 2, p. 3). It cites no other seed and no included study.</t>
  </si>
  <si>
    <t>arXiv preprint (v4, 22 August 2026) with no venue, copyright notice or DOI; a web search on 3 October 2026 found only arXiv, Semantic Scholar, ADS and aggregator pages, so it is excluded on its record. It would also fall below the review threshold: a general survey of human-AI collaboration with foundation models in which software architecture appears only as one example among many, with no synthesis of architectural model tasks. S11 is cited twice, as ref. [3]: in the table of topics under collaboration patterns and role allocation (Table 1, p. 5) and among works on LLMs aiding tasks from brainstorming to architectural design (Section 3.2, p. 14). It cites no other seed and no included study.</t>
  </si>
  <si>
    <t>Same article as S4-F20 (also S4-F85, S7-F05, S7-F37, S8-F10 and S8-F40), reached again through S11: the PDF sent is the ACM TAAS version with the same title, authors and DOI. S4-F20 logs it as the main-corpus study S20, included and coded in the main workbook, so it is not screened or coded again. S11 is cited once, as ref. [1] with [15], for software architecture analysis and generation (Section 2.2, p. 4). It also cites S4, S7 and S8, and FS15, its conference version.</t>
  </si>
  <si>
    <t>Study that text-mines 715 refactoring-related developer-ChatGPT interactions from 29,778 prompts and responses, identifies their themes and proposes a refactoring prompt template. The object of the model's task is code refactoring, not a software architecture (rule 1). Peer reviewed: CASCON 2025 (IEEE). S11 is cited once, as ref. [2] with [1], for LLMs performing tasks that depend on human intervention (Section I, p. 389). It cites no other seed and no included study.</t>
  </si>
  <si>
    <t>Exploratory study of developer-ChatGPT conversations about refactoring, filtered by refactoring keywords. The object of the model's task is code refactoring, not a software architecture (rule 1). Peer reviewed: MSR 2024 (5 pp.). S11 is cited once, as ref. [1] with others, among applications of ChatGPT in refactoring (Section 1, p. 207). It cites no other seed and no included study.</t>
  </si>
  <si>
    <t>Study comparing ChatGPT and Copilot on 60 LeetCode problems in Python, including ChatGPT's ability to correct itself after feedback, for correctness, error types and code quality. The object of the model's task is code, not a software architecture (rule 1). Peer reviewed: SANER 2024 companion (IEEE). S11 is cited once, as ref. [11]: ChatGPT could help in the architecture stage of design, but more studies are needed (Section II-B, p. 94). It cites no other seed and no included study.</t>
  </si>
  <si>
    <t>Exploratory study in which ChatGPT obtained pharmacokinetic parameters from the literature, generated a population pharmacokinetic model for factor VIII in R and built a Shiny application to show the results. The object of the model's task is a pharmacokinetic model and analysis code, not a software architecture (rule 1). The PDF sent is the Authorea preprint, marked as not peer reviewed; a web search on 3 October 2026 found the article published in the British Journal of Clinical Pharmacology (2024), so it is excluded on scope rather than on peer review. S11 is cited once, as ref. 19 with ref. 20, for ChatGPT helping users debug code (Discussion, p. 3); the citation does not match S11's content. It cites no other seed and no included study.</t>
  </si>
  <si>
    <t>Preprint with no venue, copyright notice or DOI in the PDF; a web search on 3 October 2026 found it only on EdArXiv (OSF), ResearchGate and an aggregator, so it is excluded on its record. It would also fall below the review threshold: an overview of opportunities and challenges of multimodal foundation models in education, in which software architecture appears only through S11. S11 is cited five times, as ref. [66]: as an example of collaborative programming in architecture-centric software engineering, including ethical and socio-technical considerations (opportunities section, p. 7), and for consistency, intellectual property, bias and the need for further studies (challenges section, pp. 9-10). It cites no other seed and no included study.</t>
  </si>
  <si>
    <t>Study in which ChatGPT-4 was asked a series of questions to run the life cycle of an ERP project: a flowchart, the life-cycle phases, the activities of each phase, a UML diagram of the phases, an entity-relationship diagram, and then coding and testing. For the design phase it listed generic activities (system architecture design, database design, user interface design and others) but designed no architecture; its diagrams show the development process and a database schema (rule 1; the schema would also fall under rule 4). Peer reviewed (journal article, with received, revised and accepted dates). S11 is cited twice, as ref. [6]: summarised as research on how architecture-centric software engineering can benefit from ChatGPT (Section 1, p. 230), and with refs. [4] and [5] for positive and negative aspects of ChatGPT (Section 4, p. 239). It cites no other seed and no included study.</t>
  </si>
  <si>
    <t>Study in which GPT-3.5 Turbo (16k) generates code that simulates participant behaviour in experience sampling studies, refined by iterative in-context learning. The object of the model's task is simulation code, not a software architecture (rule 1). Peer reviewed: PACM HCI (EICS 2024). S11 is cited once, as ref. [2] with others, for LLMs used as programming assistants in professional settings (Background, p. 4). It cites no other seed and no included study.</t>
  </si>
  <si>
    <t>Mixed-methods study: a survey of 114 blockchain and smart contract developers, and an evaluation of smart contracts generated by ChatGPT, Gemini and ChainGPT against human-written ones with static analysis and unit tests. The object of the model's task is smart contract code, not a software architecture (rule 1). Peer reviewed: BSCI 2025 (ACM). S11 is cited once, as ref. [7], for ChatGPT supporting software design (Section 3.2.2, p. 5). It cites no other seed and no included study.</t>
  </si>
  <si>
    <t>Approach with a controlled experiment: ECHO, a co-prompting process with ChatGPT for improving the quality of UML use cases, evaluated with seven software engineering professionals. The object of the model's task is use cases, that is, requirements, not a software architecture (rule 1). Peer reviewed: SEAA 2023 (IEEE). S11 is cited once, as ref. [18] with [17], for LLMs supporting development tasks including architectural analysis (Section II, p. 54). It cites no other seed and no included study.</t>
  </si>
  <si>
    <t>Qualitative study based on semi-structured interviews with ten industry professionals about the benefits, challenges and perceptions of using generative AI tools such as ChatGPT and Copilot in development projects. No model performs a task on a software architecture (rule 1). Peer reviewed: SAICSIT 2024 (Springer CCIS). S11 is cited once, as ref. 1, for ChatGPT's applications in translation, writing, code generation, debugging and testing (Section 1, p. 362). It cites no other seed and no included study.</t>
  </si>
  <si>
    <t>Preprint in a conference template whose DOI is a placeholder and whose repository link is anonymised, so no publication is shown; a web search on 3 October 2026 found only arXiv, ResearchGate and aggregator pages, so it is excluded on its record. It would also be out of scope under rule 1: SecRepair, an instruction-tuned LLM system, identifies, describes and repairs vulnerable source code. S11 is cited twice, as ref. [34] with others, for weak implementations generated by LLM-based tools (Section II, p. 3) and among AI-assisted development tools (Section VII, p. 13); the citation does not match S11's content. It cites no other seed and no included study.</t>
  </si>
  <si>
    <t>Empirical study of LLMs generating SysML activity, state machine and sequence diagrams from requirements, with a published dataset of 107 behaviour models, an analysis of syntactic and semantic hallucinations and model-checking rules to reduce them. The object of the model's task is behaviour models of system dynamics, not a software architecture (rule 1, as for S11-F32); structure diagrams are not generated. Peer reviewed: Internetware 2025 (ACM). S11 is cited twice, as ref. [1]: as GPT evaluated as an architecture assistant whose strategy biases conflicted with specific requirements (Section 2, p. 367), and in the related-work table (Table 1, p. 368). It cites no other seed; of the included studies it cites FS59 (twice, as refs. [3] and [4]) and FS60 (ref. [67]).</t>
  </si>
  <si>
    <t>Included as FS62</t>
  </si>
  <si>
    <t>Primary study (approach with an evaluation), the extended journal version of FS59 (MODELSWARD 2024, ref. [4]), included by our decision (3 October 2026) as a separate study, as for FS56 and FS28. TTool-AI, inside the SysML toolkit TTool, has an LLM generate requirements, use case diagrams, block diagrams and state machines from textual specifications, and update block diagrams and state machines from textual change requests by generating mutation scripts (AMULET), through knowledge injection, sliced queries and an automated feedback loop; a new evaluation with GPT-4o on two exam specifications compares its diagrams and safety properties with those of master's students (pp. 3-17). In scope (rule 1): the block diagram, which in TTool merges the block definition and internal block diagrams, is the structure of the system to be built; the authors present the tool as helping system architects explore alternative architectures, and its model mutation evolves that structure incrementally (1.1). Peer reviewed (journal article). It joins family SF37 with FS59 and FS60. S11 is cited once, as ref. [1], as an architecture process-oriented study using ChatGPT for requirements, UML modelling and architectural evaluation (Related Works, p. 3). It cites no other seed; of the included studies it cites FS59 (ref. [4]) and FS60 (ref. [29]).</t>
  </si>
  <si>
    <t>Included as FS63</t>
  </si>
  <si>
    <t>Primary study (experiment): ChatGPT (gpt-3.5-turbo-16k) answers 33 questions about the service view (endpoint details) and the service-interaction view (remote calls and dependencies) of the TrainTicket microservice system, given the source code of the controllers and services, a persistence-aware component call graph reconstructed by static analysis and rendered in natural language (PO-CCG), or both; answers are scored with F1 against answers taken from the code, and the knowledge bases are compared with Friedman tests (pp. 4-17). In scope (rule 1), included by our decision (3 October 2026): the object of the model's task is the system's architecture, its service and interaction views, which the authors place within software architecture reconstruction (1.4), as for FS56. Peer reviewed: SN Computer Science (Springer), in a topical collection on cloud computing and services science. New family SF39 (Baylor University and the University of Arizona): Cerny co-authored the review FS02, but a review is kept separate, so it is independent. S11 is cited once, as ref. [40], for collaborative architecting of microservice-based software between specialists and ChatGPT (Background and Related Work, pp. 3-4). It cites no other seed and no included study.</t>
  </si>
  <si>
    <t>Approach with experiments: RaMc uses LLMs, model histories and retrieval-augmented generation to complete edit operations on software models, evaluated on industrial SysML models of train-control software, the public RepairVision Ecore repositories and a synthetic repository built on a simple component-model metamodel and evolved by random edits; completions are scored for structural, change and type correctness, and semantic correctness on the industrial data. Excluded under rule 1 by our decision (3 October 2026), as for S7-F09 by the same group: the task is generic model completion over change graphs, whatever the models describe, and nothing is judged as architecture. Peer reviewed: ICSE 2025. S11 is cited once, as ref. [4], for ChatGPT in collaborative architecting, defining architecturally significant requirements and translating them into UML (Section II, p. 952). It cites no other seed and no included study.</t>
  </si>
  <si>
    <t>Approach with an evaluation: SecLLM uses LLMs to detect security smells in infrastructure-as-code scripts. The object of the model's task is IaC scripts, not a software architecture (rule 1). Peer reviewed (journal article). S11 is cited twice, as ref. [13] with others: for LLMs generating human-like text (Section I, p. 204481) and for LLMs analysing code semantics and anti-patterns (Section II-C, p. 204482); neither matches S11's content. It cites no other seed and no included study.</t>
  </si>
  <si>
    <t>Case study in engineering design: ChatGPT instructed two participants in a 48-hour prototyping hackathon, and their NERF dart launcher finished second among six teams. The object of the model's task is a physical product, not a software architecture (rule 1). Peer reviewed: DESIGN 2024. S11 is cited once, as Ahmad et al. (2023), for ChatGPT transforming the way engineers write code (Section 1, p. 1999). It cites no other seed and no included study.</t>
  </si>
  <si>
    <t>Systematic literature review of 94 primary studies that builds a taxonomy of ten limitations of robotic process automation and catalogues capabilities of generative AI that could address them. No architectural model task is synthesised; its subject is process automation, so it is below the review threshold. Peer reviewed (journal article). S11 appears only in Table 5, as ref. [65], among references on generative AI capabilities (C1-C3) (p. 21047); the text does not discuss it. It cites no other seed and no included study.</t>
  </si>
  <si>
    <t>Study comparing ChatGPT with fifteen commercial tools for English-to-Arabic translation on 100 sentences, using BLEU, chrF and TER. The object of the model's task is translation, not a software architecture (rule 1). Peer reviewed: ICICS 2023 (IEEE). S11 is cited once, as ref. [2], for the transformer architecture (Section I, p. 1); the citation does not match S11's content. It cites no other seed and no included study.</t>
  </si>
  <si>
    <t>Approach with an evaluation: transformer models combined with static analysis detect sensitive-information exposure vulnerabilities in code. The object of the model's task is source code, not a software architecture (rule 1). Peer reviewed: ESEM 2025. S11 is cited once, as ref. [2], for ChatGPT applied to system architecture (Section II-A, p. 232). It cites no other seed and no included study.</t>
  </si>
  <si>
    <t>Same preprint as S4-F28 (also S5-F06 and S7-F11), reached again through S11: arXiv 2507.21382 v1 with the same title and authors. S4-F28 is excluded as not peer reviewed and records S11 among the seeds it cites, so it is not screened again; a fresh web search on 3 October 2026 again found only arXiv, alphaXiv and ResearchGate pages, so the S4-F28 decision stands. S11 is cited once, as ref. [20], for AI in architecture design as a transformative force (related work, p. 4).</t>
  </si>
  <si>
    <t>Experience report of a student project in which ChatGPT generated all of a web application's code (React front end, Express REST API, Docker and CI files) and recommended the languages, database and frameworks, from which the team picked. Excluded under rule 1 by our decision (3 October 2026): the object of the model's task is code and the development environment; the technology recommendations are only listed in Table 1, not examined as design decisions, and the paper reports no architecture design beyond noting that the application is three-tier (pp. 203-207). Peer reviewed: XP 2023 workshops (Springer LNBIP). S11 is cited once, as ref. [1], among current research on human-bot collaborative architecting (Section 2, p. 202). It cites no other seed and no included study.</t>
  </si>
  <si>
    <t>Duplicate of S9-F02</t>
  </si>
  <si>
    <t>Same article as S9-F02, reached again through S11: the title, the four authors and the DOI match. S9-F02 is excluded under the review threshold and records S11 among the seeds it cites (ref. [44], with S9 as ref. [45], in the conclusion, p. 15), so it is not screened again.</t>
  </si>
  <si>
    <t>Exploratory study for a smartwatch app that detects drinking in elderly users: student groups used ChatGPT-4 and BARD to enrich a brief product concept into requirements specifications, compared with a manual group, and the authors then asked ChatGPT for a design approach, which yielded sensor and machine-learning suggestions, a CNN-LSTM model and Python and Android code (Sections 4.1-4.2, pp. 97-105). The 'architectures' discussed are neural-network architectures for the detection algorithm, so the object of the model's task is requirements, an algorithm and code, not a software architecture (rule 1); the authors also note that the LLMs gave no specific design for the core requirements. Peer reviewed: HCII 2024 (LNCS). S11 is cited once, as ref. [13], for a ChatGPT-based bot generating recommendations for software architecture (Section 2, p. 96). It cites no other seed and no included study.</t>
  </si>
  <si>
    <t>arXiv preprint (v1, 14 May 2023) with no venue, copyright notice or DOI; a web search on 3 October 2026 found only arXiv, Semantic Scholar and ResearchGate pages, so it is excluded on its record. It would also fall below the review threshold: a literature review and meta-analysis of challenges in agile development and the AI used to address them, with no synthesis of architectural model tasks. S11 is cited three times, as ref. [6]: for novice architects collaborating with ChatGPT on architectural analysis and evaluation, and for LLM tools leading tasks under human oversight (Section 1, p. 1), and for the scarcity of human expertise (p. 2). It cites no other seed and no included study.</t>
  </si>
  <si>
    <t>Systematic literature review of 29 primary studies on generative AI in technical debt management, synthesised by artefacts, improvement techniques, model families, TDM activities and human roles. Architecture appears only in single studies (architectural smell refactoring, source code-architecture mapping, and S11), and the authors note that repayment is confined to code-level debt with little at the architecture level, so architectural model tasks do not form a synthesised part (review threshold). Peer reviewed (journal article). S11 is one of its primary studies (S27, ref. [40]; Table 1, p. 5), classified as producing requirement diagrams and supporting architectural understanding (pp. 7-8). It cites no other seed and no included study.</t>
  </si>
  <si>
    <t>Study of a hybrid mixed-reality environment in which forensic pathologists document autopsies and generative AI drafts reports under their supervision. The object of the model's task is autopsy reports, not a software architecture (rule 1). Peer reviewed (journal article). S11 is cited once, as ref. [2] with [66], for LLMs in software development (Related Work, p. 7454). It cites no other seed and no included study.</t>
  </si>
  <si>
    <t>Approach with an evaluation: LLMs measure COSMIC functional size from use cases. The object of the model's task is use cases, that is, requirements, not a software architecture (rule 1). Peer reviewed (journal article). S11 is cited once, as ref. [59] (its arXiv version) with [58], for LLMs giving accurate responses to suitable prompts (Section I, p. 1501). It cites no other seed and no included study.</t>
  </si>
  <si>
    <t>arXiv preprint (v1, 31 July 2025) with no venue, copyright notice or DOI; a web search on 3 October 2026 found only arXiv and aggregator pages, so it is excluded on its record. It would also be out of scope under rule 1: DUET, a multi-stage LLM pipeline, compares students' UML and ER diagrams with a reference diagram and generates feedback for learners; the objects are class-level and data models in teaching (rule 1; rule 4 for the data models). S11 is cited once, as ref. [1] with [7], for LLMs engaging in dialogue to clarify design goals and constraints (Section 1, p. 1). It cites no other seed and no included study.</t>
  </si>
  <si>
    <t>No full text could be obtained: the record was sent as not freely available, the ProQuest page refused access (403) and the Common Ground Research Networks entry returned no readable content, so the authors, venue and year could not be confirmed. On its title it concerns conversation design and prompt engineering in teaching English majors, which would be out of scope under rule 1. Its citation of S11 could not be checked.</t>
  </si>
  <si>
    <t>Same study as S3 of the main corpus (ICSA-C 2025), also logged as S4-F31, S7-F13 and S8-F15; the title, the four authors and the DOI match. The original is in the main workbook (Final-TA, Included studies, S3), where it is included and coded, so it is not screened or coded again here. S11 is cited four times, as ref. [6]: among experiments co-creating designs with LLMs (Section I, p. 1); as the source of the CampusBike case study and of the microservice architecture its agents' patterns are compared with (Section IV, p. 4); and for using ChatGPT to mimic architect roles in analysis, synthesis and evaluation (Section V, p. 5). It also cites S4, S7 and S8.</t>
  </si>
  <si>
    <t>Duplicate of S4-F32</t>
  </si>
  <si>
    <t>Same paper as S4-F32, reached again through S11: the ECSA 2025 version with the same title, authors and DOI. S4-F32 records its citation of S11 (ref. [1], Section 2, p. 117). The original is on this sheet (S4-F32), included and coded as FS19, so it is not screened or coded again.</t>
  </si>
  <si>
    <t>Book chapter reporting the early adoption of ChatGPT and GitHub Copilot by Globo's development teams, from developers' diaries and semi-structured interviews, as eight lessons learned. No model performs a task on a software architecture (rule 1): the authors note that the teams had not yet used generative AI for requirements, design or architecture (p. 14 of the copy). S11 is cited once, as ref. 2, for ChatGPT generating architecture (Background Information, p. 3 of the copy). It cites no other seed and no included study.</t>
  </si>
  <si>
    <t>Study characterising how developers behave when using LLMs during development tasks. No model performs a task on a software architecture (rule 1). Peer reviewed: COMPSAC 2024 (IEEE). S11 is cited once, as ref. [20], for DevBots like ChatGPT in architecting software-intensive systems (Section II, p. 1169). It cites no other seed and no included study.</t>
  </si>
  <si>
    <t>Duplicate of S11-F97</t>
  </si>
  <si>
    <t>Same paper as S11-F97, listed a second time among the works citing S11: the PDF sent has the same text as S11-F97's, though the files differ. S11-F97 is excluded under rule 1, so it is not screened again; S11 is cited there as ref. [1] (Section 2, p. 202).</t>
  </si>
  <si>
    <t>User study of 26 participants using ChatGPT on a complex web development task, identifying nine failure types, mitigation attempts and why 17 participants abandoned the assistant. No model performs a task on a software architecture (rule 1). Peer reviewed (journal article). S11 is cited twice, as ref. [4]: in the related-work table as a case study of collaboration patterns and role distribution (p. 7), and for varying levels of user trust and confidence (p. 8). It cites no other seed and no included study.</t>
  </si>
  <si>
    <t>Approach with an evaluation: XdCodeGen has ChatGPT 3.5 decompose requirements, generate UML class and activity diagrams for each sub-requirement with knowledge-graph-enhanced prompts, and then generate and verify large-scale Java code. The object of the model's task is class-level and behavioural models and code, not a software architecture (rule 1, as for S11-F32). Peer reviewed (journal article). S11 is cited once, as ref. [10] with [20], for LLMs in software modelling for complex problems without exploring the subsequent coding (Section 1, p. 2). It cites no other seed and no included study.</t>
  </si>
  <si>
    <t>Study of the software reuse implications of code generated with tools such as ChatGPT and GitHub Copilot. The object of the model's task is code, not a software architecture (rule 1). Peer reviewed: ICSR 2024 (LNCS). S11 is cited once, as ref. 2, for ChatGPT used in architecture-centric software engineering for a microservices-based system (p. 40). It cites no other seed and no included study.</t>
  </si>
  <si>
    <t>Study proposing and evaluating a metaverse-based virtual-reality platform for online certification with Web3 technologies, whose architecture the authors design themselves. No model performs a task on a software architecture (rule 1). Peer reviewed (journal article). S11 is cited once, as ref. 19 with refs. 18 and 20, among architectural studies used to explain the system (p. 4). It cites no other seed and no included study.</t>
  </si>
  <si>
    <t>Duplicate of S11-F124</t>
  </si>
  <si>
    <t>Earlier preprint of S11-F124 (Journal of Systems and Software 234, 2026), with the same title and authors; as an earlier preprint of a published record it is logged as a duplicate of S11-F124 and not screened again. In this version S11 is cited once, among studies of GPT for architecture design (Section 2, p. 3).</t>
  </si>
  <si>
    <t>arXiv preprint (v2, 7 August 2023) with no venue, copyright notice or DOI; a web search on 3 October 2026 found only arXiv, DBLP's CoRR entry, ResearchGate and aggregator pages, so it is excluded on its record. It would also be out of scope under rule 1: a CodeBERT-based classifier distinguishes code written by ChatGPT from code written by humans. S11 is cited once, as ref. [6], for ChatGPT aiding a software architect (Section VII-B, p. 10). It cites no other seed and no included study.</t>
  </si>
  <si>
    <t>Systematic literature review of how prompt engineering affects the efficiency, code quality and security of AI-generated code for CRUD applications. No architectural model task is synthesised; its subject is code generation, so it is below the review threshold. Published with received and accepted dates. S11 is cited three times, as Ahmad et al. (2023): for trust in AI tools, for programming languages, and for ChatGPT assisting architecture-centric development (pp. 238, 242-243). It cites no other seed and no included study.</t>
  </si>
  <si>
    <t>Approach with an evaluation: GPT-4 generates Java and Python agent code for JADE and PADE from UML models of a multi-agent unmanned-vehicle fleet constrained by OCL and FIPA-ontology meta-models, and the code is checked for behaviour and cyclomatic complexity. The object of the model's task is code generated from design models, not a software architecture (rule 1). The version read states that it was accepted for Springer CCIS; a web search on 3 October 2026 found only arXiv pages. S11 is cited once, as ref. 1 (its arXiv version), when comparing code functionality across languages with the model's expected behaviour (Section 1, p. 2); the citation does not match S11's content. It cites no other seed and no included study.</t>
  </si>
  <si>
    <t>Included as FS64</t>
  </si>
  <si>
    <t>Primary study (preliminary case study): ChatGPT (GPT-3.5) generates the documentation of a waterfall student project (Rojina Review, a web platform), from requirements and UML models through the System Design Document (design goals, subsystem division, software/hardware mapping, boundary conditions) and the Object Design Document to test artefacts; each artefact is compared with the project's own and the effort to reach it is rated by three authors (Sections 3-4, pp. 2-5). In scope (rule 1), included by our decision (3 October 2026): the System Design Document 'outlines the overall system architecture', and the model generates the subsystem decomposition and the software/hardware mapping (1.1); the other artefacts are coded as related activity. Peer reviewed: Ital-IA 2024 (CEUR). S11 is cited twice, as ref. [11]: for ChatGPT as a bot in collaborative architecting of microservices-based software (Section 2, p. 2), and as a study in line with which ChatGPT was chosen (Section 3.1, p. 2). It cites no other seed and no included study.</t>
  </si>
  <si>
    <t>Innovative-practice paper on a data science course designed around generative AI. The object of the model's task is learning and coursework, not a software architecture (rule 1). Peer reviewed: FIE 2024 (IEEE). S11 is cited once, as ref. [7], for ChatGPT generating diverse software artefacts that still need human oversight (Section II, p. 2). It cites no other seed and no included study.</t>
  </si>
  <si>
    <t>Study proposing a framework for topic and trend analysis of Stack Exchange questions, applied to ChatGPT-related questions on Stack Overflow. No model performs a task on a software architecture (rule 1). Peer reviewed (journal article). S11 is cited once, as ref. [12] with [13], for developers using ChatGPT to produce better software (Section 1, p. 2). It cites no other seed and no included study.</t>
  </si>
  <si>
    <t>Approach with an evaluation: robotic control software is built from unified microservice-based components, and a fine-tuned GPT model generates the 'assembly path', a workflow of components for a task, which is then executed; validated on a sorting task and a grinding task (Sections 3-4). The object of the model's task is the task workflow that sequences existing components, and under rule 1 a task workflow is not the architecture of the system that runs it; the component model is designed by the authors. Peer reviewed: accepted by Tsinghua Science and Technology. S11 is cited once, as ref. [31], for ChatGPT collaborating with an architect to analyse requirements, synthesise UML models and evaluate the architecture (Section 2, p. 4). It cites no other seed and no included study.</t>
  </si>
  <si>
    <t>Single-author narrative essay on architectural drift in banking DevOps, organised around pairs of earlier studies; despite the abstract, it develops and tests no system of its own, and the author states that neither study it builds on trained such a model (Section VI-D, p. 25). The PDF gives a publication date but no received or accepted dates and no review process, so peer review is not established. It would also fall below the review threshold, as language models appear only through S11. S11 is cited as ref. [12], discussed at length as the human-AI collaborator that cannot bear responsibility (Sections VI-B to VI-D, pp. 23-25). It cites no other seed and no included study.</t>
  </si>
  <si>
    <t>Study in which GPT grades the use case, class and sequence diagrams in 40 students' UML modelling reports against 11 criteria, compared with human experts' grades, finding five kinds of discrepancy. The object of the model's task is students' requirements and design models, not a software architecture (rule 1, as for S11-F32 by the same group). Peer reviewed (journal article). Its third author, Peng Liang, is an author of S11. S11 is cited once, as a preliminary study of GPT supporting human-bot collaborative architecting (Section 1, p. 2). It cites no other seed; of the included studies it cites FS61 (Al-Ahmad et al., 2025).</t>
  </si>
  <si>
    <t>Study tuning the hyperparameters and prompts of Llama 3.1 to generate domain models from textual descriptions, first for a medical data model and then across ten domains. The object of the model's task is domain models, which are knowledge artefacts rather than software architectures (rule 4). Peer reviewed: SEAA 2025 (LNCS). S11 is cited once, as ref. 1, for LLMs specifying software architectures (Section 1, p. 349). It cites no other seed and no included study.</t>
  </si>
  <si>
    <t>Duplicate of S11-F135</t>
  </si>
  <si>
    <t>Earlier arXiv preprint (v1, 28 November 2023) of S11-F135, published at ACDSA 2025 (IEEE) under a changed title, 'The Transformative Influence of LLMs on Software Development &amp; Developer Productivity'; the author and content match. As an earlier preprint of a published record it is logged as a duplicate of S11-F135 and not screened again. Corrected on 3 October 2026: it was first logged as not peer reviewed because our web search had found no published version. In this version S11 is cited several times, as ref. [21] (pp. 2-4, 8).</t>
  </si>
  <si>
    <t>Study of how deep-learning code completion models generalise across versions of a programming language. The object of the model's task is code, not a software architecture (rule 1). Peer reviewed: ICPC 2024. S11 is cited once, as ref. [10] with [12], among deep-learning solutions for software design (Section 1, p. 99). It cites no other seed and no included study.</t>
  </si>
  <si>
    <t>Book chapter proposing DAnTE, a taxonomy of degrees of automation for software engineering, and placing past and current tools, including generative language models, within it. It runs no model and specifies no architectural model task (rule 1; rule 3 is not met, as no architectural task is specified). Its second author, Eduardo Guerra, is an author of S1 and S2. S11 is cited once, as ref. 1, as an experiment with ChatGPT on developing a system architecture whose results did not support that capacity (p. 9). It cites no other seed and no included study.</t>
  </si>
  <si>
    <t>System that uses ChatGPT to generate software test cases. The object of the model's task is test cases, not a software architecture (rule 1). The PDF sent is the SSRN preprint, marked as not peer reviewed; a web search on 3 October 2026 found it published in the Journal of Software 19(4), so it is excluded on scope rather than on peer review. S11 is cited once, as Ahmad et al. (2023), among applications of ChatGPT (Section 2, p. 4). It cites no other seed and no included study.</t>
  </si>
  <si>
    <t>Duplicate of S11-F02</t>
  </si>
  <si>
    <t>Same article as S11-F02, listed a second time among the works citing S11: the title, the three authors and the DOI match. S11-F02 is excluded under the review threshold, so it is not screened again; S11 is cited there as ref. [37] (Section 3.2, p. 7).</t>
  </si>
  <si>
    <t>A book, not a peer-reviewed journal, conference or workshop paper, so it fails the publication-type criterion and is excluded on its record without reading the full text. On its title it concerns the changing role of programmers alongside AI chatbots, which would also be out of scope under rule 1. Where it cites S11 was not checked.</t>
  </si>
  <si>
    <t>arXiv preprint (v4, 6 November 2024) with no venue, copyright notice or DOI; a web search on 3 October 2026 found only arXiv and aggregator pages, so it is excluded on its record. It would also be out of scope under rule 1: parameter-efficient fine-tuning is used to hotfix code models after critical updates; the object is the code models themselves. S11 is cited once, as ref. [4], for LLMs supporting architecture design (Section 1, p. 2). It cites no other seed and no included study.</t>
  </si>
  <si>
    <t>Included as FS65</t>
  </si>
  <si>
    <t>Vision paper with a preliminary experiment: GPT-4 was asked, with prompts in four formats, to design and deploy three serverless applications on Azure Functions (a web service, an online retail platform, an image-processing application); the authors report that the model selects an appropriate architecture from the requirements but that the prompt format affects correctness, and they propose GenAI support for each phase of serverless development and research questions on prompt format and architectural complexity (Sections 3-4, pp. 81-82). In scope (rule 1, with rule 3 for the proposals), included by our decision (3 October 2026): the model selects the architectural pattern of the serverless system from its requirements (1.2) and is proposed to generate the architecture's functions, events and interactions (1.1). Peer reviewed: AIware 2024 (ACM). S11 is cited once, as ref. [1] with [17], for generating architectural designs with GenAI (Section 2.1, p. 80). It cites no other seed and no included study.</t>
  </si>
  <si>
    <t>Study of neural-network-based test case prioritisation in continuous integration, with ChatGPT also asked to prioritise test cases. The object of the model's task is test cases, not a software architecture (rule 1). Peer reviewed: ASE 2023 workshops (IEEE). S11 is cited once, as ref. [23], for ChatGPT as an assistant in software architecture and design (p. 72). It cites no other seed and no included study.</t>
  </si>
  <si>
    <t>Published version of the arXiv preprint logged as S11-F126, under a changed title: a review of studies and surveys of AI pair programmers from developers' perspectives, identifying benefits, privacy, bias and usability concerns and 12 open problems. Architectural design is one short paragraph summarising S11, so architectural model tasks are not a synthesised part (review threshold). Peer reviewed: ACDSA 2025 (IEEE). S11 is cited several times, as ref. [23]: among benefits and concerns (pp. 2, 8), in the table of selected studies (Table II, p. 3), and as a novice architect crafting a design document with ChatGPT, not evaluated by experts (Section VI, p. 4). It cites no other seed and no included study.</t>
  </si>
  <si>
    <t>Same paper as S4-F45 (also S7-F18), reached again through S11: the title, the three authors and the DOI match. S4-F45 records S11 among the seeds it cites (ref. [11]: proposed as an iterative human-bot approach to requirements analysis, architectural synthesis and evaluation, with which the authors contrast their phased LLM calls; Section II, p. 400). The original is on this sheet (S4-F45), included and coded as FS25, so it is not screened or coded again.</t>
  </si>
  <si>
    <t>No full text could be obtained: the record was sent as not freely available, and the IGI Global page could not be read from our environment (rate-limited), so the authors, book and year could not be confirmed. On its title it is a systematic review of research on ChatGPT from the user's perspective, which would fall below the review threshold unless architectural model tasks form part of its synthesis; this was not checked. Its citation of S11 could not be checked.</t>
  </si>
  <si>
    <t>Approach with an evaluation: Datalog-based static slicing isolates training and evaluation code in machine learning notebooks, and structured LLM prompts reason about data leakage in each slice. The object of the model's task is notebook code, not a software architecture (rule 1). Peer reviewed: FSE 2026 (PACM SE). S11 is cited once, as ref. [2] with many others, for LLMs taking on tasks that relied on human input (Section 1, p. 2). It cites no other seed and no included study.</t>
  </si>
  <si>
    <t>Not freely available, so it is judged on its abstract, as S10-F59 was judged on what was available: an NLP approach (input-output categorisation with sentiment analysis, regular expressions and test generation) produces positive and negative test cases from 700 user stories. The object of the task is test cases from requirements, not a software architecture, and no language model is named (rule 1). Peer reviewed: ICCIDS 2024 (IFIP AICT). Its citation of S11 could not be checked.</t>
  </si>
  <si>
    <t>Preprint submitted to the Journal of Systems and Software, with no published version found: a web search on 3 October 2026 found only arXiv, SSRN, ResearchGate and aggregator pages, so it is excluded on its record. It would also be out of scope under rule 1: a systematic mapping study of 41 studies on quantum service development and a reference architecture for quantum computing as a service, developed by the authors without any model performing the task. Four of its authors (Ahmad, Waseem, Fahmideh and Liang) are authors of S11. S11 is cited twice, as ref. [76], for LLMs in software engineering and architecting and for future human-bot collaborative engineering for quantum services (pp. 27, 30).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</si>
  <si>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Survey study: the designers of 42 design pattern detection tools and 28 student and senior developers were surveyed on how they build and perceive these tools. No model performs a task; language models appear only in the related work, so no model performs a task on a software architecture (rule 1). Peer reviewed (journal article). S11 is cited once, as Ahmad et al. (2023), for design patterns preventing design degradation at the code and architecture levels (Section 1, p. 2). It cites no other seed; included studies not checked.</t>
  </si>
  <si>
    <t>Identified from Semantic Scholar's list of works citing S11 (read 4 October 2026), because Google Scholar could not be read from our environment, and logged under this open record number by our decision, without matching its Google Scholar position. Framework for assessing collaboration activity in open-source ecosystems: a data collector and 20 statistical and 2 network-based metrics computed over GitHub and Gitee records. Judged on its abstract, since the ACM full text could not be read from our environment: no model performs a task on a software architecture (rule 1). Peer reviewed: WWW 2026 Industry Track (ACM). S11 is in its reference list (Crossref metadata); where it is cited in the text was not checked. Other seeds and included studies not checked.</t>
  </si>
  <si>
    <t>Identified from Semantic Scholar's list of works citing S11 (read 4 October 2026), because Google Scholar could not be read from our environment, and logged under this open record number by our decision, without matching its Google Scholar position. Approach: task-specialised LLM agents exchange review feedback to refine development artefacts (domain models, sequence and class diagrams, code and tests), compared with non-interactive pipelines on three case systems. Judged on its abstract, since the full text could not be read from our environment: none of the artefacts named is an architecture, so the object of the model's tasks is not a software architecture (rule 1). Peer reviewed (journal article). S11 is in its reference list (Crossref metadata); where it is cited in the text was not checked. None of the other references deposited with Crossref is a seed.</t>
  </si>
  <si>
    <t>Identified from Semantic Scholar's list of works citing S11 (read 4 October 2026), because Google Scholar could not be read from our environment, and logged under this open record number by our decision, without matching its Google Scholar position. Method: LLMs extract concepts and relations from domain material and generate ontology artefacts (glossaries, test cases, documentation) through refinement cycles, shown on a vehicle-sales domain. The object of the model's task is an ontological knowledge base, a knowledge artefact rather than a software architecture (rule 4). Peer reviewed (journal article). S11 is cited once, as Ahmad et al. (2023), for LLMs writing and refactoring code and generating documentation (Section 2.3, p. 6 of the arXiv version). It cites no other seed in the part of the reference list we could read.</t>
  </si>
  <si>
    <t>Duplicate of S10-F32</t>
  </si>
  <si>
    <t>Identified from Semantic Scholar's list of works citing S11 (read 4 October 2026), because Google Scholar could not be read from our environment, and logged under this open record number by our decision, without matching its Google Scholar position. Same article as S10-F32, reached through S11: 'Understanding ensemble-based component architectures by LLMs' (STTT). S10-F32 records S11 among the seeds it cites (ref. [27], Section 5, p. 654). The original is on this sheet (S10-F32), included and coded as FS56, so it is not screened or coded again.</t>
  </si>
  <si>
    <t>Identified from Semantic Scholar's list of works citing S11 (read 4 October 2026), because Google Scholar could not be read from our environment, and logged under this open record number by our decision, without matching its Google Scholar position. No full text or abstract could be obtained: the IEEE Xplore page returned no content to our environment and no preprint was found, so its content and its citation of S11 could not be checked. On its title it concerns building epidemiological models from requirements with LLMs, which would be out of scope under rule 1.</t>
  </si>
  <si>
    <t>Included as FS67</t>
  </si>
  <si>
    <t>Identified from Semantic Scholar's list of works citing S11 (read 4 October 2026), because Google Scholar could not be read from our environment, and logged under this open record number by our decision, without matching its Google Scholar position. Primary study (experiment): ChatGPT is given the zipped source code, or selected code snippets, of five open-source systems (Apache Storm, Flink and Spark, Gradle, Maven) and asked to list the architectural patterns and tactics they implement; its answers are compared with those of the rule-based tool Archie using true and false positives, precision, recall and accuracy, with results reported for Apache Flink only (Sections 2-3, pp. 4364-4368). In scope (rule 1), included by our decision (4 October 2026): the model recovers architectural patterns and tactics from source code, an architecture recovery task (1.4). Peer reviewed (journal article, with received, revised and accepted dates). New family SF42: no author is shared with a seed or an included study. S11 is cited once, as ref. [23], for AI assisting architects through collaboration in design (Section 1, p. 4364). It cites no other seed. Coded from the published PDF (4 October 2026).</t>
  </si>
  <si>
    <t>Identified from Semantic Scholar's list of works citing S11 (read 4 October 2026), because Google Scholar could not be read from our environment, and logged under this open record number by our decision, without matching its Google Scholar position. Design and prototype of a blockchain-based system (Ethereum smart contracts) for managing remotely sensed satellite data, evaluated on energy use and storage. No language model is used; the architecture is designed by the author (rule 1), as for S11-F179 by the same author. Peer reviewed (journal article). S11 is in its reference list; the in-text location could not be fixed, because the list also has another 'Ahmad et al. 2023'. It cites no other seed.</t>
  </si>
  <si>
    <t>Identified from Semantic Scholar's list of works citing S11 (read 4 October 2026), because Google Scholar could not be read from our environment, and logged under this open record number by our decision, without matching its Google Scholar position. User study with 46 participants on ChatGPT-generated feedback on their code in simulated technical interviews, delivered by a person or automatically, and on their trust in it. Judged on its abstract and metadata, since no full text could be read: the object of the model's task is interview code (rule 1). Peer reviewed: CHASE 2025. S11 is cited as ref. [21], among LLM uses in software engineering, for design (Semantic Scholar's citation context); section and page not checked. Other seeds not checked.</t>
  </si>
  <si>
    <t>Same paper as S3-F07 (also S4-F95), reached again through S11: the published ECSA 2026 chapter with the same title, authors and DOI as S4-F95. S3-F07 records S11 among the seeds it cites. S11 is cited twice, as ref. [1]: among single case studies showing the feasibility of generative AI (Section 1, p. 144) and as focusing on architectural analysis, synthesis and evaluation with plain-text prompts applied to one case (Section 2, p. 146). The original is on this sheet (S3-F07), included and coded as FS12, so it is not screened or coded again.</t>
  </si>
  <si>
    <t>Proposal of a workflow in which an LLM such as GPT-4 replaces the rubber duck in rubber-duck debugging and supports Extreme Programming practices: walkthroughs, method extraction and refactoring, code coverage and testing. The object of the model's task is code, not a software architecture (rule 1). Peer reviewed: CSCE 2023 (IEEE). S11 is cited once, as ref. [43], summarised as ChatGPT collaborating with an architect to analyse, synthesise and evaluate an architecture (Section IV, p. 301). It cites no other seed and no included study.</t>
  </si>
  <si>
    <t>Approach with an evaluation: a four-step prompt chain extracts roles, functions and rationales from problem descriptions and writes user stories, evaluated on five systems against a gold standard. The object of the model's task is user stories, that is, requirements, not a software architecture (rule 1). Peer reviewed: ICCCNT 2024 (IEEE). S11 is cited once, as ref. [17] (its arXiv version), for an inexperienced architect analysing, synthesising and assessing a service-driven application with ChatGPT (Section II, p. 2). It cites no other seed and no included study.</t>
  </si>
  <si>
    <t>Review of how ChatGPT and other language models (Blender, BERT) have been used in professional environments such as education, medicine and design, and of their limitations. Software architecture appears only as one row of its tables and two sentences summarising S11, so architectural model tasks are not a synthesised part (review threshold). Published with received, revised and accepted dates. S11 is cited as ref. [10]: its three phases of architecting with ChatGPT are described (pp. 2098-2099), and it appears in its tables of studies by domain (pp. 2099, 2102, 2103). It cites no other seed and no included study.</t>
  </si>
  <si>
    <t>Study assessing how well generative LLMs apply design patterns (such as Visitor) to programs, against pattern specifications in the Role-Based Metamodeling Language. The object of the model's task is object-oriented code and class-level design patterns, not a software architecture (rule 1, as for S11-F72 by the same author). Peer reviewed (journal article). S11 is cited once, as ref. [7], for ChatGPT in architecture-centric software engineering and microservice architecture design (Section 2, p. 3845). It cites no other seed; of the included studies it cites FS58.</t>
  </si>
  <si>
    <t>Approach: ChatReliability, an LLM-based copilot built on reliability data (design failure mode and effects analyses, standards, failure databases), produces reliability estimates, risk priorities and test plans for the design-for-reliability process in engineering design. The object of the model's task is reliability analysis of engineered products, not a software architecture (rule 1). Peer reviewed: TEMSCON-ASPAC 2024 (IEEE). S11 is cited once, as ref. [33], for the adoption of AI and NLP in chatbot architectures (Section III-A, p. 3); the citation does not match S11's content.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</si>
  <si>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Proposal of a blockchain and IPFS platform for IoT data sharing with role-based access through smart contracts, evaluated on energy use and storage with satellite-sensed data. Judged on its abstract, since the PDF could not be read from our environment: no language model is used, and the architecture is designed by the author (rule 1), as for S11-F148 and S11-F179. Peer reviewed (journal article). S11 is item 2 of its reference list; the in-text citation was not checked. None of the other 15 references is a seed.</t>
  </si>
  <si>
    <t>Identified from Semantic Scholar's list of works citing S11 (read 4 October 2026), because Google Scholar could not be read from our environment, and logged under this open record number by our decision, without matching its Google Scholar position. Mixed-methods opinion study with 57 computer science students and 5 teachers at an Algerian university on using ChatGPT within social learning analytics in programming education. No model performs a task on a software architecture (rule 1). Peer review was not checked, as the record is excluded on scope. S11 is cited twice, as ref. [24], for ChatGPT reinforcing biases in grading and as a supplement to peer collaboration (Sections 2.1 and 2.3, pp. 650-653); neither matches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</si>
  <si>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arXiv preprint with no venue; web searches on 4 October 2026 found no published version, so it is excluded on its record. It would also be out of scope under rule 1: ChatGPT, GPT-4, Gemini, Mixtral and Claude answer conversational question-answering datasets, with no task on a software architecture. S11 is cited once, as Ahmad et al. (2023), for iterative human-in-the-loop refinement of the model (Section 1); the citation does not match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</si>
  <si>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Conceptual policy paper on revising the entrepreneurial discovery process in smart specialisation strategies. Judged on its abstract and metadata, since the full text could not be read from our environment: no model performs a task on a software architecture (rule 1). Peer reviewed (journal article). S11 is in its reference list (as the arXiv version); Semantic Scholar's citation context ties it to ChatGPT helping moderators assess agreement in debates, which does not match S11's content. None of its other references is a seed.</t>
  </si>
  <si>
    <t>Identified from Semantic Scholar's list of works citing S11 (read 4 October 2026), because Google Scholar could not be read from our environment, and logged under this open record number by our decision, without matching its Google Scholar position. Legal and policy study of the intellectual-property questions raised by ChatGPT (authorship, ownership, fair use, responsibility). No model performs a task on a software architecture (rule 1). Peer review was not checked, as the record is excluded on scope. S11 is cited once, as ref. [9], with [10], after a sentence on recommendations for addressing these difficulties (Section 1, p. 469); the citation does not match S11's content. It cites no other seed.</t>
  </si>
  <si>
    <t>Vision paper proposing a framework for optimising the organisational structure of microservice projects: developers' organisational behaviour is logged, preprocessed and used for continuous model training, visualisation, recommendations and gamification (Section 3, pp. 2-3). No model performs a task on a software architecture: the object of the framework is the developers' organisational structure, and language models are mentioned only as a possible aid to implementing it, with no architectural model task specified (rule 1; rule 3 is not met). Peer reviewed: SATrends 2024 workshop (ACM). S11 is cited once, as ref. [1], among studies applying ChatGPT to create a basic microservice architecture (Section 3, p. 3). It cites no other seed and no included study.</t>
  </si>
  <si>
    <t>Same article as S4-F55 (also S8-F29), reached again through S11: the PDF sent is the Automated Software Engineering article with the same title, authors and DOI. S4-F55 is excluded under rule 3 (a vision paper that runs no model and specifies no architectural model task) and records S11 among the seeds it cites, so it is not screened again. S11 is cited twice, as Ahmad et al. 2023: on the increasing use of GenAI in software development activities (Section 4, p. 8) and in the research agenda (Section 5, p. 9).</t>
  </si>
  <si>
    <t>Written in Portuguese, with an English title and abstract. It reports a classroom experience in which students of Software Engineering and Systems Analysis courses used ChatGPT to clarify doubts under the teacher's supervision, and analyses the correctness of its answers, among them UML class diagrams it drew (pp. 303-308). As it is excluded on language, its scope was not assessed further. Peer reviewed: SBES 2023 (ACM). S11 is cited once, as ref. [1], as proposing ChatGPT to refine the definition and documentation of software architecture artefacts (Trabalhos Relacionados, related work, p. 309). It cites no other seed and no included study.</t>
  </si>
  <si>
    <t>Systematic literature review of 112 articles on the benefits and challenges of ChatGPT in teaching and learning (student engagement and accessibility; quality and bias of responses, plagiarism and authenticity). Architectural model tasks are not part of its synthesis; the word architecture does not occur in it (review threshold). Peer reviewed (journal article). The PDF sent does not cite S11: neither its text nor its reference list contains S11 or its authors; whether Google Scholar linked it in error was not checked. It cites no other seed and no included study.</t>
  </si>
  <si>
    <t>Included as FS66</t>
  </si>
  <si>
    <t>Primary study (approach with an evaluation), the extended journal version of FS60 (MODELS '24, ref. [6]), included by our decision (3 October 2026) as a separate study, as for FS62. It combines three techniques for multi-view SysML models in TTool: an LLM detects inconsistencies within and between a use case diagram and a block diagram, with cross-view rules optionally in the request; TTool-AI's LLM+rule-based generation regenerates the diagrams to correct them; and a new method without an LLM transforms design models into dependency graphs and compares their logical dependencies with a reference use case diagram (Sections 4-6, pp. 17-35). On FS60's three systems, 69 relevant inconsistencies were detected, with 6 erroneous detections, and 59 (85.5%) were corrected (Table 7, pp. 32-33). In scope (rule 1): as in FS60, the block diagram is the structure of the system under design, and the model checks and repairs its consistency with the use cases (1.4, 1.1). Peer reviewed: Software and Systems Modeling (Springer), special section paper. It joins family SF37 with FS59, FS60 and FS62; its third author, Sophie Coudert, is new to the family. S11 is cited once, as ref. [33], for an overview of ChatGPT in software architecture tasks, including generating requirements, creating UML models and evaluating them (Section 2.2, p. 5). It cites no other seed; of the included studies it cites FS60 (ref. [6]), FS59 (ref. [7]) and FS62 (ref. [11]).</t>
  </si>
  <si>
    <t>Narrative survey of generative AI across the software life cycle (requirements, design, implementation, quality assurance, maintenance), with its benefits and limitations. Software design has one section (Section 3, p. 213) that mentions two studies in a sentence each, S11 and a machine-learning framework for architecture degradation, and then discusses open challenges, so architectural model tasks are not a synthesised part of the review (review threshold), as for S11-F07. Peer reviewed: ICSOC 2024 Workshops (LNCS). S11 is cited once, as ref. [2], for a novice architect working with ChatGPT to create a service-oriented architecture (Section 3, p. 213). It cites no other seed and no included study.</t>
  </si>
  <si>
    <t>Same paper as S1-F07 (also S1-F16), reached again through S11: the PDF sent is the XP 2025 chapter with the same title and authors. S1-F07 is excluded under rule 1 (ChatGPT used for test-driven development of unit tests and code) and records S11 among the seeds it cites, so it is not screened again. S11 is cited twice, as ref. [1]: among studies showing that GenAI tools aid common software development tasks (Introduction, p. 146) and for changes happening in software architecture (Background, p. 147).</t>
  </si>
  <si>
    <t>Same preprint as S4-F58 (also S7-F23), reached again through S11: the PDF sent is arXiv 2606.01385v1 with the same title and authors. S4-F58 is excluded as not peer reviewed and records S11 (ref. [3]) among the seeds it cites; a web search on 3 October 2026 again found only the arXiv record, a ResearchGate entry and aggregator pages, so the S4-F58 decision applies and it is not screened again. S11 is cited once, as ref. [3], for the integration of AI into architecture design as a transformative force (Section 2.2, p. 5).</t>
  </si>
  <si>
    <t>Written in Portuguese, with an English title and abstract. It reports a survey of 61 information technology professionals on their use of generative AI tools: 43 (70.5%) use one, most of them software developers, and 86% of these recommend the tools (abstract). It runs no model task on a software architecture, so it would also be out of scope under rule 1. Peer reviewed: SBSI 2024 (ACM). S11 is cited once, as ref. [2], for software architecture modelling, a use of generative AI reported in other studies that the respondents did not mention (Section 5, Discussão, p. 7 of the PDF). It cites no other seed and no included study.</t>
  </si>
  <si>
    <t>Descriptive qualitative study: semi-structured interviews with 20 secondary mathematics pre-service teachers in the Philippines on the challenges of using ChatGPT to learn mathematics (limited input and interface design, accuracy and reliability, methods differing from textbooks, connectivity and system errors). No model performs a task on a software architecture (rule 1). Peer reviewed (journal article). S11 is cited once, as Ahmad et al. (2023), among studies of students using ChatGPT as a supplemental learning tool (Literature Review, p. 3); the citation does not match S11's content. It cites no other seed and no included study.</t>
  </si>
  <si>
    <t>Case study on the DevGPT dataset (267,098 lines of code provided by ChatGPT in commits, pull requests, files and discussions): association rules relate the characteristics of developers' prompts to whether they used the code ChatGPT provided. The object of the model's task is code, not a software architecture (rule 1). Peer reviewed: ICSR 2024 (LNCS). S11 is cited once, as ref. 1, among studies of ChatGPT's efficiency in answering software architecture problems (Section 2, p. 139). It cites no other seed and no included study.</t>
  </si>
  <si>
    <t>Google Scholar lists the whole proceedings volume as citing S11, not a chapter, so the citing paper could not be identified: the Springer page lists the volume's chapters, but which of them cites S11 could not be established without their full texts, which we did not obtain. S11-F125, an SEAA 2025 chapter that cites S11, is in a different volume (LNCS 16081), so it is not this record. Logged as not retrievable; if the citing chapter is identified, it will be screened as its own record. Its citation of S11 could not be checked.</t>
  </si>
  <si>
    <t>Exploratory study: GPT-4 and DALL·E 3 generate comics that explain Python source code, zero-shot with three prompts, evaluated qualitatively; chain-of-thought prompting improved the comics. The object of the model's task is the visualisation of source code for comprehension, not a software architecture (rule 1). Peer reviewed: HCII 2024 (LNCS). S11 is cited once, as ref. 1, for LLMs supporting architecture-centric design decisions (Section 2.1, p. 36). It cites no other seed and no included study.</t>
  </si>
  <si>
    <t>Case study: ChatGPT proposes modifications to SIWO, a community detection algorithm, that cut its execution time by more than 50%, and the authors outline AEF, a framework in which LLMs generate and refine algorithm improvements iteratively. The object of the model's task is an algorithm, not a software architecture (rule 1). Peer reviewed: iiWAS 2025 (LNCS). S11 is cited once, as ref. 32, for GPT's proven collaboration capabilities, given as the reason for choosing it (Section 3, p. 400). It cites no other seed and no included study.</t>
  </si>
  <si>
    <t>Proposal of a reference architecture, with algorithms, that integrates liquid AI (adaptable data processing across platforms) with the IDSA and GAIA-X data-governance frameworks, evaluated theoretically and compared with existing methods. No language model is used or specified for any task, so no model performs a task on a software architecture (rule 1). Peer reviewed: FICC 2025 (LNNS). Three of its authors, Waseem, Ahmad and Mikkonen, are authors of S11. S11 is cited once, as ref. 18, for AI-based design, implementation and operationalisation of data-driven software-intensive systems (Section 5, p. 18 of the accepted version). It cites no other seed and no included study.</t>
  </si>
  <si>
    <t>Case study applying an existing framework for system architecture design and selection, with model-based systems engineering and Pareto frontier analysis, to traffic signal control systems, with cyber resiliency added as an evaluation metric. No language model is used: the architectures are designed and selected through the authors' framework (rule 1). Peer reviewed (journal article). S11 is cited once, as ref. 41, for system modelling tools and languages that drive the implementation, validation and maintenance phases of engineering systems (Section 2.2, p. 934); the citation does not match S11's content. It cites no other seed and no included study.</t>
  </si>
  <si>
    <t>Preliminary study: techniques for building LLM-based simulation applications (retrieval-augmented generation, chain-of-thought prompting) are reviewed, and two applications are developed on the CloudPSS power-system simulation platform: a power grid analysis agent with simulation plug-in tools and automatic generation of simulation code. The object of the model's tasks is power-system simulation and its code, not a software architecture (rule 1). Peer reviewed: ICPET 2024 (IEEE). S11 is cited once, as ref. [19], for LangChain as an open-source framework for LLM applications (Section II, p. 305); the citation does not match S11's content. It cites no other seed and no included study.</t>
  </si>
  <si>
    <t>arXiv preprint (v1, 28 August 2026) marked as submitted to an Elsevier journal, with no venue or DOI; a web search on 3 October 2026 found only the arXiv record and an aggregator page, so it is excluded on its record. It would also be out of scope under rule 1: mainstream LLMs generate UML class diagrams for several software system cases, evaluated with SDMetrics and expert review, and three repair strategies (memory reinforcement, external knowledge injection, detection-guided targeted repair) improve them; the object of the model's task is class diagrams, not a software architecture (rule 1; rule 4 would also apply), as for S11-F32, so a peer-reviewed version would still be excluded. Its second author, Peng Liang, is an author of S11. S11 is cited once, as ref. [4], among applications of LLMs to software engineering tasks such as code generation and requirements analysis (Section 1, p. 2). It cites no other seed and no included study.</t>
  </si>
  <si>
    <t>Proposal and evaluation of a blockchain-based solution (Ethereum smart contracts, IPFS storage, identity verification and encryption) for creating, managing and transmitting digital passports of health for vaccination records, evaluated on gas cost, data storage and response time. No language model is used; the architecture of the solution is designed by the author (rule 1). Peer reviewed: IJACSA (journal article), as for S10-F21. S11 is cited three times, as ref. [16]: for a blockchain approach to immunity certificates attributed to 'Bansal et al.' (Section II-A, p. 1441), for the absence of studies documenting immunity from secondary SARS-CoV-2 infections (Section II, p. 1442), and for architecture as a blueprint of a solution (Section IV, p. 1444); none of these matches S11's content beyond the general notion of architecture. It cites no other seed and no included study.</t>
  </si>
  <si>
    <t>Research Square preprint (v1, posted 28 December 2023) with no venue; a web search on 3 October 2026 found only this preprint and its ResearchGate copy, so it is excluded on its record. It would also be out of scope: GPT-4 is prompted through the life cycle of an e-commerce platform for shoe sales to produce use case, sequence, domain, communication, activity and class diagrams, Python code, SQL schemas, UI prototypes, test cases and documentation (Section 3, pp. 6-13); the diagrams are requirements-analysis and design models of use cases, interactions and classes, and the domain model, though described as a blueprint for the system architecture (p. 52), is a knowledge artefact, so the object of the model's tasks is not a software architecture (rules 1 and 4), as for S11-F32. S11 is cited once, as ref. [18], for the collaborative use of ChatGPT in architectural tasks (Section 2.6, p. 5). It cites no other seed and no included study.</t>
  </si>
  <si>
    <t>arXiv preprint (v1, 1 April 2026) with no venue, copyright notice or DOI; a web search on 4 October 2026 found only the arXiv record and aggregator pages, so it is excluded on its record. It would also be out of scope under rule 1: three LLMs (ChatGPT 4o-mini, Claude 3.5 Sonnet, Gemini 2.5 Flash) generate UML class diagrams from domain-only descriptions in two design-intent benchmarks, under standard, rule-injection and preference-based few-shot prompting, over paraphrased prompts and 10 repeated runs (540 runs), judged on object-oriented principles and design-pattern structures; the object of the model's task is class-level design, not a software architecture, although the authors speak of architectural intent (rule 1; rule 2), as for S11-F178. S11 is cited once, as ref. [9], among sources on inconsistent diagrams that cannot be trusted for implementation (Section I, p. 1). It cites no other seed; of the included studies it cites FS58 (ref. [4]), FS61 (ref. [7]), FS45 (ref. [17]) and FS64 (ref. [32]).</t>
  </si>
  <si>
    <t>Short literature review of studies on ChatGPT in collaborative learning in higher education, with a summary table of the studies reviewed. Software architecture appears only as S11, summarised in one paragraph and one table row, so architectural model tasks are not a synthesised part of the review (review threshold), as for S11-F135. Published in the ICRES 2024 proceedings (ISTES); its review process was not checked, as the record is excluded on scope. S11 is cited three times, as Ahmad et al. (2023): for ChatGPT's potential to transform collaborative teaching and learning (Introduction, p. 1348), in a paragraph summarising its method and findings (Literature Review, p. 1352), and in the summary table (Table 1, p. 1355). It cites no other seed and no included study.</t>
  </si>
  <si>
    <t>A bachelor's thesis, excluded as not peer reviewed on its record, as the other theses were (for instance S4-F109 and S7-F43), without reading the full text. Only the title was sent, so its content and where it cites S11 were not checked. On its title it is a literature review of agentic AI and AIOps across the software life cycle, which would also have to meet the review threshold.</t>
  </si>
  <si>
    <t>Evaluation study: ten common Adobe Photoshop user queries in five usage domains were posed to ChatGPT (GPT-4o), and three experts rated the answers for accuracy, completeness and effectiveness, with inter-rater reliability and readability analysed. No model performs a task on a software architecture (rule 1). Peer reviewed (journal article). S11 is cited once, as ref. 1, among sources on ChatGPT supporting self-directed learning and independent problem-solving (Section 1, p. 2); the citation does not match S11's content. It cites no other seed and no included study.</t>
  </si>
  <si>
    <t>Primary study: FGIT, a fine-tuning method that contrasts correct code with similar incorrect variants and emphasises the error-sensitive tokens, improves the functional correctness of code generated by instruction-tuned LLMs on code-generation benchmarks. The object of the model's task is code, not a software architecture (rule 1). Peer reviewed: ASE 2025 (IEEE/ACM). S11 is cited once, as ref. [55], among works using LLMs to automate software engineering tasks (Section VII-A, p. 1348).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</si>
  <si>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Approach with a case study: GPT-4 generates Java (JADE) and Python (PADE) agent code for an unmanned-vehicle fleet from UML class and behaviour diagrams constrained with OCL and a FIPA ontology, evaluated by cyclomatic complexity and behaviour comparison. The object of the model's task is code generated from design models, not a software architecture (rule 1); it is the conference paper that S11-F118 (the same authors' CCIS paper) extends. Peer reviewed: MODELSWARD 2024. S11 is cited once, as Ahmad et al. (2023), when comparing the generated code's behaviour with the model's (Section 1, p. 150); the citation does not match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</si>
  <si>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Method with a case study (an insulin injection control system): ChatGPT interacts with problem diagrams to obtain cause tables of the relationships among shared phenomena, used to extend the diagrams. Judged on its abstract, since no full text could be read: the object of the model's task is requirements models, not a software architecture (rule 1). Peer reviewed: REW 2023 (IEEE). S11 is ref. [12] (Crossref metadata), described as novice architects and ChatGPT performing architectural analysis, synthesis and evaluation (Semantic Scholar's citation context); section and page not checked. None of its references with titles is a seed.</t>
  </si>
  <si>
    <t>arXiv preprint (v1, version dated 18 June 2024) with no venue or DOI; web searches on 4 October 2026 found only the arXiv record, its RePEc listing, a ResearchGate copy and blog posts, so it is excluded on its record. It would also be out of scope under rule 1: an econometric study using GitHub Innovation Graph data and countries' ChatGPT bans as natural experiments (difference-in-differences, synthetic control and synthetic difference-in-differences) to estimate ChatGPT's effect on git pushes, repositories and developers; no model performs a task on a software architecture. S11 is cited once, as Ahmad et al. (2023), summarised as testing human-bot collaboration to outline a software architecture from an architecture story (Section 2, Literature review, p. 5). It cites no other seed and no included study.</t>
  </si>
  <si>
    <t>A doctoral dissertation, excluded as not peer reviewed on its record, as the other theses were (for instance S7-F39 and S8-F45). The preview shows a quasi-experimental study in which six generative AI models (ChatGPT, Gemini, Claude, GitHub Copilot, Mistral AI and Amazon Q Developer) generate Terraform infrastructure-as-code for ten scenarios, assessed for code quality; the object of the model's task is infrastructure code, so it would also be out of scope under rule 1. It cites 'Ahmad et al., 2023' three times, for generative AI improving software development and code quality and for the lack of research on generative AI in infrastructure as code (Chapter 1, pp. 3-4), which does not match S11's content; the preview has no reference list, so whether this is S11 was not checked.</t>
  </si>
  <si>
    <t>Approach with a preliminary case study: four GPT-o1 agents with meta-model based prompt templates generate requirements (processes, activities, rules), a design specification (entities and relationships, services, screens), code (service, DAO and input-output classes, screens, database schemas) and test cases for an employee-management application, with observations by subject-matter experts (Sections 3-4, pp. 190-201). The technology stack is an input to the code prompts, given as the 'application architecture specification' (p. 195), and the agent named Architecting Agent produces the data model, services and screens within the meta-model's fixed presentation, service and database layers, so the object of the model's tasks is requirements, detailed design and code, not a software architecture (rule 1), as for S11-F27. Its meta-model, phases and prompt templates closely follow S11-F27 (Rajbhoj et al., ISEC 2024), which it lists as ref. 14, although the text cites [14] for a different study. Peer reviewed: CITA 2025 (LNNS). S11 is cited once, as ref. 12, for GPT supporting services-driven software applications through a case analysis (Section 2, p. 189). It cites no other seed and no included study.</t>
  </si>
  <si>
    <t>Discussion paper on including AI in the software engineering curriculum: it summarises earlier work in a table of themes and contributions, identifies AI-related skill sets for software professionals and lists AI tools and techniques for software development phases. Software architecture appears only in one table row, the summary of S11, so architectural model tasks are not a synthesised part of it (review threshold), as for S11-F135. Peer reviewed: ICCIKE 2025 (IEEE). S11 is cited once, as ref. 19, in Table 1, summarised as discussing how tools such as OpenAI, Perplexity and ChatGPT can help in software architecture design (Section 2, p. 2); S11 does not mention Perplexity. It cites no other seed and no included study.</t>
  </si>
  <si>
    <t>Empirical study in a Brazilian public organisation: two GPT-4o-mini assistants generate security requirements and STRIDE threat models from business documents for 20 projects, compared across AI-only, manual and hybrid workflows on generation time, rework, semantic precision and STRIDE coverage (Sections 3-5). Excluded under rule 1 by our decision (4 October 2026): the objects of the model's tasks are security requirements and a threat model derived from the business documents and the generated requirements; architectural information is an optional input ('when available') and threats are grouped by architectural component, but the model does not generate, analyse or check a software architecture (Section 3.2.3, p. 298). Peer reviewed: FSE Companion 2026 (ACM). S11 is cited twice, as ref. [2], in the related work: for LLMs mimicking expert roles in architecture-centric tasks, and among calls for industrial studies of LLMs for security requirements (Section 2, pp. 295-296). It cites no other seed and no included study.</t>
  </si>
  <si>
    <t>Primary study: a retrieval-augmented LLM variant of AIDT, the authors' recommender for JavaScript packages, ranks and explains candidate packages for technology-related development queries (with ChatGPT, Cohere and Llama 2, zero-shot and with RAG), compared in a user study with AIDT and developers' rankings. The object of the model's task is the selection of a library for a development task, not a software architecture; the 'RAG architecture' is the tool's own design (rule 1; rule 2). Peer reviewed (journal article). Its first author, J. Andrés Diaz-Pace, is the first author of S8. S11 is cited twice, as ref. [36]: in the related work on ChatGPT assisting software architects (Section 6, p. 16) and among experiments in which LLMs performed sub-optimally (Section 7, p. 16). It cites no other seed and no included study.</t>
  </si>
  <si>
    <t>Systematic literature review of 195 studies on AI in software quality assurance (testing, defect prediction, self-healing automation, LLMs and multi-agent systems in SQA, and ethical and social challenges). Its research question on 'architectures' concerns the AI models used in SQA, not software architectures (rule 2), and architectural model tasks are not part of its synthesis (review threshold). Peer reviewed: IJACSA (journal article), as for S10-F21. S11 is cited once, as ref. [6], for AI becoming a core component of the software architecting process (Section I-A, p. 127). It cites no other seed and no included study.</t>
  </si>
  <si>
    <t>Proposal and proof of concept of PCMIMS, a patient-centric medical image management system built on Ethereum smart contracts and IPFS for secure, decentralised storage and sharing of medical images. No language model is used; the architecture of the solution is designed by the author (rule 1), as for S11-F179 from the same university. Peer reviewed: IJACSA (journal article). S11 is cited once, as ref. [5], for health information systems remaining separate entities prone to security threats (Section I, p. 747); the citation does not match S11's content. It cites no other seed and no included study.</t>
  </si>
  <si>
    <t>Same paper as S4-F81 (also S10-F57), reached again through S11: the PDF sent is the AI-SQE '26 paper with the same title, authors and DOI. S4-F81 records its citation of S11 (ref. [1], among works on architecture generation and implementation, Section 2, p. 89). The original is on this sheet (S4-F81), included and coded as FS37, so it is not screened or coded again.</t>
  </si>
  <si>
    <t>arXiv preprint (v1, 10 December 2023) with no venue or DOI; web searches on 4 October 2026 found only the arXiv record, a ResearchGate entry (which could not be read from our environment, rate-limited) and the author's GitHub repository, so it is excluded on its record. It combines a literature review of 24 articles on DevBots with an experiment in which GPT-3.5 generates OpenAPI specifications of an API with and without retrieval-augmented generation (Sections III-VI). If a peer-reviewed version appears, its scope would need a decision: the model's task object is the specification of a single API, an interface, rather than a system's architecture. S11 is cited many times, as ref. [8], among DevBots for collaborative architecture design and across the review's answers on DevBot features, conversational development and prompt engineering (Sections I, III and IV, pp. 1, 3-4). It cites no other seed and no included study.</t>
  </si>
  <si>
    <t>Duplicate of S11-F68</t>
  </si>
  <si>
    <t>Same paper as S11-F68, listed a second time among the works citing S11 (the first is S11-F68): the PDF sent is the eScholarship copy of the ICSE-SEIP 2025 paper with the same title, authors and DOI. S11-F68 is excluded under rule 1, so it is not screened again. S11 is cited once, as ref. [5], for generating architecture (Section I).</t>
  </si>
  <si>
    <t>Same article as S4-F20, listed a second time among the works citing S11 (the first is S11-F75): the PDF sent is a differently typeset copy of the ACM TAAS article with the same title, authors and DOI. S4-F20 logs it as the main-corpus study S20, included and coded in the main workbook, so it is not screened or coded again. S11 is cited once, as ref. [1] with [15], for software architecture analysis and generation (Section 2.2, p. 5 of this copy).</t>
  </si>
  <si>
    <t>A thesis, excluded as not peer reviewed on its record, as the other theses were (for instance S11-F183), without reading the full text. Only the title was sent, so its content and where it cites S11 were not checked. On its title it concerns safety cases for ML-enabled autonomous driving systems.</t>
  </si>
  <si>
    <t>Duplicate of S11-F15</t>
  </si>
  <si>
    <t>The PDF sent for this record is byte-for-byte identical to the one sent for S11-F15 (same file checksum): the IEEE Access systematic review of quantum cryptography for network security, excluded under rule 1. Logged as a second listing of the same paper among the works citing S11 (the first is S11-F15); its citation of S11 was checked for S11-F15 (ref. [21], Section I-C, p. 180050). If a different file was meant for this record, it will be screened when received.</t>
  </si>
  <si>
    <t>No full text could be obtained: the record was sent as not accessible, and the IGI Global and ResearchGate pages found by a web search on 4 October 2026 could not be read from our environment (rate-limited), so the authors, book and year could not be confirmed, as for S11-F137. On its title it concerns the skills software engineers need alongside AI, which would be out of scope under rule 1 unless it specifies an architectural model task; this was not checked. Its citation of S11 could not be checked.</t>
  </si>
  <si>
    <t>Study of how undergraduate students in a course on microservices architecture use search tools, including search engines and ChatGPT, in their team projects: a survey of 71 of 120 students, a framework for evaluating search tools for collaborative, peer and self-directed learning, and a prototype tried by eight students (Sections 3-4). No model performs a task on a software architecture; the students' microservice projects are the context, and the study concerns their searching and learning (rule 1). Peer reviewed: CSEDU 2025 (the repository lists it as a conference proceedings article). S11 is cited once, as Ahmad et al. (2023), for bots built with ChatGPT to help novice software architects (Section 2, Related Works, p. 3).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</si>
  <si>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arXiv preprint with no venue; web searches on 4 October 2026 found no published version, so it is excluded on its record. It would also be out of scope under rule 1: ChatGPT (GPT-3 and GPT-4) answers questions from conversational QA datasets, evaluated against the correct answers. S11 is cited once, as ref. [4], for ChatGPT's unsupervised pre-training (Section 1, p. 2); the citation does not match S11's content. It cites no other seed.</t>
  </si>
  <si>
    <t>No full text could be obtained: the record was sent as not accessible, and neither the AIS eLibrary index page nor a web search on 4 October 2026 gave the paper or its authors. On its title it analyses social influence in ChatGPT-related Twitter data, which would be out of scope under rule 1. Its citation of S11 could not be checked.</t>
  </si>
  <si>
    <t>No full text could be obtained: the record was sent as unavailable (link disabled), and the DiVA record found by a web search could not be opened from our environment, so its authors, year and publication type could not be confirmed. On its title it concerns reducing the token cost of LLM-based program repair, whose object is code, so it would be out of scope under rule 1. Its citation of S11 could not be checked.</t>
  </si>
  <si>
    <t>The PDF sent is marked 'Manuscript under review', with placeholder DOI and dates, and a web search on 4 October 2026 found no published version, so it is excluded on its record. It is a design science study in which ChatGPT, prompted with role, context and output contracts (including an architect role and requested diagrams and components), supported requirements elaboration, interface structuring, code generation, test planning and manuscript preparation for TeamFlow, a Python-SQLite project management prototype with a UML component diagram and a data-flow diagram, with all outputs reviewed by the researcher and 29 smoke tests passed (Sections 2-3, pp. 2-10). If a peer-reviewed version appears, its scope would need checking: whether the model produced the component architecture or only code and interface structure is not clear from the text. S11 is cited twice, as ref. [22]: as a case study finding that ChatGPT could assist with architectural analysis, synthesis and evaluation under expert oversight (Section 1, p. 2), and in the discussion (Section 3-C, p. 7). It cites no other seed and no included study.</t>
  </si>
  <si>
    <t>A thesis, excluded as not peer reviewed on its record, as the other theses were (for instance S11-F183 and S11-F200), without reading the full text. Only the title was sent, so its content and where it cites S11 were not checked. On its title it concerns emotion analysis services in textual interaction.</t>
  </si>
  <si>
    <t>Written in Turkish, with English title and abstract. Fine-tuned Llama-3.1-8B-Instruct and Gemma-2-9b-it models produce requirement lists, product and sprint backlogs and daily-meeting updates for Scrum teams, integrated with Jira through function calling (abstract). Excluded on the language criterion; on its abstract the object of the model's tasks is requirements and Scrum process artefacts, not a software architecture, so it would also be out of scope under rule 1. Peer reviewed: UBMK 2025 (IEEE). S11 is cited once, as ref. [8], for ChatGPT as a human-bot collaboration model in software architecting (Section II, p. 226). It cites no other seed and no included study.</t>
  </si>
  <si>
    <t>A thesis, excluded as not peer reviewed on its record, as the other theses were (for instance S11-F183 and S11-F208), without reading the full text. Only the title was sent, so its content and where it cites S11 were not checked. On its title it concerns fairness in AI-based resume matching for computer science hiring.</t>
  </si>
  <si>
    <t>A chapter in an edited book, not a peer-reviewed journal, conference or workshop paper, so it fails the publication-type criterion and is excluded on its record, as S11-F131 (a book) was. The book PDF at the link sent could not be downloaded from our environment, and the reading tool returned only the front matter, so the chapter's content and where it cites S11 were not checked. On its title it concerns ChatGPT in engineering education, which would also be out of scope under rule 1.</t>
  </si>
  <si>
    <t>No full text could be obtained: the record was sent as not accessible, and the Springer page found by a web search on 4 October 2026 could not be read from our environment (rate-limited), so the authors, venue and year could not be confirmed. On its title it concerns geometric modelling and visual aesthetics of urban environments, which would be out of scope under rule 1. Its citation of S11 could not be checked.</t>
  </si>
  <si>
    <t>Roadmap article (2030 roadmap) on human-centred software engineering in an AI era: trends, open challenges and research directions for developers, end users and end-user developers, collaboration, ethics and fairness, and AIOps. Architecture appears only in passing, and architectural model tasks are not a synthesised part of it (review threshold). Peer reviewed (journal article). S11 is cited once, as ref. [4], among sources on AI-implemented development tasks and collaboration with bots (Section 2.3.1, p. 129:11). It cites no other seed and no included study.</t>
  </si>
  <si>
    <t>Empirical study: five GenAI models served through Ollama (Claude Sonnet 4.0, GPT-OSS, Gemma 3, Llama 3, Phi 4.2) generate the code of a RESTful full-stack order-management application from a prompt that gives the MOSAR reference architecture and the application's UML domain models; the generated code is deployed and checked by the authors for executability and functionality against their own benchmark implementation, and none was executable without manual intervention (Sections 3-6, pp. 103-107). The architecture is an input and the model's task object is the code, so it is out of scope (rule 1), as S4-F39 and S11-F27 were; conformance to the architecture is assessed by the authors, not by the model. Peer reviewed: ICIIT 2026 (ACM). S11 is cited once, as ref. [13], for ChatGPT supporting architectural analysis, synthesis and evaluation (Section 2.2, p. 103). It cites no other seed and no included study.</t>
  </si>
  <si>
    <t>Exploratory study: an LLM generates UML class diagrams in PlantUML from natural-language queries that the database of an information system should answer, together with the queries as test cases. The object of the model's task is a class diagram describing the data to be stored, not a software architecture (rule 1; rule 4 would also apply), as for S11-F32 and S11-F178. Peer reviewed: MODELSWARD 2026 (SciTePress). S11 is cited once, as Ahmad (2023), among works that describe the purpose of the system to be developed when prompting for models (Section 2, Related Work, p. 195). It cites no other seed and no included study.</t>
  </si>
  <si>
    <t>A thesis, excluded as not peer reviewed on its record, as the other theses were (for instance S11-F183 and S11-F200), without reading the full text. Only the title and repository link were sent, so its content and where it cites S11 were not checked. On its title it concerns the evolution and AI-based completion of software models, the subject of S7-F09, which we excluded under rule 1.</t>
  </si>
  <si>
    <t>Legal study using formal-legal and comparative-legal methods to propose a legislative definition of bot farms, classify bots and compare EU and US regulation of AI and bots. No model performs a task on a software architecture (rule 1). Peer reviewed (journal article). S11 is cited once, as Ahmad et al. (2023), for bot farms being used for propaganda, disinformation and the promotion of narratives (Results, p. 147); the citation does not match S11's content. It cites no other seed and no included study.</t>
  </si>
  <si>
    <t>Conceptual replication of a study of developers' beliefs: generative AI tools are prompted about empirical software engineering claims, and their agreement and the evidence they cite are analysed. The object of the model's task is beliefs about research claims, not a software architecture (rule 1). Peer reviewed: ESEM 2025. S11 is cited once, as ref. [1], for generative AI supporting software design (Section I, p. 386). It cites no other seed and no included study.</t>
  </si>
  <si>
    <t>Same dissertation as S4-F94 (also S8-F44 and S10-F62), reached again through S11: the link sent is its ProQuest record, with the same title. S4-F94 is excluded as not peer reviewed on its record, so it is not screened again; where it cites S11 was not checked.</t>
  </si>
  <si>
    <t>A dissertation, excluded as not peer reviewed on its record, as the other theses were (for instance S4-F94 and S11-F189), without reading the full text. Only the title and ProQuest link were sent, so its content and where it cites S11 were not checked. On its title it concerns vulnerability analysis of source and binary code with transformer-based models, whose object is code, so it would also be out of scope under rule 1.</t>
  </si>
  <si>
    <t>No full text could be obtained: the record was sent as not available, and we did not open the repository record, so its authors, year and publication type could not be confirmed. On its title it is a systematic review of the limitations of robotic process automation and of generative AI's prospects there, which would have to meet the review threshold and does not suggest architectural model tasks. Its citation of S11 could not be checked.</t>
  </si>
  <si>
    <t>A thesis, excluded as not peer reviewed on its record, as the other theses were (for instance S11-F183 and S11-F216), without reading the full text. Only the title and repository link were sent, so its content and where it cites S11 were not checked. On its title it is a case study of AI-assisted and low-code development, judged on developer productivity, code quality, trust and usability.</t>
  </si>
  <si>
    <t>Same paper as S3-F07 (also S4-F95), listed a second time among the works citing S11 (the first is S11-F150). The entry sent is a Google Books link whose title is truncated to '...Making: Domain-Driven Context and Prompt Engineering', the end of the title of the ECSA 2026 chapter by Zimmermann and Seiger ('AI Assistance for Architectural Decision Making: Domain-Driven Context and Prompt Engineering', LNCS 16991, pp. 143-151), and it links to page 142 of the volume, just before the chapter's first page (p. 143); we did not open the Google Books entry. S3-F07 records S11 among the seeds it cites. The original is on this sheet (S3-F07), included and coded as FS12, so it is not screened or coded again; if a different work was meant, it will be screened when received.</t>
  </si>
  <si>
    <t>Same master's thesis as S4-F96 (also S7-F42), reached again through S11: the link sent is its record in the NOVA University Lisbon repository (RUN), with the same title. S4-F96 is excluded as not peer reviewed on its record, so it is not screened again; where it cites S11 was not checked.</t>
  </si>
  <si>
    <t>Narrative overview of natural language processing and generation: their history, components, datasets and models, and evaluation metrics and difficulties (Sections II-IV). It runs no model, and software architecture is not part of its synthesis (review threshold). Peer reviewed: ICCAMS 2023 (IEEE). S11 is cited once, as ref. [11] (under the title 'Towards human-bot collaborative software architecting with a chatbot'), among approaches to translating human speech into computer code (Section I, p. 1); the citation does not match S11's content. It cites no other seed and no included study.</t>
  </si>
  <si>
    <t>No full text could be obtained: the record was sent as not accessible, and we did not open the Springer and ResearchGate pages found by a web search on 4 October 2026, since Springer pages had been refused as rate-limited earlier the same day; its authors, venue and year could not be confirmed. On its title it concerns the sustainability of code produced with chatbots, whose object is code, so it would be out of scope under rule 1. Its citation of S11 could not be checked.</t>
  </si>
  <si>
    <t>Proposal of a four-layer human-robot collaborative design method: system architects design the functional architecture with IDEF0, discrete-event behaviour is modelled in GRAFCET, and LLM agents (Gemini, ChatGPT, Copilot) translate the GRAFCET models into high-level code, generate arithmetic logic and assist with documentation, applied to four custom projects and compared with traditional development on time, complexity, testing and debugging effort (Section II, pp. 579-580; Section III). The architecture is designed by people, and the object of the model's tasks is code generated from behaviour models, not a software architecture (rule 1). Peer reviewed: ICCBE 2025 (IEEE). S11 is cited once, as ref. [9], among the works the method builds upon (Section I, p. 578).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</si>
  <si>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Quasi-experimental study with 53 undergraduates on using ChatGPT for step-by-step solutions to operating-systems problems (CPU scheduling) and its effect on higher-order thinking. No model performs a task on a software architecture (rule 1). Peer reviewed (journal article). S11 is cited twice, as Ahmad et al. (2023), as showing ChatGPT's poor performance in software testing and training (Background, p. 7; Discussion, p. 12), which misdescribes S11. It cites no other seed.</t>
  </si>
  <si>
    <t>Primary study: ChatGPT ranks and explains candidate JavaScript packages for technology-related development queries, compared in a user study with AIDT, the authors' recommender, and with developers' rankings. It is the conference paper that S11-F193 (CLEI Electronic Journal, 2024) extends with a retrieval-augmented design and further LLMs. The object of the model's task is the selection of a library for a development task, not a software architecture (rule 1), as for S11-F193. Peer reviewed: CLEI 2023 (IEEE). Its second author, J. Andrés Diaz-Pace, is the first author of S8. S11 is cited twice, as ref. [28]: in the related work on ChatGPT assisting software architects (Section V, p. 9 of the PDF) and among experiments in which ChatGPT performed sub-optimally (Section VI, p. 9 of the PDF). It cites no other seed and no included study.</t>
  </si>
  <si>
    <t>Proposal of a multi-agent framework in which LLM-based agents with prompt engineering generate test cases from system functional specification documents. The object of the model's task is test cases, not a software architecture (rule 1). Peer reviewed: AIHCIR 2025 (IEEE). S11 is cited once, as ref. [8], among studies of GPT models in software engineering and testing (Section I, p. 2 of the PDF). It cites no other seed and no included study.</t>
  </si>
  <si>
    <t>Exploratory study: LLM-based chatbots (Bard, Copilot, ChatGPT) and 127 surveyed testers choose which test cases to prioritise in a constrained testing scenario, and their choices and stated assumptions are compared. The object of the model's task is test prioritisation, not a software architecture (rule 1). Peer reviewed: AIware 2024 (ACM), found by a web search on 4 October 2026; the PDF sent is the arXiv version. S11 is cited once, as ref. [1], among sources on challenges of AI agents such as response variability, ethics and biased outputs (Section 2, p. 2). It cites no other seed and no included study.</t>
  </si>
  <si>
    <t>Proposal of a virtual software simulation platform model for data resource search, combining resource allocation, search-algorithm optimisation and real-time interactivity, with an analysis of DDoS detection. No language model is used, and no model performs a task on a software architecture (rule 1). Peer reviewed: ICSADL 2025 (IEEE). S11 is cited once, as ref. [1], for software collaborative testing (Section I, p. 124); the citation does not match S11's content. It cites no other seed and no included study.</t>
  </si>
  <si>
    <t>Same preprint as S4-F99 (also S5-F27), reached again through S11: the PDF sent is version 2 (September 2026) with the same title and single author. S4-F99 is excluded as not peer reviewed and records S11 among the seeds it cites (Ahmad et al. 2023, Section 2.3, p. 3 of the version sent). It is not screened again; the S4-F99 decision applies, including the note to revisit it if a peer-reviewed version appears.</t>
  </si>
  <si>
    <t>The PDF sent names no venue, publisher or DOI, only a publication date (6 August 2026), and a web search on 4 October 2026 found no record of it, so it is excluded on its record. It would also be out of scope under rule 1: it proposes a taxonomy of AI agency and human authority in software development workflows, informed by semi-structured interviews, and no model performs a task on a software architecture; architecture appears only as the strategic direction that developers keep for themselves. S11 is cited once, as Ahmad et al. (2023), for ChatGPT supporting architectural tasks from generating alternatives to evaluating trade-offs (Section 2.3, p. 7). It also cites S4 (Dhar et al.), and no included study.</t>
  </si>
  <si>
    <t>Duplicate of S11-F118</t>
  </si>
  <si>
    <t>The PDF sent for this record is byte-for-byte identical to the one sent for S11-F118 (same file checksum): the arXiv version of Sadik, Brulin and Olhofer's paper on GPT-4 as a code generator in agile model-driven development, excluded under rule 1. Logged as a second listing of the same paper among the works citing S11 (the first is S11-F118); its citation of S11 was checked for S11-F118 (ref. 1, Section 1, p. 2). The record was sent as a book entry (Google Books, p. 198), which suggests that the Springer CCIS version announced in the preprint has appeared; we did not open it, and the decision would not change.</t>
  </si>
  <si>
    <t>No full text could be obtained: the record was sent with a disabled link, and a web search found no record of it, so its authors, venue, year and publication type could not be established. On its title it may be in scope: a model generating architectural alternatives with retrieval augmentation would be an architectural generation or decision-support task (1.1, 1.2). We will screen it in full if a copy or a working link is found. Its citation of S11 could not be checked.</t>
  </si>
  <si>
    <t>The record was sent as a book entry in Google Books, which we did not open. The PDF sent with it is an unrelated doctoral dissertation (Tufts University, 2024, on domain generalisation in machine learning), a 24-page ProQuest preview that does not mention S11, so it does not belong to this record. The title as sent is the beginning of the title of S11-F212 ('Geometric Modeling and Visual Aesthetics in Urban Environments', a Springer chapter), so this may be a second listing of that chapter; this could not be confirmed. Logged as not retrievable; if the right file is found it will be screened, or the record changed to a duplicate of S11-F212. On its title it would be out of scope under rule 1. Its citation of S11 could not be checked.</t>
  </si>
  <si>
    <t>Identified from Semantic Scholar's list of works citing S11 (read 4 October 2026), because Google Scholar could not be read from our environment, and logged under this open record number by our decision, without matching its Google Scholar position. Bibliometric and content analysis of 235 Scopus and Web of Science papers on LLMs in software engineering (January 2023 to June 2024). Architecture appears only in its summary of S11 as one of the ten most cited papers, so architectural model tasks are not a synthesised part (review threshold). Peer reviewed: IJACSA, as for S10-F21. S11 is cited as ref. [22], summarised as the sixth most cited publication, on ChatGPT in architecture-centric software engineering (Section IV-B and Table I, pp. 347-348). It cites no other seed.</t>
  </si>
  <si>
    <t>Primary study: ODAM, a Python pipeline, groups the 45 microservices of the Twilio API into business domains from their OpenAPI specifications. ChatGPT writes missing endpoint descriptions and, in two of three variants, groups the descriptions into functional topics; the microservices are then grouped by K-Means or hierarchical clustering on vectors built from those topics, and the six pipeline variants are compared with an expert reference (the LLM-augmented pipeline reached a 64% success rate, 34 points above the best variant without an LLM). Excluded under rule 1 by our decision (4 October 2026): the model's outputs are endpoint descriptions and topic groups of the API documentation, and the microservice decomposition itself is produced by classical clustering, not by the model. Peer reviewed: SBCARS 2025. S11 is cited once, as ref. [3], for human-bot collaborative architecting in which architects steer ChatGPT (Section 2, Related work, p. 2). It also cites S4 (ref. [13]) and FS63 (ref. [19]).</t>
  </si>
  <si>
    <t>Written in German, as sent ('Processes for developing digital products'): a chapter in a German-language Springer book. Excluded on the language criterion without further screening; we did not open the Springer page. On its title it concerns development processes for digital products, which would not suggest an architectural model task. Its citation of S11 could not be checked.</t>
  </si>
  <si>
    <t>Same paper as S4-F110 (also S5-F30 and S10-F70), reached again through S11: the PDF sent is the SBCARS 2026 paper with the same title and authors. S4-F110 records its citation of S11 (ref. [1], among LLM studies in software architecture, Sections 1 and 2.3, pp. 1, 3). The original is on this sheet (S4-F110), included and coded as FS43, so it is not screened or coded again.</t>
  </si>
  <si>
    <t>A thesis, excluded as not peer reviewed on its record, as the other theses were (for instance S11-F208 and S11-F222), without reading the full text. Only the title was sent, so its content and where it cites S11 were not checked. On its title it concerns explaining software with retrieval-augmented generation; whether any part concerns an architectural model task is not known.</t>
  </si>
  <si>
    <t>Research Square preprint (v1, posted 15 November 2023) with no venue; a web search on 4 October 2026 found only this preprint and its ResearchGate copy, so it is excluded on its record. It would also be out of scope under rule 1: it examines how the readability of requirements (Gunning Fog Index) affects the PlantUML use case diagrams that ChatGPT generates for an e-commerce platform for shoes, whose object is use case models, not a software architecture, as for S11-F180 by the same authors. S11 is cited once, as ref. [8], among calls for standardised NLP methods in agile development (Section 2.2, p. 4 of the PDF). It cites no other seed and no included study.</t>
  </si>
  <si>
    <t>Duplicate of S11-F155</t>
  </si>
  <si>
    <t>Same paper as S11-F155, listed a second time among the works citing S11 (the first is S11-F155): the PDF sent is another copy of the TEMSCON-ASPAC 2024 paper with the same title, authors and DOI (a different file, so its checksum differs). S11-F155 is excluded under rule 1 and records its citation of S11 (ref. [33], Section III-A, p. 3), so it is not screened again.</t>
  </si>
  <si>
    <t>Written in Italian, as sent (title in Italian with an English translation): a thesis in the Politecnico di Torino thesis repository. Excluded on the language criterion without further screening; as a thesis it would also not be peer reviewed, as for S4-F119. On its title it concerns the impact, risks and opportunities of GenAI tools for software development. Its citation of S11 could not be checked.</t>
  </si>
  <si>
    <t>No full text could be obtained: the record was sent as not accessible, and we did not open the repository file, so its authors, year and publication type could not be confirmed. On its title it is a case study of AI on data structures, algorithms and unit testing, whose objects are code and tests, so it would be out of scope under rule 1. Its citation of S11 could not be checked.</t>
  </si>
  <si>
    <t>The Google Scholar entry carries an author's affiliation line instead of a title and links to p. 347 of a book in Google Books, so the citing work could not be identified; we did not open the link. It was sent with the note that it is irrelevant to our topic, which we could not check ourselves. Its citation of S11 could not be checked.</t>
  </si>
  <si>
    <t>Duplicate of S11-F44</t>
  </si>
  <si>
    <t>Same article as S11-F44, listed a second time among the works citing S11 (the first is S11-F44): the PDF sent is the article-in-press version of the Intelligent Pharmacy review, with the same title, authors and DOI. S11-F44 is excluded under rule 1 and records its citation of S11 (ref. [134]), so it is not screened again.</t>
  </si>
  <si>
    <t>Written in Indonesian, with an English abstract. ChatGPT 4.0 is prompted to produce requirements, activity, use case and class diagrams, a system architecture diagram in PlantUML and user-interface designs for an attendance-data application, assessed by content analysis (Sections 2-3). Excluded on the language criterion; on its content the architecture diagram would make it a candidate for scope (1.1), so we will revisit it if an English, peer-reviewed version appears. S11 is cited once, as ref. [11], for using PlantUML text files to visualise diagrams generated by ChatGPT (Section 1, p. 3 of the PDF). It cites no other seed and no included study.</t>
  </si>
  <si>
    <t>No full text could be obtained: no file was sent, and the OPUS record found by a web search on 4 October 2026 returned an access-denied page to our environment, so its year and publication type (the repository mainly holds theses) could not be confirmed. On its title it is an empirical study of ChatGPT for authoring texts in software engineering, which would not suggest an architectural model task. Its citation of S11 could not be checked.</t>
  </si>
  <si>
    <t>Duplicate of S4-F90</t>
  </si>
  <si>
    <t>Identified from Semantic Scholar's list of works citing S11 (read 4 October 2026), because Google Scholar could not be read from our environment, and logged under this open record number by our decision, without matching its Google Scholar position. Same paper as S4-F90, reached through S11: 'Interpreting Workflow Architectures by LLMs' (ENASE 2025). S4-F90 records S11 among the seeds it cites (Ahmad et al., 2023). The original is on this sheet (S4-F90), included and coded as FS40, so it is not screened or coded again.</t>
  </si>
  <si>
    <t>Identified from Semantic Scholar's list of works citing S11 (read 4 October 2026), because Google Scholar could not be read from our environment, and logged under this open record number by our decision, without matching its Google Scholar position. Case study: ChatGPT is taken through the steps of the Riva method to identify business entities and units of work, produce PlantUML for unit-of-work diagrams and draft a first-cut business process architecture for online teaching, compared with one built by the traditional method; it could not produce the desired first-cut architecture. The object is an organisation's business process architecture, not a software architecture (rule 1), as for S4-F69. Peer reviewed (journal article). S11 is cited three times, as refs. [14] and [16] (the same paper listed twice): for ChatGPT understanding an architectural scenario and collaborating with a novice architect (Section II, p. 346) and for tools performing a later step (Section IV-C, p. 349). It cites no other seed.</t>
  </si>
  <si>
    <t>Identified from Semantic Scholar's list of works citing S11 (read 4 October 2026), because Google Scholar could not be read from our environment, and logged under this open record number by our decision, without matching its Google Scholar position. Case study: ChatGPT supports the design process of a space boot with haptic technology, from requirements elicitation and use cases to safety and ethics, refinement and test planning. The object of the model's tasks is a physical product, not a software architecture (rule 1). Peer review was not checked, as the record is excluded on scope. S11 is cited once, as Ahmad et al. (2023), for generative AI affecting design processes in engineering (Introduction, p. 186 or 187). It cites no other seed.</t>
  </si>
  <si>
    <t>Identified from Semantic Scholar's list of works citing S11 (read 4 October 2026), because Google Scholar could not be read from our environment, and logged under this open record number by our decision, without matching its Google Scholar position. Practitioner-track paper on the managerial challenges of bringing generative AI into software engineering, proposing six strategic actions across people, process and technology. Judged on its abstract, since the AIS eLibrary PDF could not be read from our environment: no model performs a task on a software architecture (rule 1). Peer reviewed: ICIS 2024. S11 is cited for generative AI as a tool and partner across the life cycle (Semantic Scholar's citation context); reference number, section and page not checked. Other seeds not checked.</t>
  </si>
  <si>
    <t>Duplicate of S11-F90</t>
  </si>
  <si>
    <t>Identified from Semantic Scholar's list of works citing S11 (read 4 October 2026), because Google Scholar could not be read from our environment, and logged under this open record number by our decision, without matching its Google Scholar position. Earlier arXiv version, under a different title, of S11-F90 (ICSE 2025, 'Software Model Evolution with Large Language Models: Experiments on Simulated, Public, and Industrial Datasets'): the same arXiv record, now carrying the ICSE title and DOI, the same three authors and the same approach (RaMc). As an earlier preprint of a published record it is logged as a duplicate of S11-F90, excluded under rule 1. S11 is cited as ref. [4] in both versions (Section 2).</t>
  </si>
  <si>
    <t>Duplicate of S11-F49</t>
  </si>
  <si>
    <t>Identified from Semantic Scholar's list of works citing S11 (read 4 October 2026), because Google Scholar could not be read from our environment, and logged under this open record number by our decision, without matching its Google Scholar position. Earlier arXiv version (v1), under a different title, of S11-F49 (ENASE 2024, 'ChatGPT as a Software Development Bot: A Project-based Study'): v2 of the same arXiv record is retitled for ENASE, with the same six authors and the same study (seven undergraduates, three months, three projects). As an earlier preprint of a published record it is logged as a duplicate of S11-F49, included and coded as FS58, so it is not screened or coded again.</t>
  </si>
  <si>
    <t>Duplicate of S11-F01</t>
  </si>
  <si>
    <t>Identified from Semantic Scholar's list of works citing S11 (read 4 October 2026), because Google Scholar could not be read from our environment, and logged under this open record number by our decision, without matching its Google Scholar position. Earlier arXiv version of S11-F01 (Meta-Radiology 2023, 'Summary of ChatGPT-Related Research and Perspective Towards the Future of Large Language Models'): v4 of the same arXiv record carries the journal title and DOI and states acceptance by Meta-Radiology. As an earlier preprint of a published record it is logged as a duplicate of S11-F01, excluded under the review threshold.</t>
  </si>
  <si>
    <t>Identified from Semantic Scholar's list of works citing S11 (read 4 October 2026), because Google Scholar could not be read from our environment, and logged under this open record number by our decision, without matching its Google Scholar position. No work with this exact title could be found by web search, so its authors, venue, year and content could not be established; its citation of S11 could not be checked. On its title it concerns ChatGPT in software testing, whose object is tests, so it would be out of scope under rule 1.</t>
  </si>
  <si>
    <t>Duplicate of S11-F270</t>
  </si>
  <si>
    <t>Same article as S11-F270, listed again among the works citing S11: the link sent is the same Journal of Health Informatics page (article 1275) with the same Portuguese title. S11-F270 is excluded as not in English, so it is not screened again.</t>
  </si>
  <si>
    <t>Duplicate of S11-F171</t>
  </si>
  <si>
    <t>Same paper as S11-F171, listed a second time among the works citing S11 (the first is S11-F171): the Google Scholar title is the paper's title preceded by 'Check for' (from Springer's 'Check for updates' mark), and the Google Books link points to p. 137, the first page of the ICSR 2024 chapter (LNCS 14614, pp. 137-152); we did not open the entry. S11-F171 is excluded under rule 1, so it is not screened again.</t>
  </si>
  <si>
    <t>A thesis, excluded as not peer reviewed on its record, as the other theses were (for instance S11-F242 and S11-F272). It was sent without title or link, so it could not be identified, and its content and where it cites S11 were not checked.</t>
  </si>
  <si>
    <t>Identified from Semantic Scholar's list of works citing S11 (read 4 October 2026), because Google Scholar could not be read from our environment, and logged under this open record number by our decision, without matching its Google Scholar position. Reflective workshop paper presenting a session with GPT-3.5-turbo as a play in three acts: the model proposes and refines analogies that yield interface-design ideas. Peer review could not be established: the workshop page says only that papers are selected for relevance, quality and diversity, and no proceedings were found. It would also be out of scope under rule 1, as the object is user-interface design concepts. S11 is cited once, as ref. [2] (its arXiv version), for generative algorithms producing variable outcomes (Introduction). It cites no other seed.</t>
  </si>
  <si>
    <t>Identified from Semantic Scholar's list of works citing S11 (read 4 October 2026), because Google Scholar could not be read from our environment, and logged under this open record number by our decision, without matching its Google Scholar position. No work with this exact title could be found by web search; the nearest match, Li et al., 'Evaluating large language models for software testing' (Computer Standards &amp; Interfaces 93, 2025), could not be confirmed as this record, so its content and its citation of S11 were not checked. On its title it concerns LLMs in software testing, whose object is tests, so it would be out of scope under rule 1.</t>
  </si>
  <si>
    <t>Written in German, as sent ('Development and validation of a prototype IDE plug-in for the LLM-supported creation of a software architecture'), and a thesis, as S10-F72 from the same repository. Excluded on the language criterion without further screening; as a thesis it would also not be peer reviewed. On its title it concerns an LLM-supported plug-in for creating a software architecture, which would be in scope on its topic. Its citation of S11 could not be checked.</t>
  </si>
  <si>
    <t>Same paper as S11-F97 (also S11-F110), listed a third time among the works citing S11: the Google Scholar title matches, and the Google Books link points to p. 201, the first page of the XP 2022/2023 Workshops chapter (LNBIP 489, pp. 201-209); we did not open the entry. S11-F97 is excluded under rule 1, so it is not screened again.</t>
  </si>
  <si>
    <t>A slide deck, not a peer-reviewed paper; excluded on its record without reading it, as S4-F116 was. On its title it concerns requirements engineering for prompting code generation, whose object is code, so it would also be out of scope under rule 1. Where it cites S11 was not checked.</t>
  </si>
  <si>
    <t>A thesis, excluded as not peer reviewed on its record, as the other theses were (for instance S11-F222 and S11-F242), without reading the full text. Only the title and link were sent, so its content and where it cites S11 were not checked. On its title it concerns tool validation under ISO 26262 with continuous practices, which would not suggest an architectural model task.</t>
  </si>
  <si>
    <t>Written in Portuguese, as sent ('Large language model for generating synthetic electronic health records'). Excluded on the language criterion without further screening; on its title it concerns generating synthetic patient records, which would be out of scope under rule 1. Its citation of S11 could not be checked.</t>
  </si>
  <si>
    <t>Same article as S4-F117 (also S7-F55 and S10-F71), reached again through S11: the link sent is its page in Cadernos UniFOA, with the same title. S4-F117 is excluded as not in English (Portuguese), so it is not screened again; where it cites S11 was not checked.</t>
  </si>
  <si>
    <t>A thesis, excluded as not peer reviewed on its record, as the other theses were (for instance S11-F222 and S11-F242), without reading the full text. Only the link was sent, and its Google Scholar entry carries no real title, so its content and where it cites S11 were not checked.</t>
  </si>
  <si>
    <t>Same paper as S3-F12 (also S4-F118 and S8-F59), reached again through S11: the link sent is its page on SBC SOL, with the same title. S3-F12 was read in full, excluded as not in English (Spanish, with an English abstract), and records S11 among the seeds it cites; it is not screened again.</t>
  </si>
  <si>
    <t>A thesis, excluded as not peer reviewed on its record, as the other theses were (for instance S11-F222 and S11-F242), without reading the full text. Only the link was sent, so its content and where it cites S11 were not checked. It is listed among the student projects of the Futhark programming language, which suggests a compiler or programming-language topic.</t>
  </si>
  <si>
    <t>Written in German (title and Scholar snippet; 'Artificial intelligence in the innovation process'). Excluded on the language criterion without further screening; on its title it concerns AI in innovation processes, which would be out of scope under rule 1. Its citation of S11 could not be checked.</t>
  </si>
  <si>
    <t>Written in Portuguese, with an English abstract and an English Scholar snippet, and an undergraduate final project rather than a peer-reviewed paper. It evaluates LLMs translating natural-language descriptions into C4-model architecture code in a DSL such as Structurizr, without human intervention, which would be in scope on its topic (1.1); excluded on the language criterion, and it would also be excluded as not peer reviewed. We revisit it only if an English, peer-reviewed version appears. S11 is cited for collaborative human-bot processes in which architects refined diagrams with ChatGPT 3.5 (Section 3.3, as reported by our reading tool; not checked in the file).</t>
  </si>
  <si>
    <t>Written in German (Scholar snippet), and a master's thesis. Excluded on the language criterion without further screening; as a thesis it would also not be peer reviewed. On its title it analyses the potential, a usage concept and best practices for AI-assisted software engineering. Its citation of S11 could not be checked.</t>
  </si>
  <si>
    <t>Written in Vietnamese (title and Scholar snippet; 'Assistive robots and education in Vietnam'). Excluded on the language criterion without further screening; on its title it concerns assistive robots in education, which would be out of scope under rule 1. Its citation of S11 could not be checked.</t>
  </si>
  <si>
    <t>No full text could be obtained: the record was sent with a disabled link, so its authors, venue, year and publication type could not be established; we did not search further. On its title it concerns the productivity effects of generative AI tools, which would not suggest an architectural model task. Its citation of S11 could not be checked.</t>
  </si>
  <si>
    <t>Same review as S4-F10 (also S5-F01, S8-F02 and S10-F01), reached again through S12: the PDF sent is arXiv v1 with the same title and eight authors. The original is on this sheet (S4-F10), subsequently excluded from the final synthesis (former FS13), so it is not screened or coded again; a web search on 4 October 2026 again found no published version. S12 is cited as ref. 16, in the review's list of primary studies on LLMs and software architecture.</t>
  </si>
  <si>
    <t>Primary study: CURE, a neural machine translation approach pre-trained on source code with code-aware search, generates patches for bugs in Java and is evaluated on Defects4J and QuixBugs. The object of the model's task is code, not a software architecture (rule 1). Peer reviewed: ICSE 2021. S12 is cited once, as ref. [87], among programming language models not evaluated on bug fixing (Section VII, Related Work, p. 1171). It cites no other seed.</t>
  </si>
  <si>
    <t>Systematic mapping study of 96 papers (2013-2021) on natural language processing in software traceability, classifying techniques, artefacts and barriers. It synthesises no architectural model tasks of language models of the kind we study; S12 appears as one of the deep-learning papers (review threshold, as S9-F02). Peer reviewed (journal article). S12 is cited as Keim et al. (2020b), with its technical report (2020a), in the classification tables and in the discussion of syntax conventions and explainability (Sections 4-5, pp. 8-13). It cites no other seed.</t>
  </si>
  <si>
    <t>Primary study: Flakify fine-tunes CodeBERT on the source code of test cases to predict whether they are flaky, evaluated on two datasets. The object of the model's task is test code, not a software architecture (rule 1). Peer reviewed (journal article). S12 is cited once, as ref. [31], for BERT giving relatively weak results when detecting architectural tactics in source code (Section 2.4, p. 1914). It cites no other seed.</t>
  </si>
  <si>
    <t>Same study as S5 of the main corpus (ICSA 2025), reached again through S12, as through S4 (S4-F14), S7, S8 and S9: the title and authors match. The original is in the main workbook, where it is included and coded, so it is not screened or coded again here. It cites S12 (ref. [40], with its technical report as ref. [41]) and also S4, S7, S8 and S9.</t>
  </si>
  <si>
    <t>Primary study: pre-trained Transformer models are evaluated on 13 small software-engineering datasets of code and natural language, with techniques for small data such as active learning, data augmentation and self-training. The objects of the models' tasks are classification and prediction on these datasets, not a software architecture (rule 1). Peer reviewed (journal article). S12 is cited twice, as ref. [59], for an English BERT applied to source code with underwhelming results (Section 2.4, p. 5053; p. 5063). It cites no other seed.</t>
  </si>
  <si>
    <t>Systematic mapping study of 91 primary studies on architectural tactics: how they are identified, specified, used and evaluated, and from which data sources. Language models appear only in S12 (its primary study S83) and a few machine-learning studies, so architectural model tasks of language models are not a synthesised part (review threshold, as S9-F02). Peer reviewed (journal article). S12 is its primary study S83, described as using BERT to classify tactics in text and code and mentioned for source code as a data source and for framework analysis (Sections 4.3.2 and 4.4.8, pp. 11-16; appendix list, p. 21). It cites no other seed.</t>
  </si>
  <si>
    <t>Primary study comparing pre-trained transformer models for classifying emotions in software-engineering texts such as GitHub comments. The object of the model's task is developer text, not a software architecture (rule 1). Peer reviewed: NLBSE 2024 workshop (ACM). S12 is cited once, as ref. [64], among language models used for software bugs and code quality (Related Work, p. 79). It cites no other seed.</t>
  </si>
  <si>
    <t>Systematic review of methods for interpreting building code regulations in automated compliance checking (rule-based, ontology-based and machine-learning approaches). Its subject is building regulation, not software architecture (rule 1, as for building architecture in S4-F06). Peer reviewed (journal article). S12 is cited twice, as Keim et al. (2020), for transformer models such as BERT enabling clause-level classification and high accuracy in regulatory text processing (Section 1, p. 2), which does not match S12's content. It cites no other seed.</t>
  </si>
  <si>
    <t>Primary study: a statement-based representation of Java code for neural networks, tested on code summarisation, statement separation and code search. The object of the model's task is code, not a software architecture (rule 1). Peer reviewed (journal article). S12 is cited once, as ref. [43], among works assessing the generalisability of deep-learning baselines (Section 7, Related Works, p. 6:27). It cites no other seed.</t>
  </si>
  <si>
    <t>Primary study: ConcernBERT, a BERT-based embedding model trained with triplet loss on class membership in over two million Java files, groups methods and attributes by responsibility, evaluated by recovering the original classes of merged methods. The object of the model's task is the grouping of program entities into classes; architecture recovery is named only as a possible downstream use, and the authors state that the model is not an architecture recovery tool (rule 1). Peer reviewed: accepted at IEEE TSE. S12 is cited twice, as refs. [44] (its technical report) and [45], among encoder models used in software engineering (Section 2, p. 3). It cites no other seed.</t>
  </si>
  <si>
    <t>Systematic mapping study of approaches that trace architectural design decisions to software artefacts (documentation, models, tools, AI and NLP techniques). It counts studies by approach and artefact; language-model work appears only as S12 among the AI approaches, so architectural model tasks of language models are not a synthesised part (review threshold, as S9-F02). Peer reviewed (journal article). S12 is cited as ref. [26] in its tables of approaches and linked artefacts (Section 4.2, Tables 4-5, pp. 412-413). It cites no other seed.</t>
  </si>
  <si>
    <t>A technical report by S12's own authors, presenting an extended version of S12's study of BERT detecting architectural tactics in code; as a report it is not a peer-reviewed paper and is excluded on its record. The study itself is S12, which is in the main corpus. S12 is cited as ref. 27, as the paper whose study the report extends (Section 1, p. 4 of the PDF).</t>
  </si>
  <si>
    <t>arXiv preprint (v1, 5 March 2025) marked as submitted to an Elsevier journal, also posted on SSRN; a web search on 4 October 2026 found no published version, so it is excluded on its record. On its content it would be in scope: Prmt4TD combines a fine-tuned small model (CodeBERT) with chain-of-thought prompts and similar demonstrations for DeepSeek-V3 to detect architectural tactics in code and explain the detections, evaluated on a balanced dataset and a case study of HDFS against Tactic Detector and S12's BERT approach (Sections 3-5) (1.4); revisit if a peer-reviewed version appears. S12 is cited several times, as ref. [26], for fine-tuning BERT to detect tactics and as a baseline (BERT4TD) (Sections 1, 2.2 and 4-5, pp. 1, 3, 7-9). It cites no other seed.</t>
  </si>
  <si>
    <t>A thesis, excluded as not peer reviewed on its record, as the other theses were (for instance S11-F242 and S11-F272), without reading the full text. Only the title was sent, so its content and where it cites S12 were not checked. On its title it concerns flaky tests, whose object is tests, so it would also be out of scope under rule 1.</t>
  </si>
  <si>
    <t>Preprint on Authorea, which marks it as not peer reviewed; a web search on 4 October 2026 found no published version, so it is excluded on its record. It would also be out of scope under rule 1: embeddings trace the concepts in source code, documentation and tests to application domains, so the object is domain semantics of artefacts, not a software architecture. S12 is in its reference list (refs. 51 and 53, with its technical report); the in-text citation was not checked. It cites no other seed.</t>
  </si>
  <si>
    <t>Primary study: CodeBERT is fine-tuned to classify code snippets into 20 security controls (called security tactics after Okutan et al.), such as AES, RSA, OAuth2 and ACL, and applied to 10 open-source health information systems to report which controls they implement. Excluded under rule 1 by our decision (4 October 2026): the model labels code snippets with security mechanisms, mostly cryptographic and protocol usages, so the object of its task is code; no architecture or design decision is recovered or assessed. Peer reviewed: SCCC 2025 (IEEE). Its second author, Gastón Márquez, is the first author of S12-F07. S12 is cited once, as ref. [8], for BERT detecting architectural tactics with good F1 scores (Section II, p. 2 of the PDF). It cites no other seed.</t>
  </si>
  <si>
    <t>Sent as documentation rather than a paper, with its title only, so it is excluded as not peer reviewed on its record; its content and where it cites S12 were not checked. On its title it concerns trace links in architecture documentation, which may be in scope if a peer-reviewed paper on it exists.</t>
  </si>
  <si>
    <t>Preprint on Authorea, which marks it as not peer reviewed, with placeholder submission dates; a web search on 4 October 2026 found no published version, so it is excluded on its record. It continues the work of S12-F16 by the same authors and would also be out of scope under rule 1: embeddings map concepts in software artefacts to application domains, not a software architecture. S12 is in its reference list (refs. 52 and 54, with its technical report); the in-text citation was not checked. It cites no other seed.</t>
  </si>
  <si>
    <t>A thesis, excluded as not peer reviewed on its record, as the other theses were (for instance S11-F242 and S11-F272), without reading the full text. Only the title was sent, so its content and where it cites S12 were not checked. On its title it concerns traceability management between software artefacts.</t>
  </si>
  <si>
    <t>A thesis, excluded as not peer reviewed on its record, as the other theses were (for instance S11-F242 and S11-F272), without reading the full text. Only the title was sent, so its content and where it cites S12 were not checked. On its title it concerns managing design debt by concerns.</t>
  </si>
  <si>
    <t>Primary study: quality attributes are traced to source code by identifying architectural tactics through 'clone microtactics', microstructures found in a conceptual representation of the code, evaluated in a case study. No language model or generative AI is used, so no model performs a task on a software architecture (rule 1, as S4-F98 and S8-F28). Peer reviewed (journal article). S12 is cited once, as Keim et al. (2020), for fine-tuning BERT to detect architectural tactics, judged not to have made acceptable progress over other methods (Section 2, p. 536). It cites no other seed.</t>
  </si>
  <si>
    <t>Preprint on Authorea, which marks it as not peer reviewed; a web search on 4 October 2026 found no published version, so it is excluded on its record. It continues the work of S12-F16 and S12-F19 by the same authors and would also be out of scope under rule 1: embeddings map concepts in source code, documentation and tests to application domains, so the object is domain semantics of artefacts, not a software architecture. S12 is cited with its technical report (refs. 52 and 54) in a group of refs. 48-54 on deep learning tools such as BERT for traceability (Section 2, Background research, p. 4). It cites no other seed. The file was sent labelled 21; record 21 is the thesis logged as S12-F21, so we assigned this file to S12-F23, the record not otherwise sent.</t>
  </si>
  <si>
    <t>Duplicate of S12-F18</t>
  </si>
  <si>
    <t>Same work as S12-F18 (same title, sent as documentation), listed a second time among the works citing S12 (the first is S12-F18). S12-F18 is excluded as not peer reviewed on its record, so it is not screened again.</t>
  </si>
  <si>
    <t>Proposal paper with a prototype for classifying software engineering research papers automatically, discussing natural language models, rule-based and topic-labelling approaches. The object of the model's task is research papers, not a software architecture (rule 1). Peer reviewed: EASE 2021 (ACM). Both authors are authors of S12. S12 is cited once, as ref. [13], with [9], as earlier work suggesting that classifiers based on language models such as BERT would give promising results (Section 3, p. 349). It cites no other seed.</t>
  </si>
  <si>
    <t>Duplicate of S12-F03</t>
  </si>
  <si>
    <t>Same article as S12-F03, listed a second time among the works citing S12 (the first is S12-F03): the PDF sent is another copy of the Journal of Systems and Software mapping study with the same title, authors and DOI (a different file, so its checksum differs). S12-F03 is excluded under the review threshold, so it is not screened again.</t>
  </si>
  <si>
    <t>Sent as a video (vlog), not a peer-reviewed paper, so it is excluded on its record without being viewed, as slide decks were (S4-F116, S11-F268). On its title it concerns identifying architectural tactics in source code. Where it cites S12 was not checked.</t>
  </si>
  <si>
    <t>Review of research on allocating urban service facilities (healthcare, education, mobility and others) for the Sustainable Development Goals: bibliometric trends, optimisation paradigms, how SDG targets become objectives and constraints, and prospects for large foundation models and GeoAI agents (Sections 3-5). The object is the spatial allocation of facilities, not a software architecture, so it is out of scope under rule 1, as for the building-code review S12-F09. Peer reviewed (journal article). S13 is cited once, misspelled in the text as 'Ghani et al. (2025)', as an integrative framework coupling LLMs with optimisation-based decision support for siting and allocation tasks (Section 5.2, p. 15). It cites no other seed.</t>
  </si>
  <si>
    <t>arXiv preprint (v3, 14 January 2026) with no venue; a web search on 4 October 2026 found only the arXiv versions and copies on ResearchGate and aggregator sites, so it is excluded on its record. It would also be out of scope under rule 1: ChatGPT is prompted with chain-of-thought and agentic prompts to formulate chance-constrained and two-stage stochastic optimisation models from natural-language descriptions, scored with a new soft-scoring metric, so the object is optimisation models, not a software architecture. S13 is cited twice, as ref. [15], for integrating LLMs with optimisation algorithms to make decision support systems adaptive (Section 2.3, p. 5) and in the summary of related work (Table 2, p. 6). It cites no other seed.</t>
  </si>
  <si>
    <t>Primary study: two LLMs and two large reasoning models, in a 2x2 factorial design, produce recommendations for 60 management-consulting scenarios in six domains, scored by a calibrated AI assessor with dual human scoring and analysed with mixed-effects models and a cost-quality comparison. The object of the models' task is organisational decisions, not a software architecture (rule 1). Peer reviewed (conference proceedings; peer review under the ITQM scientific committee, as stated on the first page). S13 is cited twice, as ref. [17]: among LLM-solver systems tested on last-mile delivery and vehicle routing ([13,16,17]) and among studies of LLMs as strategic decision agents ([5-7,11,17]) (Section 2, p. 1106). It cites no other seed.</t>
  </si>
  <si>
    <t>Primary study: open-source LLMs act as evolutionary operators that evolve populations of charging schedules for the Electric Vehicle Charging Scheduling Problem, alone and combined with heuristic correction and local search, compared experimentally. The object of the models' task is a schedule, not a software architecture (rule 1). Peer reviewed (IEEE conference proceedings). S13 is cited once, as ref. [16] with ref. [15], for LLMs assisting optimisation algorithms by generating candidate solutions or guiding search (Section I, p. 1 of the PDF). It cites no other seed.</t>
  </si>
  <si>
    <t>Primary study: an LLM is embedded in a genetic algorithm for designing wideband pixelized patch antennas, for parent selection, genetic operations and optimisation of the algorithm, compared in simulation. The object of the model's task is an antenna design, not a software architecture (rule 1). Peer reviewed (IEEE workshop proceedings). S13 is cited once, as ref. [9], for LLMs guiding heuristic search and decision-making in engineering design (Section I, p. 1 of the PDF). It cites no other seed.</t>
  </si>
  <si>
    <t>Primary study: AdversarialLLM, a sandboxed red-team and blue-team setting in which an adaptive red-team agent generates adversarial prompts and a blue-team ensemble detects them, evaluated over ten iterative cycles. The object is the robustness of LLMs themselves, not a software architecture (rule 1). Peer reviewed (IEEE conference proceedings). S13 is cited once, as ref. [13], for hard-coded, situation-specific algorithms making optimisation-based decision support systems inflexible (Section II, p. 2 of the PDF). It cites no other seed.</t>
  </si>
  <si>
    <t>Our own work-in-progress systematic review (Abbas &amp; Shahzadi) of LLMs for architectural design support in self-adaptive software systems. It reports an earlier stage of this review: four primary studies were selected, all of them in our main corpus (S16, S13, S15 and S21), and synthesised by MAPE-K phase, optimisation and evaluation techniques, and recurring characteristics (Sections III-IV). On its content it would meet the review threshold, but its evidence base is entirely main-corpus studies, and coding it would count that evidence a second time and make the review cite itself; we therefore exclude it as our own earlier review (our decision, 4 October 2026). Peer reviewed (journal special issue, with received, accepted and publication dates printed). S13 is primary study S2, ref. [16] (Table IV, Section III-A, p. 4), discussed throughout Section IV and in Table VII (pp. 5-6). It also cites S16 (ref. [15]), S15 (ref. [17]) and S21 (ref. [18]) as its other primary studies, and the withdrawn main-corpus study S10 (Shethiya, ref. [9]).</t>
  </si>
  <si>
    <t>Primary study: ST-Transformer, a transformer model with dynamic sparse attention, an adaptive mixture-of-experts layer and a trustworthiness core for uncertainty estimation and bias reduction, evaluated on efficiency, calibration and bias benchmarks. The architecture concerned is that of the neural network, designed by the authors; no model performs a task on a software architecture (rule 1). We did not check the journal's peer review, since scope decides. S13 is cited once, as ref. [49], for a 'TrustFormer' architecture with simple uncertainty estimation (Section II-C, p. 707), which does not match S13's content. The printed article history (published March 2025) is earlier than the IEEE Access volume of S13 that it cites. It cites no other seed.</t>
  </si>
  <si>
    <t>Primary study: AEGIS-INFRA, a self-healing system for supply-chain computing infrastructure that predicts failures over a service dependency graph, estimates blast radius, uses retrieval-grounded LLM root-cause inference and recovery planning, and remediates with verification and rollback (Sections IV-VI). The system's architecture is designed by the authors; the LLMs' tasks are incidents, root causes and recovery plans, not a software architecture (rule 1). We did not check the journal's peer review, since scope decides. S13 is cited once, as Ghiani et al. (2025), for LLMs reconfiguring algorithmic components and explaining rationale for routing problems (Section II-D, p. 28). It cites no other seed.</t>
  </si>
  <si>
    <t>Written in Korean, as sent (details from its DBpia record). Excluded on the language criterion without further screening; on its record it concerns an LLM-driven multi-robot path-planning system that interprets operator goals and chooses search algorithms, which would be out of scope under rule 1. Its citation of S13 could not be checked.</t>
  </si>
  <si>
    <t>arXiv preprint (v2, 14 September 2026) with no venue; a web search on 4 October 2026 under both of its titles found only the arXiv versions and aggregator pages, so it is excluded on its record. It would also be out of scope under rule 1: DeepDiscovery localises task anchors in a repository and expands from them to recover task-relevant files for LLM coding agents, evaluated on file recovery, industrial tasks and SWE-bench Verified, so the object is code context for coding tasks, not a software architecture. S14 is cited three times, as ref. [7] with ref. [6] (its arXiv version), for benchmark success not implying reliable understanding of large repositories (Section I, p. 1; Sections II-A and II-B, p. 2). It cites no other seed.</t>
  </si>
  <si>
    <t>Literature review (PRISMA, 2016-2026) of refactoring recommendations based on architecture mismatches, with four research questions on the significance of mismatches, contributions in mismatch-based refactoring, refactoring approaches for architectural improvement and the relevance of recommendations; the studies are summarised one by one (Sections 2.1-2.3) and tabulated (Tables 1-4). Its stated focus is deep learning in general: LLM-based studies appear only as individual summaries among many (GenAI refactoring of a monolith into containers, S14 and FS17), with no research question, section or synthesis of their own, so architectural model tasks are not a synthesised part of the review. Peer reviewed (journal article). S14 is cited once, as ref. [43] (its arXiv version), for recovering architecture from large legacy code repositories (Section 2.3, p. 1103). It cites FS17 (ref. [47], LLM-augmented architecture recovery) at the same place (pp. 1103-1104) and no other seed.</t>
  </si>
  <si>
    <t>Scoping review of AI agents in healthcare and biomedical research: clinical decision support and diagnosis, scientific discovery and workflow automation, with their multi-agent orchestration, retrieval, tool use and self-correction, and the gaps in clinical evaluation. The object of the reviewed agents' tasks is clinical and research work, not a software architecture, so it is out of scope under rule 1, as for S12-F09. Peer reviewed (journal article). S15 is one of its included studies, ref. [45] (included-studies table, p. 8), cited repeatedly in the Results on multi-agent clinical decision support, retrieval, web-search tools, the adaptive optimiser loop, and its evaluation and latency limits (pp. 10-11). It cites no other seed.</t>
  </si>
  <si>
    <t>Scoping review of 50 studies on medication-safety clinical decision support (rule-based, machine-learning, LLM-based and knowledge-augmented approaches), from which the authors propose CLARITY, a safety-control architecture for such systems. The architecture is designed by the authors, and the models' tasks in the reviewed systems are medication-risk detection and recommendations, not a software architecture (rule 1). Peer reviewed (journal article). S15 is cited twice, as Öğdü et al. (2025), for multi-agent designs that cross-check outputs through generation, critique and verification roles (Section 1, p. 3) and for iterative critique and task decomposition (Section 5.2, p. 13). It cites no other seed.</t>
  </si>
  <si>
    <t>Preprint on TechRxiv, which marks it as not peer reviewed; a web search on 4 October 2026 found only the TechRxiv versions and the project page, so it is excluded on its record. On its content it would also be out of scope under rule 1: it surveys LLM-based medical agents (architectures, tool use, applications along the care pathway, evaluation), whose tasks are clinical. S21's agent-architecture search is mentioned only in passing, twice, so architectural model tasks are not synthesised. S15 is cited once, as ref. [234], among adaptive systems combining BioBERT-based retrieval with web resources (Section 6.3, p. 53). It also cites S21 (ref. [114]; Section 2.2.1, p. 21, and Section 6.2.2, p. 51).</t>
  </si>
  <si>
    <t>arXiv preprint (v1, 21 August 2026) with no venue; a web search on 4 October 2026 found only the arXiv versions and aggregator pages, so it is excluded on its record. It would also be out of scope under rule 1: KFS-RAG defends retrieval-augmented generation against prompt-injection leakage of database contents by substituting keyword-grounded facts in the retrieved context, so the object is data leakage, not a software architecture. S15 is cited once, as Öğdü et al. (2025), among real-world applications of RAG such as decision support systems (Section 1, p. 1). It cites no other seed.</t>
  </si>
  <si>
    <t>Bibliometric and systematic review of LLM, retrieval-augmented generation and agentic-workflow approaches in clinical decision support systems: search and selection, citation analysis, approaches and their issues, challenges and trends. The object of the reviewed models' tasks is clinical decision support, not a software architecture (rule 1). Peer reviewed (journal article). S15 is cited as ref. [60], for a multi-agent CDSS integrating biomedical RAG and web intelligence (Section 1, p. 2) and as a reviewed study (Table 5, p. 22). It cites no other seed.</t>
  </si>
  <si>
    <t>Systematic review (PRISMA 2020) of 70 studies on agentic AI in healthcare: its components (planning, action, reflection, memory), architectures and applications in diagnosis, clinical decision support, treatment planning, drug discovery, personalised care and monitoring, with challenges and an evaluation framework. The object of the reviewed agents' tasks is clinical work, not a software architecture (rule 1). Peer reviewed (journal article). S15 is cited twice, as ref. [30], for cross-validating BioBERT-based retrieval against live web search (Section III, p. 131638) and as an adaptive multi-agent clinical decision support system (Section IV-B, p. 131642). It cites no other seed.</t>
  </si>
  <si>
    <t>Review of 145 records on LLM-based agentic systems, starting from LLM-based tutoring, organised by an Agentic Structure Taxonomy (cognition, interaction, orchestration, governance), from which transition gaps and fourteen structural constraints for such systems are derived. The structures discussed are those of the agentic systems, analysed by the authors; the models' tasks in the reviewed systems are tutoring and other agent work, not a software architecture (rule 1), as for the withdrawn main-corpus reference architecture S31. Peer reviewed (journal article). S15 is cited once, as ref. [95], for multi-agent architectures that distribute planning and verification (Section 4.3.2, p. 18). It cites no other seed.</t>
  </si>
  <si>
    <t>Primary study: EBM-KG, a knowledge graph of PICO elements built from the EBM-NLP dataset with a fine-tuned LLaMA model for entity normalisation and instantiated in Neo4j, evaluated on PICO frame extraction and question answering. The object of the model's task is clinical-trial evidence, not a software architecture (rule 1). Peer reviewed (journal article). S15 is cited once, as Öğdü et al. (2025), for knowledge graphs supporting recommendations within clinical decision support systems (Section 5, p. 143). It cites no other seed.</t>
  </si>
  <si>
    <t>Primary study: MedFusion-Agent, a multi-agent LLM framework that plans pharmacotherapy for patients with several conditions, reconciling conflicting guideline recommendations and medication-safety constraints, evaluated experimentally. The object of the models' task is treatment plans, not a software architecture (rule 1). Peer reviewed (journal article). S15 is cited once, as ref. [39] (Adaptive-CDSS), for multi-agent architectures extending into personalised treatment planning (Section II-C, p. 93916). It cites no other seed.</t>
  </si>
  <si>
    <t>arXiv preprint (v1, 26 June 2026) with no venue; a web search on 4 October 2026 found only the arXiv version and copies on ResearchGate and aggregator sites, so it is excluded on its record. It would also be out of scope under rule 1: IMCBench evaluates multimodal LLMs in multi-turn medical conversations grounded in patient images, so the object is clinical dialogue, not a software architecture. S15 is cited twice, as ref. [9], for clinical decision support systems among health AI assistants (Section 1, p. 1) and for clinical applications such as triaging support (Section 2, p. 3). It cites no other seed.</t>
  </si>
  <si>
    <t>Primary study: an agentic RAG system in which LLMs choose and call five legal tools through the Model Context Protocol to answer Korean bar examination questions, compared across models with ablations. The object of the models' task is legal questions, not a software architecture (rule 1). Peer reviewed (journal article). S15 is cited once, as ref. [27] with ref. [26], for agentic RAG in end-to-end diagnostic reasoning (Section II-C, p. 124444). It cites no other seed.</t>
  </si>
  <si>
    <t>Primary study: AKI-PREDICT couples an XGBoost classifier for acute kidney injury in ICU patients (MIMIC-IV) with SHAP explanations and BioBERT-based retrieval of guideline and literature evidence. The object is clinical prediction and evidence retrieval, not a software architecture (rule 1). Peer reviewed (journal article). S15 is cited twice, as ref. [31], as the most closely related multi-agent LLM with BioBERT-based RAG and web search (Section II-C, p. 93894) and in the comparison with it (Section V, p. 93902). It cites no other seed.</t>
  </si>
  <si>
    <t>arXiv preprint (v1, 22 August 2026) with no venue; a web search on 4 October 2026 found only the arXiv versions and aggregator pages, so it is excluded on its record. It would also be out of scope under rule 1: W-RAG retrieves evidence per knowledge base with source-level weighting to generate enterprise documents such as policies and guidelines, so the object is document content, not a software architecture. S15 is cited once, as Öğdü et al. (2025), among domain-specific biomedical RAG systems (Section 2, p. 2). It cites no other seed.</t>
  </si>
  <si>
    <t>Primary study: a classification-and-debate framework routes medical multiple-choice questions to LLM specialist agents by MeSH domain, which debate and vote, evaluated on MedQA and MedMCQA. The object of the models' task is medical questions, not a software architecture (rule 1). Peer reviewed (IEEE conference proceedings). S15 is cited once, as ref. [23], among retrieval-enhanced multi-agent systems (Section II-B, p. 2 of the PDF). It cites no other seed.</t>
  </si>
  <si>
    <t>No full text could be obtained: the record was sent as not accessible. A web search on 4 October 2026 found its Springer chapter page (BIS 2026, LNBIP 584), whose abstract describes ChatGPT combined with a rational decision-making framework to evaluate courses of action for management scenarios, assessed by 72 business professionals; on that abstract it would be out of scope under rule 1. Its citation of S15 could not be checked.</t>
  </si>
  <si>
    <t>Primary study: a five-stage RAG pipeline (multi-source retrieval from PubMed and NCBI Bookshelf, reranking, evidence distillation, follow-up retrieval, grounded generation with a local LLM and grounding verification) for multimodal medical question answering. The object is medical answers, not a software architecture (rule 1). Peer reviewed (IEEE conference proceedings). S15 is cited once, as ref. [7] with ref. [8], for vision-language models combining medical images with text (Section II, p. 2 of the PDF), which does not describe S15's content. It cites no other seed.</t>
  </si>
  <si>
    <t>medRxiv preprint marked as not certified by peer review. A web search on 4 October 2026 found the medRxiv record and PubMed and PMC entries (PMID 42428062, PMC13345405) that we could not open to see whether they index the preprint or a journal version; no journal version was found, so it is excluded on its record. It would also be out of scope under rule 1: PHO-Agents combines an EHR sequence model with LLM agents that retrieve guidelines and assess patients to predict health outcomes, so the object is clinical prediction. S15 is cited twice, as ref. 22, in the range 18-24 on LLMs for decision support (Introduction, p. 2 of the PDF) and among multi-agent approaches relying on web search ([22,28,29], Discussion, p. 13). It cites no other seed.</t>
  </si>
  <si>
    <t>Primary study: an IoT edge-fog-cloud framework for monitoring targeted-therapy toxicity, with an LSTM at the fog node and BioBERT with RAG for LLM reasoning in the cloud, evaluated on simulated episodes. The architecture is designed by the authors, and the models' tasks are toxicity detection and clinical reasoning, not a software architecture (rule 1). Peer reviewed (IEEE conference proceedings). S15 is cited three times, as ref. [3]: for clinical decision support systems built on static or batch data (Introduction, p. 1 of the PDF), among cloud-only systems (Section II, p. 2) and in the comparison with existing work (Section V-B, p. 6). It cites no other seed.</t>
  </si>
  <si>
    <t>Primary study: an application of several LLM agents connected in a graph (retriever, findings generation, impression generation) generates MRI reports from key phrases, evaluated with BLEU, ROUGE and BERTScore. The graph architecture is designed by the authors; the models' task is radiology reports, not a software architecture (rule 1). Peer reviewed (journal article). S15 is cited once, as ref. [13], as a close approach using a multi-layered system of LLM agents that retrieves information (Section 1, p. 1280). It cites no other seed.</t>
  </si>
  <si>
    <t>Primary study: HPFI-ADS classifies clinical text from electronic health records with domain-adapted encoders, fairness regularisation, adversarial robustness training and a concept bottleneck, evaluated on MIMIC-III, i2b2 2014 and n2c2 2018. The object is clinical text classification, not a software architecture (rule 1). Peer reviewed (IEEE conference proceedings). S15 is cited once, as ref. [3], for scaling BERT to PubMed corpora for biomedical NLP (Section II, p. 2 of the PDF), which does not describe S15's content. It cites no other seed.</t>
  </si>
  <si>
    <t>Primary study: a multi-user RAG chatbot built with LangChain, Ollama, ChromaDB and a Mistral model answers questions about uploaded documents. The object is document question answering, not a software architecture (rule 1). Peer reviewed (IEEE conference proceedings). S15 is cited twice, as ref. [1]: for LLM hallucination on domain-specific questions (Section I, p. 1 of the PDF) and as 'an AI driven PDF chatbot designed for project management automation' (Section II, p. 2), which does not describe S15's content. It cites no other seed.</t>
  </si>
  <si>
    <t>Primary study: a multi-agent framework with an open-source LLM extracts cancer registry fields (grade, morphology, TNM stage, laterality) from pathology and medical reports, compared with prompt-based LLaMA 3.3 baselines on hospital data. The object is clinical information extraction, not a software architecture (rule 1). Peer reviewed (workshop proceedings). S15 is cited once, as Öğdü et al. (2025), among agentic frameworks in oncology decision support (Section 1, p. 531). It cites no other seed.</t>
  </si>
  <si>
    <t>Duplicate of S15-F15</t>
  </si>
  <si>
    <t>Same paper as S15-F15, listed a second time among the works citing S15: the title sent is the same, cut short. S15-F15 is excluded as not retrievable, so it is not screened again.</t>
  </si>
  <si>
    <t>Duplicate of S13-F07</t>
  </si>
  <si>
    <t>Same paper as S13-F07 (our own work-in-progress review, Abbas &amp; Shahzadi), reached again through S15: the PDF sent is byte-identical to the one received under S13. S15 is one of its four primary studies (S3, ref. [17]; Table IV, p. 4, and Section IV, pp. 5-6). S13-F07 is excluded as our own earlier review, so it is not screened again.</t>
  </si>
  <si>
    <t>Primary study: a conflict-aware, calibrated fusion of biomedical RAG outputs and web evidence with a supervised ensemble model for clinical decision support, building directly on S15's system. The object is clinical decisions, not a software architecture (rule 1). We did not check the journal's peer review, since scope decides. S15 is cited twice, as ref. [17], for combining multi-agent reasoning with biomedical RAG and web intelligence (Section I, p. 60) and as the CDSS this work extends (Section II, p. 61). It cites no other seed.</t>
  </si>
  <si>
    <t>Sent as not peer reviewed, with its title only, so it is excluded on its record; a web search on 4 October 2026 did not find it. On its title it concerns detecting contradictions between agents in clinical hand-off pipelines, which would be out of scope under rule 1. Its content and where it cites S15 were not checked.</t>
  </si>
  <si>
    <t>A technical report, not a peer-reviewed paper; excluded on its record. On its content it would also be out of scope under rule 1: it is a systematic review of retrieval-augmented generation applied to medical data, summarising each paper's clinical task, models, retrieval sources and evaluation, so the reviewed models' tasks are clinical. S15 is one of the papers analysed (Section 3.2.26, pp. 79-80). It cites no other seed.</t>
  </si>
  <si>
    <t>Written in Finnish, as sent (our translation of the title is given in brackets). Excluded on the language criterion without further screening; on its title it concerns multiple AI agents supporting clinical decision support systems, which would be out of scope under rule 1. Its citation of S15 could not be checked.</t>
  </si>
  <si>
    <t>Primary study: a decision support system combining a digital twin of a closed-loop steel supply chain with graph-based retrieval-augmented LLM reasoning, applied to a green-steel transition case. The object of the model's task is supply-chain operations, not a software architecture (rule 1). Peer reviewed (journal article). S16 is cited twice, as Xia, Jazdi and Weyrich (2025), among LLM-digital twin studies on adaptive automation (Section 1, p. 2) and for its architecture integrating LLMs with digital twins (Section 2.3, p. 5). It cites no other seed.</t>
  </si>
  <si>
    <t>arXiv preprint (v1, 12 August 2026) with no venue; a web search on 4 October 2026 found only the arXiv version and aggregator pages, so it is excluded on its record. It would also be out of scope under rule 1: AgenticTwin grounds LLM explanations of anomalies in a digital-twin anomaly classifier and answers operators' questions, so the object is anomalies in cyber-physical systems, not a software architecture. S16 is cited once, as ref. [35], for digital twins traditionally relying on structured inputs and outputs (Section II-B, p. 2). It cites no other seed.</t>
  </si>
  <si>
    <t>arXiv preprint (v1, 23 July 2026) with no venue; a web search on 4 October 2026 found only the arXiv version and aggregator pages, so it is excluded on its record. It would also be out of scope under rule 1: the authors propose a federated cognitive digital twin architecture across the edge-to-cloud continuum, in which LLMs interpret aggregated information for system-level decision support; the architecture is the authors' own design, not the object of a model's task. S16 is cited twice, as ref. [25], among works on LLM capabilities (Section 1, p. 2) and for its architecture in which LLMs interact with digital twins (Section 2, p. 3). It cites no other seed.</t>
  </si>
  <si>
    <t>Magazine column on agentic AI as a co-engineering partner for software-defined industrial systems, with a capability stack and a pharmaceutical process-design case in which agents explore and rank alternative engineering process routes using digital twins and simulations. The object of the agents' task is process engineering (drug synthesis to manufacturing routes), not a software architecture (rule 1). As a magazine column its peer review is not established, but scope decides. S16 is cited once, as ref. 3 (with refs. 1 and 2), for continuously exploring alternatives and evaluating trade-offs in engineering (opening section, p. 156). Its second author is a co-author of S16. It cites no other seed.</t>
  </si>
  <si>
    <t>arXiv preprint (v1, 16 July 2026) carrying an IEEE copyright notice but naming no venue; a web search on 4 October 2026 found only the arXiv version and aggregator pages, so it is excluded on its record. It would also be out of scope under rule 1: in the proposed Intention Abstraction Layer, an LLM grounded in an OWL ontology parses natural-language goals into structured intentions whose conflicts are checked before execution, so the object is operational intentions, not a software architecture. S16 is cited once, as ref. [15], among works integrating LLMs with digital twins (Section II, p. 2). It cites no other seed.</t>
  </si>
  <si>
    <t>Literature-based framework (Agent4CAPP) mapping LLM-based agent capabilities in four layers (perception, knowledge, reasoning, coordination) onto computer-aided process planning for manufacturing, with proposed evaluation metrics. The object of the agents' task is manufacturing process plans, not a software architecture (rule 1). Peer reviewed (IEEE symposium proceedings). S16 is cited once, as ref. [38], for agents connecting to industrial automation through event-driven modelling and skill invocation to produce executable plans (Section V-A, p. 4 of the PDF). It cites no other seed.</t>
  </si>
  <si>
    <t>Primary study: a three-layer decision-making architecture combining digital twin simulation, LLM reasoning and agent-based feedback for ERP decisions in a teaching-platform environment, compared with baselines. The architecture is the author's own design; the model's task is enterprise operational decisions, not a software architecture (rule 1). Peer reviewed (IEEE conference proceedings). S16 is cited twice, as ref. [8], among cognitive twins (Section I, p. 1 of the PDF) and for using the digital twin's simulation log to constrain LLM output (Section II-C, p. 2). It cites no other seed.</t>
  </si>
  <si>
    <t>Same paper as S13-F07 (our own work-in-progress review, Abbas &amp; Shahzadi; also S15-F24), reached again through S16: the PDF sent is byte-identical. S16 is its primary study S1 (ref. [15]; Table IV, p. 4, and Section IV, pp. 5-6). S13-F07 is excluded as our own earlier review, so it is not screened again.</t>
  </si>
  <si>
    <t>Included as FS68</t>
  </si>
  <si>
    <t>Primary study (approach with an empirical evaluation): issues in three GitLab projects are linked to the growth of architectural smells (dependency cycles and hub-like components found by Arcade and Arcan) through issue-commit links, and ArchGuard then predicts from an issue's title and description, before implementation, whether it will introduce or expand such a smell, comparing LLM embeddings (OpenAI text-embedding-3-small) with seven classical classifiers, a fine-tuned RoBERTa and a zero-shot GPT-5-mini (Sections III-VI, pp. 46-52). In scope (rule 1), included by our decision (4 October 2026): the model's task is to predict damage to the system's architecture, an architecture analysis task (1.4). Peer reviewed: ICSA 2026 (IEEE). S20 is cited once, as ref. [68] in the range [67]-[71], among traceability work on architecture models, documentation and code (Section VIII, p. 53). It also cites FS15 (ref. [67]) at the same place and no other seed.</t>
  </si>
  <si>
    <t>Primary study: CoPaLink links bioinformatics tools mentioned in papers to the same tools in Nextflow workflow code, through named entity recognition on both sides and entity resolution with word embeddings (Sentence-BERT), evaluated per component and jointly. The object is bioinformatics workflows and tool mentions, not a software architecture (rule 1). Peer reviewed (journal article). S20 is cited once, as Fuchß et al. (2026), for entity matching across heterogeneous artefacts (Section 6, p. 8). It cites no other seed.</t>
  </si>
  <si>
    <t>Primary study (industrial, Porsche): a three-step LLM approach generates SysML activity diagrams from system-level requirements documents (more than 720 requirements, 72 use cases), compared with expert diagrams and rated by nine architects. The authors model the vehicle's E/E functional architecture with these activity diagrams, but activity diagrams describe functions and their flows, not the structure of a system, so the object of the model's task is behavioural models, not a software architecture; excluded under rule 1 by our decision (4 October 2026), as for the use case diagrams of S11-F180, and the label 'functional architecture' does not decide (rule 2). Peer reviewed (IEEE conference proceedings). S20 is cited once, as ref. [29] with ref. [28], for LLM-based traceability link recovery (Section VII, p. 337). It also cites S4-F10 (excluded study) (ref. [19]), FS18 (ref. [26]), FS44 (ref. [31]) and FS60 (ref. [15]), and no other seed.</t>
  </si>
  <si>
    <t>Tool paper: a REST API, a browser front end (TraceView) and a VS Code extension (TraceViz) make ARDoCo's traceability link recovery between architecture documentation, architecture models and code accessible, with a small think-aloud study of TraceViz. The pipelines exposed are heuristic (SWATTR, ArCoTL, TransArC, ArDoCode); the LLM-based approaches (LiSSA, LLM-based component name extraction) are named only for future integration, so no language model performs a task on the architecture in this work (rule 1, as S4-F98 and S8-F28). Its peer review is not established from the preprint, but scope decides. S20 is cited once, as ref. [4] with ref. [5], for LLM-based extraction of component names and architecture entities (Section 1, p. 1); in the conclusion 'ExArch [4]' refers to FS15's approach, which is ref. [5] (Section 5, p. 4). It also cites FS15 (ref. [5]) and no other seed.</t>
  </si>
  <si>
    <t>Primary study: open-weight LLMs generate Java and Python code from UML class diagrams (XMI), and token-level attribution (input masking, gradients, value zeroing) is aggregated into trace links between model elements and code, evaluated by top-k accuracy. The design model is the input and code the output, so the object of the model's task is code and its trace links (rule 1, as S4-F39 and S11-F27). Peer reviewed (ACM conference proceedings). S20 is cited once, as ref. [13], for LLM-based approaches inferring trace links between artefacts (Section 2.2, p. 2). It cites no other seed.</t>
  </si>
  <si>
    <t>Included as FS69</t>
  </si>
  <si>
    <t>Primary study (system with a production evaluation and a demonstration scenario): two asynchronous LLM agents on the AWS Strands framework record every commit in a two-tier memory, group commits into development initiatives across repositories, match them to Jira epics and Confluence technical design documents, and check them against the TDDs and ADRs, flagging architectural drift as pull-request comments before merge; over eight weeks across 120+ microservices it flagged 18 drift instances with an 83% true-positive rate (Sections 1-5, pp. 1332-1335). In scope (rule 1), included by our decision (4 October 2026): the agents judge the implementation against documented architectural decisions, an architecture conformance task (1.4), as in FS16. Peer reviewed: published in the ACM CAIS '26 proceedings (four pages). The model behind the agents is not named. S20 is cited once, as ref. [2] (its arXiv version, with an author list that differs from the paper), for LLMs extracting architectural entities and matching them to code (Section 6, p. 1335). It also cites S4-F10 (excluded study) (ref. [11]), FS16 (ref. [13]) and FS44 (ref. [5]), the first two with author lists that differ from the published papers, and no other seed.</t>
  </si>
  <si>
    <t>A master's thesis, excluded as not peer reviewed on its record, as the other theses were (for instance S11-F242 and S12-F20), without reading the full text. Only the title and link were sent, so its content and where it cites S20 were not checked. On its title it concerns LLM-based enrichment of a knowledge graph for traceability in agile software evolution.</t>
  </si>
  <si>
    <t>arXiv preprint (v2, 31 August 2025) with no venue; a web search on 4 October 2026 found only the arXiv versions, the project repository and aggregator pages, so it is excluded on its record. It would also be out of scope: it surveys self-evolving agents, including the optimisation of prompts, memory, tools and agent workflows and topologies, and by our decision (4 October 2026), automated search over agent workflows and topologies counts as a task workflow, not a software architecture (rule 1, as S11-F122); the other tasks it reviews are not architectural. S21 is cited twice, as Zhuang et al. (2025), among domain-specific agent designs for medical diagnosis (Section 6.1, p. 26) and as a graph-based agent framework that adapts with diagnostic performance (Section 6.1.1, p. 27). It cites no other seed.</t>
  </si>
  <si>
    <t>Review of LLM-based agents in biomedical research and clinical applications: their architectures, methods, evaluations and challenges. The object of the reviewed agents' tasks is biomedical and clinical work, not a software architecture (rule 1). Peer reviewed (journal article). S21 is cited once, as ref. [99], for adaptive architectures that restructure with task requirements (Section 6.4, p. 18). It cites no other seed.</t>
  </si>
  <si>
    <t>Survey of self-evolving LLM agents: what evolves (models, context, tools, architecture), when and how, with a section on agentic workflow optimisation and topology search (for example ADAS, AFlow, MaAS). By our decision (4 October 2026), automated search over agent workflows and topologies counts as a task workflow, not a software architecture (rule 1, as S11-F122), so the survey's architecture section does not concern software architecture and the rest is out of scope. Peer reviewed (TMLR, reviewed on OpenReview). S21 is cited once, as an automated architecture search that treats the diagnostic workflow as an evolvable object (Section 6.2, p. 34). It cites no other seed.</t>
  </si>
  <si>
    <t>Duplicate of S15-F03</t>
  </si>
  <si>
    <t>Same preprint as S15-F03, reached again through S21: the PDF sent has the same extracted text as the file received under S15, though the files differ. S15-F03 is excluded as not peer reviewed and records its citation of S21 (ref. [114]), so it is not screened again.</t>
  </si>
  <si>
    <t>Survey of LLMs for medical reasoning, from clinical needs to model capabilities, including agentic reasoning. The object of the reviewed models' tasks is clinical reasoning, not a software architecture (rule 1). Peer reviewed (journal article). S21 is cited once, as ref. [134], for viewing medical LLM agents as graph-structured systems (Section 4.6, p. 1101). It cites no other seed.</t>
  </si>
  <si>
    <t>The version sent is an anonymous submission marked as under review at ICLR 2026, and a web search on 4 October 2026 found only the OpenReview forum and preprint copies (TechRxiv, Preprints.org), so it is excluded on its record. On its content it would also be out of scope under rule 1: it surveys 50 papers on multi-agent LLM systems in medicine by team composition, knowledge enhancement and interaction, whose tasks are clinical. S21 is cited once, as Zhuang et al. (2025), among hospital simulations excluded from its corpus (Section 2, p. 2). It cites no other seed.</t>
  </si>
  <si>
    <t>Duplicate of S21-F10</t>
  </si>
  <si>
    <t>Earlier arXiv version of S21-F10 (CubeBench, ICLR 2026), listed separately among the works citing S21: same title and authors, the PDF marked 'Preprint'. As an earlier preprint of a published record it is a duplicate of S21-F10, which is excluded under rule 1; it cites S21 at the same place (Section 2, p. 3).</t>
  </si>
  <si>
    <t>Primary study: MedicAI, a medical chatbot using retrieval-augmented generation with LangChain, ChromaDB and Neo4j, with machine-learning disease prediction. The object of the model's task is medical information, not a software architecture (rule 1). Peer reviewed (IEEE conference proceedings). S21 is cited once, as ref. [5], for LangChain orchestrating LLM-based dialogue with retrieval (opening section, p. 1 of the PDF), which does not describe S21's content. It cites no other seed.</t>
  </si>
  <si>
    <t>Survey and six-dimensional taxonomy of self-evolving LLM agents in healthcare (18 papers), one dimension being multi-agent coordination, where S21 is one of two 'Topology &amp; Role' cases whose workflow graph changes. By our decision (4 October 2026), automated search over agent workflows and topologies counts as a task workflow, not a software architecture (rule 1, as S11-F122), and the other dimensions (tools and capabilities, memory and knowledge, context and prompt, policy and strategy, reasoning) concern the agents' clinical work. Peer reviewed (journal article). S21 is cited five times, as ref. [64] ('LearningDoc'): among adaptive multi-agent medical frameworks (Section I-A, p. 121453) and in the findings on prompt evolution, coordination, co-evolution and task categories (Sections IV-C, IV-F to IV-H, pp. 121467-121470). It cites no other seed.</t>
  </si>
  <si>
    <t>Primary study: CubeBench, a Rubik's-cube benchmark that tests LLM agents on interactive, long-horizon spatial reasoning under partial observation, with diagnostic experiments across models. The object of the agents' task is a puzzle environment, not a software architecture (rule 1). Peer reviewed (ICLR 2026). S21 is cited once, as Zhuang et al. (2025), among self-evolving agents that modify their own architecture (Section 2, p. 3). It cites no other seed.</t>
  </si>
  <si>
    <t>Preprint on TechRxiv, which marks it as not peer reviewed; a web search on 4 October 2026 found only the TechRxiv and ResearchGate copies, so it is excluded on its record. On its content it would also be out of scope under rule 1: it surveys medical reasoning by LLMs, from single models to collaborating agents. S21 is cited once, as ref. [19] with ref. [18], for agent-based frameworks improving robustness and transparency in healthcare (Section 1, p. 2). It cites no other seed.</t>
  </si>
  <si>
    <t>Preprint on TechRxiv, which marks it as not peer reviewed; a web search on 4 October 2026 found only preprint copies, so it is excluded on its record. On its content it would also be out of scope under rule 1: it surveys agents for computational pathology, whose tasks are diagnostic. S21 is cited once, as Zhuang et al. (2025), among agentic systems that make diagnosis an interactive, multi-step process (Section 1, p. 2). It cites no other seed.</t>
  </si>
  <si>
    <t>Scoping review of multimodal AI for dermatology with attention to longitudinal and treatment data. The object of the reviewed models' tasks is skin disease diagnosis and monitoring, not a software architecture (rule 1). Peer reviewed (conference proceedings). S21 is ref. [32] in its reference list, but we did not find it cited in the five-page text; it may be cited in the online appendix, which we did not open. It cites no other seed.</t>
  </si>
  <si>
    <t>A preprint on Preprints.org, sent as not peer reviewed, and excluded on its record without reading the full text. On its title it surveys automated optimisation of LLM multi-agent systems, which would also be out of scope: by our decision (4 October 2026), automated search over agent workflows and topologies counts as a task workflow, not a software architecture (rule 1, as S11-F122). Its citation of S21 was not checked.</t>
  </si>
  <si>
    <t>Preprint on Research Square (also on arXiv); a web search on 4 October 2026 found only preprint copies, so it is excluded on its record. It would also be out of scope under rule 1: MedClarify asks case-specific follow-up questions to reach a diagnosis, so the object is diagnosis. S21 is cited three times, as ref. [36] within ranges, among medical LLM systems with a static input-output design or used for diagnostic decisions (Introduction, p. 4; Discussion, pp. 24-25). It cites no other seed.</t>
  </si>
  <si>
    <t>Same paper as S13-F07 (our own work-in-progress review, Abbas &amp; Shahzadi; also S15-F24 and S16-F08), reached again through S21: the PDF sent is byte-identical. S21 is its primary study S4 (ref. [18]; Table IV, p. 4, and Section IV, pp. 5-6). S13-F07 is excluded as our own earlier review, so it is not screened again.</t>
  </si>
  <si>
    <t>Primary study: a DenseNet with multi-feature attention classifies skin disease images. No language model or generative AI is used, so no model performs a task on a software architecture (rule 1, as S4-F98 and S8-F28). Peer reviewed (ACM conference proceedings). S21 is cited once, as ref. [11], as the source of the SCID skin-condition image dataset (Section 4.1.1, p. 7 of the PDF), which does not describe S21's content. It cites no other seed.</t>
  </si>
  <si>
    <t>Duplicate of S21-F12</t>
  </si>
  <si>
    <t>Same preprint as S21-F12, listed a second time among the works citing S21: the PDF sent has the same extracted text, though the files differ. S21-F12 is excluded as not peer reviewed, so it is not screened again.</t>
  </si>
  <si>
    <t>Duplicate of S7-F35</t>
  </si>
  <si>
    <t>Same paper as S7-F35 (included as FS47), reached again through S22: the PDF sent is the ICSA 2026 Companion paper with the same title, authors and DOI. S7-F35 records its citation of S22 (ref. [13], for combining LLMs with external knowledge, Section II, p. 114). The original is included and coded as FS47, so it is not screened or coded again.</t>
  </si>
  <si>
    <t>arXiv preprint (v1, 7 April 2026) in an ACM template marked 'Manuscript submitted to ACM'; a web search on 4 October 2026 found only the arXiv version and aggregator pages, so it is excluded on its record. On its content it would be in scope: ASTRAL uses multimodal LLMs with prompt chaining and few-shot examples to reconstruct cyber-physical system architectures from fragmented documentation and to analyse them for threats and quantified risk, evaluated by an ablation study on several case studies and with 14 security practitioners (1.4); we revisit it if a peer-reviewed version appears. S23 is cited once, as ref. [39], for architecture-based penetration test generation among LLM-supported security workflows (Section 2.2, p. 6). It cites no other seed.</t>
  </si>
  <si>
    <t>arXiv preprint (v1, 24 March 2026) by S23's author and colleagues, with no venue stated; a web search on 4 October 2026 found the arXiv version and a Zenodo record that we could not open (our request was refused for rate limiting), and no published version, so it is excluded on its record. On its content it would be a candidate for scope: LLMs with different prompting strategies generate abstract penetration test cases from software architecture models (Palladio), meant to highlight security-critical design decisions for architects, with up to 93% usefulness and 86% correctness reported; whether this is analysis of the architecture (1.4) or test generation with the architecture as input (rule 1) would need deciding if a peer-reviewed version appears. S23 is cited three times, as ref. [4], for penetration testing as late security assurance and for more systematic architecture-level security testing (Section I, p. 1). It cites no other seed.</t>
  </si>
  <si>
    <t>Primary study by S23's author and colleagues: a metamodel extension adds security zones to the Palladio architecture description language, and a model-driven generator (no language model) derives abstract penetration test cases where information flows cross zones of different confidentiality, evaluated on case studies for usefulness, effort and run time. A language model (ChatGPT-5.2) is used only as an evaluation instrument, scoring the generated test cases zero-shot from the serialised architecture before the authors' own scoring (Section 4.3, pp. 54-55); the architectural analysis itself is done without a language model, so no model performs a task on the architecture (rule 1, as S4-F98 and S8-F28). Peer reviewed (conference proceedings). S23 is cited three times, as ref. [23] within groups, among recent work generating security test cases and reasoning about threats at design time (Section 1, p. 44) and among threat-modelling approaches to security test generation (Section 7, p. 57). It cites no other seed.</t>
  </si>
  <si>
    <t>28 meaning units (7 / 4 / 4 / 6 / 5 / 2 across T1-T6). Secondary study (systematic review). New family SF1 (UAI and LIFIA, Argentina). It reports on S1, S4 and S8, so its units about them are not independent evidence; its content on language models is thin and rests on single citations.</t>
  </si>
  <si>
    <t>34 meaning units (8 / 4 / 6 / 8 / 4 / 4 across T1-T6). Secondary study (multivocal review). New family SF2 (Oulu with Tampere, Arizona and IIIT Hyderabad); Vaidhyanathan co-authored S4 and S9 (F3), but this is a review, so it is kept separate. It reports on nine seeds (S1, S3-S5, S7-S11). Reliability: three statements about S1 conflict with our coding of S1; the snowballing yield and sources searched are reported inconsistently; three grey sources are cited but not listed.</t>
  </si>
  <si>
    <t>37 meaning units (9 / 7 / 8 / 5 / 5 / 3 across T1-T6). Primary study. New family SF3 (Nanyang Technological University with Imperial, HUST and Xi'an Jiaotong). The recommended input tool, SARIF, is the authors' own earlier work. FS17 (SemArc) belongs to the same family. Reliability: the abstract says 'trillions of lines of code' (largest project 11.7M); text figures in Section 4.2.1 differ from Table 3, and units use the table values.</t>
  </si>
  <si>
    <t>25 meaning units (6 / 4 / 5 / 3 / 4 / 3 across T1-T6). Primary study. New family SF4 (VIRTUS, Federal University of Campina Grande); extends the authors' SBCARS 2025 study. arXiv version of the JAWs 2026 paper read. Its inputs are the documentation prepared in Fuchs et al. (ICSA 2025, FS15), the predecessor of S20. Cites FS02.</t>
  </si>
  <si>
    <t>26 meaning units (6 / 4 / 6 / 2 / 5 / 3 across T1-T6). Primary study. Family F3 with S4 and S9 (shared authors Dhar and Vaidhyanathan; continues S4's work on design decisions), overlapping F4 through Soliman; not independent of S4. arXiv version of the IDEA-ARCH 2026 paper read. The published chapter (ECSA 2026, LNCS 16991, pp. 208-215, Springer, dated 2027) was reached through S4 (S4-F108), and its text matches the arXiv version apart from typesetting.</t>
  </si>
  <si>
    <t>23 meaning units (4 / 4 / 6 / 2 / 5 / 2 across T1-T6). Primary study. New family SF5 (Kassel, Fraunhofer IEE, Marburg); builds on the authors' own CAPI method. Scenarios, reference lists and human comparison data come from the authors' earlier CAPI study, so the benchmark is not independent of the method.</t>
  </si>
  <si>
    <t>20 meaning units (6 / 4 / 5 / 1 / 3 / 1 across T1-T6). Primary study, exploratory. New family SF6 (IDiAL, Dortmund University of Applied Sciences and Arts). Evidence is the authors' qualitative observation; the test case is an automotive embedded system despite the 'cloud-based' title. A domain model produced with S7's approach is one of its inputs.</t>
  </si>
  <si>
    <t>27 meaning units (7 / 4 / 4 / 5 / 4 / 3 across T1-T6). Primary study. New family SF7 (UAM Iztapalapa, University of Hawaii, Drexel University); no author in common with F1-F20 or SF1-SF6. The hotel case and its reference solution come from the first two authors' own book, and the authors compared the LLM design with it themselves; the warehouse design was rated by four professional architects who are not authors. Author's version (TSE early access) read. It cites S1 (ref. [4], with S1's title and DOI but S2's author list), although Google Scholar did not list it among S1's citing records, and the SSRN preprint of FS02 (ref. [9]). Related work by the same authors (IEEE Software 2026, ref. [11]; Designing '26, ref. [47]) belongs to SF7 if it is reached; the IEEE Software article was reached as S4-F52 and included as FS27 in SF7, and the Designing '26 paper as S4-F39, excluded as code generation. Cervantes (Humberto Cervantes Maceda) is also a co-author of S1-F17, an excluded SSRN preprint.</t>
  </si>
  <si>
    <t>30 meaning units (7 / 6 / 4 / 6 / 5 / 2 across T1-T6). Primary study, the first included study whose model works on a running system's architecture. New family SF8 (Gran Sasso Science Institute; CSIRO Data61); no author in common with F1-F20 or SF1-SF7. Not independent of its own inputs: the reference architecture (FLRA), the pattern catalogue, the agent coordination patterns and the prompt structure all come from work co-authored by Lu, and the Expert-Driven rules from the pattern catalogue and Compagnucci and Trubiani's earlier performance studies (ICSA 2025; JSS 2026). A predecessor on AI agents for selecting FL patterns (Compagnucci &amp; Trubiani, QualITA 2025) belongs to SF8 if it is reached. Reliability: its account of S5 (seven LLMs; the Llama, DeepSeek and OpenAI families effective), which it uses to choose its models, does not match S5, which studied GPT-3.5 only.</t>
  </si>
  <si>
    <t>24 meaning units (6 / 5 / 3 / 5 / 3 / 2 across T1-T6). Primary study (short workshop paper). Family F3 with S4 and S9 (same three authors) and FS05 (Dhar and Vaidhyanathan); not independent of them. arXiv version of the AGENT 2026 paper read, with the ACM rights block of the workshop proceedings; the DOI printed on it did not yet resolve in Crossref. Most agents in its design are proposals: the evaluated instantiation uses a repository summariser, a summary validator, an ADR generator and an ADR validator under an orchestrator. It cites S3, S4 and FS02 (as Esposito et al., 2025), but not S9, its authors' own earlier paper on architecture knowledge management. The evidence is subjective ratings by 13 participants (0-6 years of experience) of repositories they had submitted themselves.</t>
  </si>
  <si>
    <t>20 meaning units (4 / 3 / 4 / 5 / 2 / 2 across T1-T6). Study protocol: a Stage-1 registered report, so its units describe a specified pipeline and a planned study, not results. New family SF9 (TU Clausthal); no author in common with F1-F20 or SF1-SF8. Published in the ICSA 2026 Companion proceedings; the track is not named on the paper or found in the conference programme. It builds on SemArc (FS17) and SARIF as baselines and on the authors' own recovery work (MODELS-C 2025; a ROS 2 workshop study, arXiv 2602.18644), which belongs to SF9 if it is reached. It cites S3, S4, S5, FS02's SSRN preprint and ArchAgent (S14) through its arXiv version, with an author list that differs from S14's.</t>
  </si>
  <si>
    <t>20 meaning units (5 / 4 / 3 / 5 / 2 / 1 across T1-T6). Short vision paper. New family SF10 (University of St.Gallen, RWTH Aachen); no author in common with F1-F20 or SF1-SF9. Author version of the IDEA-ARCH 2026 paper read; acceptance confirmed on the ECSA 2026 programme and in the companion dataset on Zenodo. The evidence is practitioner input of unstated size and one example ADR reviewed by six LLMs, whose responses are published; the systematic evaluation is still in progress. It builds on Zimmermann's earlier work on architectural decision models and cites S3, S4, S11 and the arXiv preprint of FS08. The published chapter (ECSA 2026, LNCS 16991, pp. 143-151, Springer, dated 2027) was reached through S4 (S4-F95) and matches the author version in text; its reference list omits the Zenodo dataset still cited in the text as ref. [19].</t>
  </si>
  <si>
    <t>26 meaning units (6 / 4 / 6 / 5 / 4 / 1 across T1-T6). Primary study. New family SF12 (Wuhan University, with RMIT University, Central China Normal University and Shenzhen Polytechnic University). Liang co-authored S11 (F8), but this is a different line of work, the rationale of decisions rather than architecting with a chatbot, so it is kept separate, as the main corpus keeps S6 and S19 apart. The decisions come from developer questions and issue discussions and are mostly implementation (25%), technology (15%) and integration (14%) decisions; architecture pattern decisions are 12%. The formal labelling and evaluation were done by the first author and reviewed by four authors, and the expert reference averages 1.98 arguments per decision. Model settings, the number of runs, cost and latency are not reported, and the agents' web search may reach mirrored copies of the source posts, as the authors note. Reliability: the recall gain of the agents over zero-shot is given as 19.8%, whereas 0.627 to 0.715 (Table 8) is 14.0%; the chain-of-thought count is 5.76 arguments per rationale in Section 4.2.1 and 5.77 in Section 5.2; the Stack Overflow exclusions reported (83, 358 and 204 of 692 posts) leave 47, not 50. It cites S8 (ref. [16]) with pages 356-374 instead of 324-332.</t>
  </si>
  <si>
    <t>23 meaning units (6 / 6 / 3 / 5 / 2 / 1 across T1-T6). Vision paper. New family SF13 (Nanyang Technological University with Wuhan University). It shares three authors with FS03 (SF3), its first author Yiran Zhang, its corresponding author Weisong Sun and Yang Liu, and two with FS13 (SF12), Ruiyin Li and Peng Liang, and it proposes recovery tools, among them the authors' own SARIF (FS03's input tool), for mining existing designs. We checked it for membership of SF3, as noted when FS03 was coded, and keep it separate from both: it shares no technique, data or evaluation with either, and its line of work, agent-based design synthesis from requirements, is different, as the main corpus keeps S6 and S19 apart. Nothing is implemented or evaluated, so its units describe what the agents are specified to do. It cites S4 for zero-shot prompting frequently making LLMs hallucinate; S4 reports this for its smaller text-completion models, with few-shot prompting and fine-tuning reducing it.</t>
  </si>
  <si>
    <t>19 meaning units (4 / 3 / 4 / 5 / 2 / 1 across T1-T6). Primary study. Family F20: the conference version of S20 (TAAS 2026); all five of its authors are on S20, and the approach (later named ExArch), the benchmark and the eight models are those of S20's first evaluation, so it is not independent of S20. We include it as a separate study in F20 rather than as a duplicate. Keim and Koziolek also co-authored S12 (F9), and Keim S5 (F4). S4-F10 (excluded study) reviews it (its ref. [10]), and FS04 names it as the source of its MediaStore and TeaStore inputs. The baselines' results are taken from Keim et al. (TransArC), and significance is tested only for GPT-4o with names extracted from the documentation. Reliability: GPT-4o is called the best model at 0.86 weighted F1, which GPT-4 Turbo and GPT-4 match to two decimals (Table II); two references are listed twice ([5] and [16]; [11] and [46]).</t>
  </si>
  <si>
    <t>19 meaning units (3 / 3 / 4 / 5 / 3 / 1 across T1-T6). Primary study. New family SF14 (University of Oulu, with the University of Southern Denmark). Four of its six authors (Ahmad, Esposito, Lenarduzzi, Taibi) co-authored FS02 (SF2), but FS02 is a review, not a report of this technique or its evaluation, so the two are kept separate, as FS02 was from F3 and S4-F10 (excluded study) from F20. The pipeline and validation protocol are adopted from the authors' earlier LLM studies (refs. [14], [26]). The validator models receive the detector's judgement and reasoning, so their agreement with it is not independent, and accuracy rests on 305 decisions labelled by the authors. Decisions marked proposed, work in progress or submitted are counted as accepted (Table III), and 'not compliant' also covers decisions with no trace in the five retrieved code snippets. Run time and cost are not reported.</t>
  </si>
  <si>
    <t>21 meaning units (4 / 4 / 4 / 5 / 3 / 1 across T1-T6). Primary study. Family SF3 with FS03: three shared authors (Yiran Zhang, Wuxia Jin, Yang Liu), the same line of work (LLM-augmented, clustering-based architecture recovery building on the authors' SARIF, ref. [10]), eight of the same benchmark projects and ground truths, and the same Bash case study, so it is not independent of FS03. Led by Xi'an Jiaotong University, with Nanyang Technological University and Beihang University. It is the SemArc baseline FS11 plans to reproduce. Seven of the 15 core ground truths and all 30 extended ones were created by the authors, starting from an existing recovery technique's clustering and preferring groupings aligned with the directory structure, which may favour methods that use folder information, as SARIF and SemArc do. It describes S4 as generating design patterns, architectural styles and quality attributes from decision contexts; S4 generates the decision of an ADR from its context. Reliability: the results tables name the method 'SpaArc'; the baselines are introduced as six techniques from five categories, but seven are compared; Bash has 405 files in Table IV and 373 in the case study.</t>
  </si>
  <si>
    <t>20 meaning units (5 / 3 / 4 / 5 / 2 / 1 across T1-T6). Primary study. Family F4 with S5: Soliman and Keim wrote S5, and this study reuses S5's questions and ground truth on Hadoop HDFS, extending the evaluation from GPT-3.5 to seven models, so it is not independent of S5. Keim also co-authored S12 (F9), S20 (F20), S4-F10 (excluded study) and FS15. It is the seven-model comparison that FS09 attributes to S5. It reports 229 questions (80, 81 and 68 by concept), whereas S5 reports 236 (81, 87 and 68), without explaining the difference. Precision and recall are shown only as distributions in Fig. 2, without values in the text; each model answered each question once, and no sampling settings are given; the open models ran in 4-bit quantisation.</t>
  </si>
  <si>
    <t>17 meaning units (4 / 3 / 4 / 3 / 2 / 1 across T1-T6). Primary study (short paper). New family SF15 (University of Fortaleza, Brazil). Mendonça co-authored S3-F09, excluded as not peer reviewed, a different line of work (LLM-native applications), so there is no family link to consider. The evidence is small: one model, four diagrams, one run each and one expert, who judged the model's assessments rather than rating the diagrams independently; the expert's background and relation to the authors are not stated. The paper gives no agreement counts; those in our units (full agreement on 14 of 20 ratings, partial on 5, disagreement on 1) are our tally of Table 1. The data repository is linked under an anonymised review account; we reached it but did not check its files. Reliability: the Discussion names completeness among the criteria where the model did well, but by Table 1 the expert fully agreed with its completeness rating in one project of four; the diagrams are said to have been verified for clarity and completeness before submission, two of the criteria being assessed, without saying how.</t>
  </si>
  <si>
    <t>17 meaning units (4 / 3 / 4 / 3 / 2 / 1 across T1-T6). Primary study (six pages). New family SF16 (University of L'Aquila, Gran Sasso Science Institute, Mälardalen University); no author in common with the main corpus or with SF1-SF15. It extends the authors' model-driven conformance tool AssistRA (ref. [3], ICSA 2024), which detects the violations; the LLM only proposes the resolutions. FS19 cites it (its ref. [20]) as an MDE4SA 2025 workshop paper; the paper itself does not name the track. The test bed is one IoT reference architecture and four platform architectures from Guth et al., mutated by the authors into 16 faulty architectures (20 suggestions per model, the combined violation being scored twice). Correctness was judged by hand, once per suggestion, by evaluators who are not named, and no data are shared. A suggestion can be correct and still carry undesired actions, so the categories overlap and a row of Table I can sum to more than 100%. Reliability: counts are given 'over 16' (Gemini's two wrong fixes, ChatGPT's five undesired actions) while the success rates (90%, 70%) and ChatGPT's 25% wrong fixes use the 20 suggestions per model; for ChatGPT, Table II shows no wrong fix for Azure where Table I has one, and three undesired actions for SmartThings where Table I has two (4 wrong and 6 undesired in Table II against 5 and 5 in Table I).</t>
  </si>
  <si>
    <t>Empirical study on 340 open-source repositories with manually coded ground-truth views from Migliorini et al.; 13 configurations, 4,137 generated views; clarity, completeness and consistency rated by an LLM judge and accuracy and level of detail by two authors in a blinded evaluation of 110 views from 22 randomly sampled repositories, on FS19's criteria and three-level scale; image similarity (SSIM, with PSNR, SRE and SAM in the package); Friedman, Wilcoxon, Kruskal-Wallis and Dunn tests with Bonferroni correction and effect sizes.</t>
  </si>
  <si>
    <t>18 meaning units (4 / 3 / 4 / 4 / 2 / 1 across T1-T6). Primary study. Family F3 with S4, S9, FS05 and FS10: Dhar and Vaidhyanathan co-authored all of them, and the study is framed as architectural knowledge management, the line of S9 and FS10 (LLMs and agents deriving architecture knowledge from repositories), so it is not independent of them; its first author is new to the corpus. It adopts FS19's five criteria and three-level scale and draws its ground truth from the Migliorini et al. dataset that FS19 also uses. The LLM used as judge is not named, although self-preference bias is named as a threat; two authors did the blinded human rating of 22 repositories, averaged, without statistical tests. Reliability: 'success' counts meets and partially meets in the results (about 59% accuracy and 86% level of detail for ArchView) but only meets in the abstract and discussion (50% level of detail); Table IV gives 22 views for every approach, but the zero-shot and few-shot percentages fit 19 and 20 views (5.3% and 5.0% for one view); error rates are said to stay below 11%, but few-shot Claude 3.5 Sonnet failed on 41 of 340 repositories (12%); 266 of 340 ArchView views are said to match the ground truth on clarity, whereas Table III gives 77.3% of 325 (251); the discussion quotes SSIM of 0.7 for ArchView and 0.6 for the general-purpose agent against means of 0.60-0.64 and 0.55 in Table III; and the answer to RQ2 says richer notation improves quality, though only SSIM, not the judged quality, differed significantly.</t>
  </si>
  <si>
    <t>12 meaning units (3 / 2 / 3 / 1 / 2 / 1 across T1-T6). Tool and benchmark paper (five pages). Family F3 by the user's decision: Vaidhyanathan co-authored S4, S9, FS05, FS10 and FS21, and its ADR generation task is attributed to S4 (ref. [7]), so it is not independent of them; its other three authors are new to the corpus. Included under the proposed-task clause (rule 3): it runs no model and reports no results, so its units describe the specified platform and tasks, and two of its five tasks have an architectural object. Peer review is accepted on our judgement from the arXiv comment (ICSA 2026 Software Architecture Showcase track) and the conference programme; no published version was found. It hosts tasks from S4, from FS15's line of work (ArDoCo) and from S4-F11 (excluded, code generation). Reliability: the ADR dataset is described as 1,000 architectural documents from open-source projects and attributed to S4, which used 95 decision records from five repositories; the trace-link task is attributed to ref. [8], a study of web search engines for architectural knowledge, and the ArDoCo benchmark to ref. [9], FS15's conference paper, which is also cited among works on technical debt in the introduction ([9]-[14]); Table I names 'Serverless Component Gen' what the text calls 'Architectural Component Generation'.</t>
  </si>
  <si>
    <t>16 meaning units (3 / 3 / 3 / 4 / 2 / 1 across T1-T6). Primary study. New family SF17 (Vrije Universiteit Amsterdam); no author in common with the main corpus or with SF1-SF16. It extends S5 and FS18 (F4) to other systems and nine models, but shares no authors, data or subjects with them, so it is independent of them. The architecture is given to the model rather than recalled: the computation graph is extracted from each running simulation after 10 s and passed as JSON, so the questions test reading a structural model, and the ground truth is derived from the same graph. Each question was asked once, at default settings, with a 100-word limit. Perplexity is computed with GPT-2, so it measures how predictable an explanation is to GPT-2, as the paper states, although it is also presented as the certainty and stability of each model. Reliability: the abstract gives 300 of 1,230 prompts as incorrect, where 300 of 11,070 is meant; the results give 97.9% correct, whereas 300 errors in 11,070 is 97.3% and the per-system mean is 98.22%; four answers marked incorrect were found correct on review, yet 300 errors are reported throughout; the answer to RQ1 names gpt-4o and gpt-4o-mini, which are not among the nine models; and the introduction dates 531M ROS package downloads to 2004.</t>
  </si>
  <si>
    <t>16 meaning units (4 / 3 / 4 / 2 / 2 / 1 across T1-T6). Primary study. New family SF18 (Graz University of Technology, with IT:U Austria); no author in common with the main corpus or with SF1-SF17. Like FS07 it concerns teaching architecture, but it shares no authors or data with it. The model's contribution is judged indirectly: the rubric scores the students' final architectures, not the mentor's suggestions, and RQ1 and RQ2 are answered from chat protocols and questionnaires whose qualitative analysis is not described; 7 of the 20 students in the group without the mentor used ChatGPT or similar tools. The test statistics are only in the repository. Reliability: the average dialogue time is given as 64 minutes from the survey and, a sentence later, as nearly 63 minutes reported by the students; Kendall's W is cited to Landis and Koch (ref. [17]), whose paper concerns kappa; the Koppelman and van Dijk paper is listed twice (refs. [1] and [6]).</t>
  </si>
  <si>
    <t>16 meaning units (4 / 3 / 4 / 2 / 2 / 1 across T1-T6). Primary study. New family SF19 (York University, Toronto); no author in common with the main corpus or with SF1-SF18. The evidence rests on two public systems, likely in the models' training data as the authors note, with names matched by hand and, apparently, one run per setting. Reliability: several precision and recall values in Table II do not follow from the counts in Table I (for o3 with chain-of-thought on Online Boutique, 23 true positives, 18 false positives and 7 false negatives give 56.1% and 76.7%, not 34.8% and 53.3%; for Gemini with chain-of-thought, 31.9% precision, not 40.5%), and Table I's component counts for Llama with in-context prompting on Online Boutique sum to 10 rather than the reference's 12; the prompt labelled in-context learning contains a role and design principles but no examples; o3's 'higher precision' is said to mean more false positives, where lower precision is meant (p. 407); the replication material is described as a GitHub repository but linked on an anonymised review site.</t>
  </si>
  <si>
    <t>16 meaning units (4 / 3 / 4 / 2 / 2 / 1 across T1-T6). Primary study. New family SF20 (University of Southampton, UC Irvine and PUCRS); no author in common with the main corpus or with SF1-SF19. It is a human-centred study: the evidence is what 18 pairs of professionals did with GPT-3.5 Turbo in one greenfield task in 2023-2024, analysed qualitatively; the model's output and the resulting designs are not assessed for quality. Architecture is one part of the designs, alongside user flows, data models and APIs, and the units keep to what the model did. Reliability: Table 1 counts 12 pairs requesting artifacts, a type tagged only with the generator and producer roles, which together cover 11 pairs; its caption says General Design Help was sought only in the information-source and generator roles, while the table also tags it with the producer role.</t>
  </si>
  <si>
    <t>15 meaning units (3 / 3 / 4 / 2 / 2 / 1 across T1-T6). Primary study (magazine feature). Family SF7 with FS08: the same three authors and the same line of work, LLM support for Attribute-Driven Design, of which design concept selection is a step, so it is not independent of FS08; their code-generation workshop paper (S4-F39) is excluded. The problems and alternatives were generated by GPT-4o, which also produced a suggested answer and was one of the four models asked to choose; the appropriateness of the alternatives was judged by the authors; the human comparison comes from 23 workshop participants on five problems, and the problems are isolated and short by design. Reliability: agreement is counted out of five although four models answered (ChatGPT's two answers are counted separately, which the text explains only for the first problem); consensus among models and the difference from humans are called significant without a statistical test; S5's first author is spelled 'Sliman'.</t>
  </si>
  <si>
    <t>15 meaning units (3 / 3 / 4 / 2 / 2 / 1 across T1-T6). Primary study. New family SF21 (Charles University, Prague); no author in common with the main corpus or with SF1-SF20. Exploratory: three example applications from the authors' own earlier DEECo work, one model, zero-shot, answers judged by the authors and reported descriptively with listings and no counts; ensemble instantiation was checked against a modified runtime for one application only. The DEECo papers and code are public, and a paper was sometimes given to the model. Reliability: the summary for RQ3 says answers are 'far from being just hallucinated', although with anonymised names ensemble identification got worse and the Step-3 questions were not tested; ref. [4] (Brown et al.) carries the DOI of ref. [3].</t>
  </si>
  <si>
    <t>16 meaning units (3 / 3 / 4 / 3 / 2 / 1 across T1-T6). Primary study. New family SF22 (IIIT Hyderabad with the University of L'Aquila and the University of Groningen). Vaidhyanathan co-authored the F3 studies, but this is a different line of work, monolith-to-microservice refactoring rather than design decisions and architecture knowledge, and the other authors are new to the corpus; the family call is flagged for confirmation. Exploratory: four Java systems and their reference decompositions and tool results come from Wang et al.'s benchmark; every model and strategy is run once, fully automatically, and scored with the benchmark's metrics, with no human assessment of the decompositions. The benchmark systems are open source and may be in the models' training data, which the authors name. Reliability: the same CiD value, 85.87, is given for the hierarchical strategy and for the AI-aggregation strategies (Section V-D.2); the text refers to a 'Section 4.5.2' that does not exist (the paper numbers sections in Roman numerals); the systems are described as 24-53 classes in Section IV-B but as about 10k to over 100k lines of code in Sections IV-A and VII, which is hard to reconcile; RQ2 names time as well as computational cost, but only tokens are reported.</t>
  </si>
  <si>
    <t>22 meaning units (7 / 4 / 4 / 4 / 2 / 1 across T1-T6). Primary study. Family SF4 with FS04: Albuquerque, both Perkusiches and Gorgônio (VIRTUS, Federal University of Campina Grande) wrote both, the line of work is the same (microservice architectures generated from text), and FS04 states that it extends this study, as anticipated when FS04 was coded. Díaz-Pace and Rodríguez (ISISTAN, UNICEN) are co-authors; Díaz-Pace belongs to F2 (S3, S8), but his line there is design-decision assistants, so the study is not placed in F2. Evidence is limited: two small systems whose requirements the authors refined, one model, apparently one output per configuration, and the open comments analysed by the authors themselves. Reliability: the method engages six experts but the results and abstract report four; the abstract says zero-shot recovered 33 of 38 links and one-shot every link (precision about 0.76, recall 1.00), whereas Table 2 gives 32 and 36 of 38 (one-shot precision 0.72, recall about 0.94, as in the RQ2 answer), and the final remarks give 14 extra one-shot links against 12 in Table 2; the reference architectures are extracted from source code with static analysis tools in Section 3 but from the live deployments, with observed call graphs, in Section 4.2; the text gives zero-shot PetClinic plausibility as 1.75 (Table 3: 2) and reference correctness and completeness as about 3.25 in both systems (Table 3: 3.7 and 3.35 for Bookstore); an informal examination of the model's attention patterns (not shown) is mentioned for a model used through the OpenAI API, without saying how it was obtained; the model is called 'GPT-4 o3' and GPT-4 throughout, while its footnote links to OpenAI's o3 model page.</t>
  </si>
  <si>
    <t>21 meaning units (7 / 3 / 3 / 5 / 2 / 1 across T1-T6). Overview and proposal paper. New family SF23 (Research Group Software Architecture, University of Vienna); no author in common with the main corpus or with SF1-SF22. Included by our decision under the proposed-task clause: the two architectural model tasks (model generation against a metamodel, conformance checking against design-decision catalogues) are proposals in the discussion, not implemented or evaluated, so its units describe what is proposed; the LLM-based check of RL practices (CAIN 2025, ref. [30]) and the LLM-based pipeline generation (forthcoming, 'very low error rates' with seven LLMs) are summarised from other work without figures, and limitations and threats are deferred to the earlier papers. Reliability: S4 is cited for LLMs automating 'architectural synthesis, documentation, and adaptation to changing needs', whereas S4 studies the generation of design decisions only; ref. [1] (Bucaioni et al.) is given with an unclear venue ('2030 Software Engineering - 2025') and a truncated URL; the definition of LLMs is sourced to Wikipedia and an NVIDIA glossary in footnotes.</t>
  </si>
  <si>
    <t>16 meaning units (4 / 3 / 4 / 2 / 2 / 1 across T1-T6). Primary study. Family F3 with S4, S9, FS05, FS10, FS21 and FS22: Dhar and Vaidhyanathan co-authored it, and it continues S4's line of LLM-generated architecture decisions, now from a repository's decision history; Gupta and Feitosa (Groningen) are new to the corpus. Not independent of S4. Evidence: a large automated comparison scored only by text similarity against the human records, with an informal manual review by two authors, no statistical tests reported and no sampling settings given. Reliability: the abstract says retrieval offers 'no statistically significant advantage' and the RQ1 answer that history 'significantly' improves quality, but no statistical test is described or reported; the advantage of retrieval for cross-cutting decisions, stated in the RQ3 answer and the discussion, rests on the informal inspection that the threats section calls exploratory; the discussion argues that full history is costly because token use grows with repository size, but Table 1 gives only output lengths; S4 is listed twice (refs. [8] and [9]); the Qwen reference is missing ('[? ]'); Díaz-Pace et al.'s agentic approach is cited without a reference; GLM-4.6 is described as a graph-augmented model departing from sequential transformer attention, which we could not confirm (GLM stands for General Language Model).</t>
  </si>
  <si>
    <t>18 meaning units (6 / 4 / 4 / 1 / 2 / 1 across T1-T6). Primary study. New family SF24 (Software Engineering Laboratory, National Technical University of Athens); no author in common with the main corpus or with SF1-SF23. Evidence is limited: two small systems the authors designed and implemented themselves as references, one run per configuration, and scoring by the four authors (two graduate engineers, a PhD researcher and a professor) with a rubric; no repeated runs or statistical tests. Reliability: requirement representation is said to have 'significantly influenced' pattern application without any statistical test; the inter-rater agreement statistic is not named; conflicting ratings were jointly reviewed, yet final scores are said to be averages of the independent ratings, so it is unclear whether ratings changed; the number of Phase 2 scenarios is not given; Figure 1 has the typo 'chinking'.</t>
  </si>
  <si>
    <t>20 meaning units (6 / 4 / 3 / 4 / 2 / 1 across T1-T6). Primary study. Family SF21 with FS28: Töpfer, Bureš, Plášil and Hnětynka (Charles University) wrote both, and the line of work is the same, LLMs and DEECo ensemble-based architectures; FS28 tested whether a model understands such architectures at design time, and this study has models adapt them at runtime. Not independent of FS28. The second runtime-architecture study in the corpus after FS09. Evidence: simulations of two examples designed by the authors (one intentionally outside training data), baselines including the authors' own rule-based manager, repeated runs (five online, three offline), and offline managers generated and refined by hand through the ChatGPT web interface rather than the API. Reliability: Section 4.3 describes checking both system constraints and the custom constraints of the architecture specification, but custom constraints were not used in the experiments, only system constraints (Section 6.3.1); Table 3's caption reads 'scaleability'.</t>
  </si>
  <si>
    <t>17 meaning units (4 / 3 / 4 / 3 / 2 / 1 across T1-T6). Tool paper with a feasibility study. New family SF25 (Federal University of Pernambuco); no author in common with the main corpus or with SF1-SF24. Evidence is limited: five transcripts, four of them from student teams in an architecture course, one model, three rounds per approach, participants rating ADRs of their own projects, and a decision-level mapping to the experts' decisions whose procedure is not described. Reliability: four senior architects are said to have reviewed the transcripts (Section 4.2; the noun is missing in 'four senior software architecture reviewed'), while Section 5.3 refers to 'the senior evaluator' in the singular; the 15 respondents are said to come from 'the five student groups', although one of the five teams consists of senior researchers (Table 2); the coverage is reported as 'approximately 18 of the 23' decisions; the footnote on the ethics approval still says the number is omitted for anonymous review.</t>
  </si>
  <si>
    <t>17 meaning units (4 / 3 / 4 / 3 / 2 / 1 across T1-T6). Primary study. Family SF4 with FS04 and FS30: the same VIRTUS group (Pereira, Albuquerque, both Perkusiches, Gorgônio) with Rodríguez and Díaz-Pace (ISISTAN), on the same two systems and requirements as FS30, extended to three models; not independent of FS30. Evidence: two small, well-known systems whose requirements the authors revised, one run per configuration, automated matching without human rating, and descriptive results. The OpenAI o3 results differ from FS30's runs of the same model on the same systems (for PetClinic zero-shot, 26 of 26 links here against 22 of 26 in FS30), which shows run-to-run variation that single runs hide. Reliability: several values in the text do not match Table 2 (PetClinic one-shot link F1 of 0.567, 0.654 and 0.65 for OpenAI, Claude and DeepSeek, whereas the counts give about 0.48, 0.60 and 0.52, so DeepSeek declines rather than 'improves modestly'; Bookstore precision 'unchanged' at 0.556 for OpenAI, whereas the counts give 0.53 and 0.59; DeepSeek's Bookstore precision 0.91 'in both' conditions, whereas one-shot gives 1.0); Bookstore service identification is reported as precision = recall = F1 = 0.857 although no extras were generated (precision 1.0, F1 about 0.92); the references are said to be extracted from code by static analysis (Section 3) and from deployments and observed call graphs (Section 4.2). The abstract's averages agree with the tables.</t>
  </si>
  <si>
    <t>19 meaning units (5 / 3 / 4 / 4 / 2 / 1 across T1-T6). Primary study (workshop paper, nine pages). Same family as FS19 (SF15): the same two authors (University of Fortaleza), who present it as building on FS19 with the same five criteria and a structured prompting approach, applied to new diagrams (four SBES 2024 tool papers instead of four open-source projects); the two are separate studies but not independent, and both used ChatGPT-4o through the web interface in late 2024. The expert is stated here to be one of the authors, with over 20 years of experience in software architecture; FS19 does not say who its expert was. The evidence is small: one model, four papers, one run per case and one expert who reviewed the model's output rather than rating the diagrams independently. Reliability: the text and Table 5 give the model's ratings as 13 partially meets and 7 meets, but Table 4 rates AutomTest 3.0's level of detail as meets where Table 5 shows partially meets, so by Tables 1-4 the split is 12 and 8; the expert's counts (8, 6 and 6) agree with Tables 1-4. Section 3.2 calls the template role prompting, with the model acting as an architecture reviewer, but the template in Figure 1 has no role statement.</t>
  </si>
  <si>
    <t>19 meaning units (5 / 2 / 4 / 5 / 2 / 1 across T1-T6). Framework proposal with a feasibility prototype (design science). New family SF26 (NOVA University Lisbon). The same authors' brief survey (S4-F48, ref. [8]) was excluded below the review threshold; this paper adapts its role table (Table 2), so no included study shares the family. We read the authors' preprint (17 pages), whose page numbers we cite. The evidence is minimal: one screen capture of one session, no evaluation or metrics, and the model behind the OpenAI Agents SDK is not named; the prototype's GitHub repository is linked, but we could not reach it from our environment. The chapter is dated 2027 in its Springer citation line, although DoCEIS 2026 was held on 17-19 June 2026; we record 2027 as printed. Inclusion is borderline on evidence rather than scope: the model's tasks are architectural and shown running, but nothing is measured.</t>
  </si>
  <si>
    <t>18 meaning units (4 / 3 / 4 / 4 / 2 / 1 across T1-T6). Primary study. New family SF27 (York University and IBM Canada); FS25 is also from York University but has no author in common, so there is no family link. The evidence rests on three C systems compared qualitatively, one of them only by the authors' manual check, with no baseline and no agreement measure, and the LLM is never named. Reliability: the Bash gold standard is attributed to 'Lin et al. [9]' (p. 500), but ref. [9] is Lutellier et al. (ICSE 2015); the function-count matrix for Bash (Table III) sums to 2,556 functions, while Table I gives 2,637, without explanation; the SQLite result is called a clear alignment, although the documented Virtual Machine, OS interface and Code Generator are each spread over two to six recovered components.</t>
  </si>
  <si>
    <t>16 meaning units (3 / 3 / 4 / 3 / 2 / 1 across T1-T6). Primary study (work in progress). Family SF21 with FS28 and FS34: the same authors (Charles University) and the same line of work, testing whether LLMs correctly interpret architectures written in a DSL; FS28 did so for DEECo ensemble architectures and this study does it for workflow architectures, so it is not independent of them. Scope: the object is a workflow of executable tasks and sub-workflows linked by control and data flow, which the authors treat as a class of software architecture; we accept it under rule 1 as the component-and-connector structure of an experimentation system, but it is closer to a process model than any other included study. Evidence: 25 instances from 8 patterns, two OpenAI models and five repetitions, with reference answers and manual checks by the authors. Reliability: the totals in Table 2 agree with the pattern scores; the conclusions list step-by-step reasoning as improving the results, although no condition without it was run; line 26 of Figure 1 links HyperParameters to itself.</t>
  </si>
  <si>
    <t>16 meaning units (4 / 3 / 4 / 2 / 2 / 1 across T1-T6). Primary study (emerging-results paper). New family SF28 (ICMC, University of São Paulo); no author in common with the main corpus or with SF1-SF27. The evidence is five design problems, with one output reported per model, prompt and problem, two general models used through their web interfaces and one RAG tool, with outputs coded by the authors and no counts or statistics; the corpus-grounded condition answers from a corpus that contains the very patterns the problems were built from, so its advantage is expected by design. Reliability: Section 4.2 says the outputs were coded by two researchers, while Section 8 says the assessment was first made by one researcher and then validated by a senior one; the patterns are said to be selected at random from three secondary studies (Section 4.1) and from the whole set of 98 corpus patterns (Section 8); the first author is listed as Rebeca Pontes on the CBSoft site.</t>
  </si>
  <si>
    <t>17 meaning units (4 / 3 / 4 / 3 / 2 / 1 across T1-T6). Primary study (emerging-ideas paper). Family SF1 with FS01: the same four authors (UAI and LIFIA, Argentina), and FS01 is their systematic review of AI for microservice design, on which this paper builds (it cites the review for what it calls architectural hallucination); not independent of FS01, though FS01 is secondary and this is the family's first primary study. Earlier Spanish-language work in the same line is cited (CACIC 2025), and a web search shows a Spanish-language article with a similar title in Revista Abierta de Informática Aplicada; neither was checked. Evidence: internal improvement across generations on 22 story-card datasets with one model, no baseline, expert judgement or statistics, as the authors state. Reliability: the '+25.0% Improvement' in Figure 3(a) is 25 percentage points (74.5% to 99.5%); the unit of the times in Figure 3(c) is not stated.</t>
  </si>
  <si>
    <t>17 meaning units (5 / 3 / 4 / 2 / 2 / 1 across T1-T6). Primary study. New family SF29 (Federal University of Minas Gerais); no author in common with the main corpus or with SF1-SF28. It presents itself as extending FS19 (SF15), which it calls the closest work, with two models, guideline-level scoring against human reference scores and a comparison of input representations; it does not cite FS37. Evidence: six public open-source systems that may be in the models' training data, results pooled over two models, and reference scores from two engineers per diagram with the researchers deciding split labels. Reliability: we recomputed the F1 values in Table 4, the preference shares in Tables 6 and 7, the chi-square p-value (0.0034) and the Wilson interval ([53.6%, 67.5%]), and they agree with the text; Table 6 gives ties as 26.4%, where 67 of 253 is 26.5%.</t>
  </si>
  <si>
    <t>14 meaning units (4 / 1 / 2 / 4 / 2 / 1 across T1-T6). Vision paper, included by our decision under the proposed-task clause, so its units describe what is proposed. Family F9 with S12: both authors (Keim and Kaplan, KIT) wrote S12, and the line of work, extracting architectural knowledge from software artefacts with language models, continues there; it also overlaps F20 (Keim co-authored S20 and FS15, and the pipeline builds on the group's trace link recovery) and F4 (Keim co-authored S5 and FS18). Assigned to F9 on both authors. Not independent of the main corpus. The pipeline figure is taken from a KIT technical report by Keim et al. (ref. [23], logged as S5-F15 and excluded as not peer reviewed); nothing is implemented or evaluated.</t>
  </si>
  <si>
    <t>16 meaning units (4 / 3 / 4 / 2 / 2 / 1 across T1-T6). Primary study. New family SF30 (Politecnico di Milano); no author in common with the main corpus or with SF1-SF29. It cites S7 among works that generate UML diagrams from requirements with LLMs, and positions itself as the first to target component diagrams from informal specifications rather than class or sequence diagrams from requirements. Evidence: 12 compact exam traces from one course, whose descriptions and solutions could not be checked for exposure in the model's training data (the paper does not discuss it); one model in the pipeline, with the number of generations per trace not stated; ground truths that are one valid solution among several; indicators without statistics or baselines. Reliability: we recomputed the averages, standard deviations, minima and maxima in Table I from the per-trace values, and they agree; the reporting slips are noted with the quality appraisal.</t>
  </si>
  <si>
    <t>20 meaning units (5 / 3 / 4 / 5 / 2 / 1 across T1-T6). Primary study. Family F6 with S7: Eisenreich and Wagner are two of S7's three authors, and the pipeline continues their line of work on LLM-based architecture generation and its error propagation (ref. [9], Automating Domain-Driven Design, ICSA-C 2026); the first author is new to the corpus. Not independent of the main corpus. Peer review accepted on our judgement from the ACM reference block, the acceptance date and the workshop's stated single-blind review; the workshop is after our retrieval date. Evidence: two young projects of one anonymous company, three practitioners familiar with them, one coder supported by AI-assisted analysis, one model; stability is measured by counts of nodes and edges only, and the company data are not shared. Reliability: for Project A's Container nodes, an even split of five and six gives a coefficient of variation of 9.6% with the sample standard deviation, as reported; the other dispersion values cannot be recomputed, since per-run counts are given only in Fig. 2.</t>
  </si>
  <si>
    <t>18 meaning units (5 / 3 / 3 / 4 / 2 / 1 across T1-T6). Short paper (four pages). New family SF31 (Waseda University, with DENSO); no author in common with the main corpus or with SF1-SF30. Included by our decision: the alternatives compared are automotive ECU architectures, and the model's task, trade-off analysis between them, is architectural decision support. Evidence: one decision, three paper sets from OpenAlex read only up to the introduction, an unstated number of participants and runs, one model at temperature 0.7, and no statistics; the unconstrained runs shared three of the expert's seven comparison points and matched at most one impact label, so the headline agreement comes from runs constrained to the expert's points. Reliability: we recomputed Coverage, New and label-match denominators in Table I from the stated definitions, and they are consistent; the time reduction is 80-84% for the three unconstrained loop conditions (12-15 against 75 minutes).</t>
  </si>
  <si>
    <t>17 meaning units (4 / 3 / 4 / 3 / 2 / 1 across T1-T6). Primary study. Family SF9 with FS11 through Rausch (TU Clausthal), whose group also wrote the cited work on injecting architectural knowledge (ref. [20], Hatahet, Knieke and Rausch); the other authors are new to the corpus. It extends the authors' earlier preprint on blueprint-guided ROS 2 recovery (ref. [7], arXiv 2602.18644), whose evaluation pipeline and metric definitions it reuses without restating them; its own arXiv version is S7-F30. Evidence: one repository of about 1,500 lines of Python with one launch file and no namespaces or nested includes, a reference model built by the authors, an unnamed LLM, an unstated number of runs, and no baseline in this paper; the comparison with the earlier prototype is qualitative. Reliability: the published version is dated 2027 in LNCS 16991; we record 2026, as for FS12.</t>
  </si>
  <si>
    <t>15 meaning units (4 / 2 / 3 / 3 / 2 / 1 across T1-T6). Position paper (eight pages) with a preliminary evaluation. New family SF32 (Volvo Construction Equipment, Braås, with Linnaeus University); no author in common with the main corpus or with SF1-SF31. Included on our judgement under rule 1: of its four use cases only the mapping of requirements to reference-architecture modules is run, and the other three are planned, so they are coded as related activity or future work. Evidence: five functional requirements, one model, an unstated number of runs, ground truth from past feature development and no baseline; accuracy is not defined for requirements that map to several modules, and the two values of 0.5 are not explained. Reliability: we recomputed the mean accuracy in Table 1 (0.8), and it is correct; two in-text citations do not match the reference list ('Hofmeister et al. [8]', where [8] is Grünbacher, Egyed and Medvidovic, and 'Capilla et al. [7]', where [7] is Gillani, Niaz and Ullah; Section 3.1, p. 121); the abstract lists the use cases differently from Section 5. Year: the volume is printed 2026 (first online 5 September 2025), and we record 2026 as printed, as for FS18 and FS19; FS31, in the same volume, is recorded as 2025.</t>
  </si>
  <si>
    <t>16 meaning units (4 / 3 / 3 / 3 / 2 / 1 across T1-T6). Primary study (exploratory evaluation). New family SF33 (Fraunhofer IESE); no author in common with the main corpus or with SF1-SF32. Elberzhager also co-authored S4-F22 and S4-F44, both excluded. Close in task to FS19, FS37 and FS43 (LLMs rating architecture diagrams and descriptions), with no author in common. Version read: the PDF sent, an earlier version with 13 references; the published chapter's reference list, seen on the Springer page, has 17, adding S8 (ref. 15), the arXiv version of FS08 (ref. 14) and two further works, so where the published text cites S8 was not checked, and page numbers are those of the version read. Evidence: two unnamed open-source projects, two architects whose ratings appear as one 'human expert' series without saying how they were combined, three runs per project, and locally hosted Qwen2 and Llama 3.1 without stated sizes or settings. Reliability: 'deviation' in percent is not defined and per-statement values appear only in charts, so we could not recompute the 27% and 43%; two figure references are broken ('Figure 7Error! Reference source not found.', 'Figure 8Figure 6', p. 14).</t>
  </si>
  <si>
    <t>16 meaning units (5 / 3 / 3 / 2 / 2 / 1 across T1-T6). Primary study (repository mining). Family F2 with S3 and S8 through Tommasel and Diaz-Pace (ISISTAN, CONICET-UNCPBA), who co-author S8, the seed it cites; the first author is new to the corpus. Its evidence is therefore not independent of F2. Peer review: accepted in the ECSA 2026 research track, as listed in the conference programme; we read the arXiv version posted on the first day of the conference, and the published chapter was not found. Evidence: a large corpus (4,316 ADRs), but the classifier's accuracy rests on a 200-ADR ground truth labelled by two authors, reported only as a 46-66% agreement range across taxonomies and prompting strategies, without per-configuration values or inter-annotator agreement; the review of 100 judge assessments is reported without figures. The corpus-level distributions are produced by that classifier, so they carry its error. Reliability: the Kruchten shares (64%, 18%, 14%) leave 4% for non-existence decisions, consistent with 'a small number'.</t>
  </si>
  <si>
    <t>Primary study (short paper, exploratory evaluation): LLM-as-a-judge evaluation, with RAGAs, of ArchSec.AI, the authors' RAG-based assistant for recommending security architectural patterns (FS41).</t>
  </si>
  <si>
    <t>13 meaning units (2 / 3 / 3 / 2 / 2 / 1 across T1-T6). Primary study (short workshop paper). Family SF28 with FS41 through Sombra and Garcés (ICMC, University of São Paulo); Amalfitano (University of Naples Federico II) is new to the corpus. It is the RAGAs evaluation that FS41 announced as future work, so the two are not independent. Peer review on our judgement: the workshop site states programme-committee review and lists the paper, but not where papers appear; this can be switched if a published version cannot be found. Evidence: five questions, one tool, an unnamed generating model, one LLM judge, one run per question as far as reported, reference answers summarised by the authors, and hypotheses stated but not tested. Reliability: we recomputed the means from Table 1; answer relevance (0.692 against 0.6960) and context recall (0.166 against 0.1667) agree within rounding, but faithfulness gives 0.694 against the reported 0.7007, more than rounding of the table values allows; the corpus is given as 98 patterns (p. 2), over 300 patterns (p. 3) and 97 pattern classifications (p. 4).</t>
  </si>
  <si>
    <t>20 meaning units (6 / 3 / 4 / 4 / 2 / 1 across T1-T6). Primary study. Family SF28 with FS41 and FS52 through Amalfitano (University of Naples Federico II), a co-author of FS52; the line of work differs (architecture recovery and documentation from code, against security-pattern recommendation), and the other four authors (De Luca, Santilli, Fasolino, Pelliccione) are new to the corpus, so we treat it as independent of FS41 and FS52 in data, method and tool. It continues the authors' ECSA paper on LLM-based architecture design recovery from source code (its ref. [37]), which is not on our sheet. Evidence strength is moderate to weak: 22 participants, mostly academics, recruited by convenience, each rating documentation of their own repository; perceptions rather than checks against a ground truth; one model, with the number of runs per repository not reported; no baseline. Reliability: we read the Likert counts from Figures 2-5; every bar sums to 22, and all counts quoted in the text agree with the figures, from which we derived the positive shares in our units (for example Q10 16, Q15 11, Q18 12, Q21 and Q24 19 of 22). The text overstates two points: it reads Q15 (would use as a reliable reference: 11 of 22 positive, 6 disagree) as showing that many viewed the documentation as a usable reference, and it names the system overview and architectural context as having the most negative ratings, while the use case and code-level diagrams have as many (4 each). Table I lists 22 repositories with 3-447 files and 81-238,951 lines, as stated. One repository, sa-bsn, is the SA-BSN exemplar for self-adaptive systems (checked on its GitHub page on 1 October 2026), but results are not reported per repository.</t>
  </si>
  <si>
    <t>17 meaning units (6 / 3 / 3 / 2 / 2 / 1 across T1-T6). Primary study (short workshop paper). New family SF34 (University of Victoria); neither author shares a paper with the main corpus or with SF1-SF33 (the Guerra of F1 is a different author), so it is independent. Included by our decision (1 October 2026) on the scope question of whether VIPER is an architecture or a design pattern. Evidence strength is weak: one small project built by the first author with novice contributors, one model, one answer per question as far as reported, given the project tree only, graded manually without a second rater or stated criteria beyond correct, partial and incorrect; RQ3, the comparison with human developers, is not answered. Reliability: we recomputed Table I. The per-level grades follow from the counts (5/6 = 83%, 7.5/8 = 94%, 7/8 = 88%, 5/5 = 100%, 7.5/8 = 94%, 7/7 = 100%), but the table totals 42 questions, against 43 in the text, and the levels have 5-8 questions, against 'between 4 and 7' in the text (Section V, p. 8); over all 42 questions the score is 39 of 42 (92.9%), which the authors do not report. Who graded the answers is not stated.</t>
  </si>
  <si>
    <t>18 meaning units (4 / 3 / 4 / 4 / 2 / 1 across T1-T6). Primary study (Early Career Track paper on ongoing PhD research). New family SF35 (FEUP and INESC TEC, Porto); the single author shares no paper with the main corpus or with SF1-SF34, and the supervisors thanked in a footnote (Correia, Harrison, Aguiar) are not authors. Peer review accepted on our judgement (1 October 2026): the ICSA 2025 Early Career Track names a programme committee (co-chairs Lago and Bucaioni, eight members) and its papers appear in the IEEE companion proceedings, though the 2024 call we read does not describe the review and the 2025 call was not found; we distinguish it from S4-F67 (EMISA talk proposals, no committee review described). Evidence strength is weak: precision only, verified by one researcher, 22 top-starred repositories, three runs, one model chosen informally, no baseline. Reliability: we counted Table I: 103 high-certainty detections over 22 repositories and three runs, 88 marked present (85.4%) and 15 absent. The paper's 83% is said to cover all detected instances in all repositories and runs; whether that includes medium- and low-certainty detections, which are only in an external folder we did not open, is not stated, so the two figures cannot be reconciled from the paper. The catalogue is given as 24 patterns, but 23 names are listed (24 if API gateway and backends for frontends count separately), and one detection, 'Multiple services per host' (kubeshark, run 2), is not in the listed catalogue. A later arXiv paper with a related title, 'Can an LLM Detect Instances of Microservice Infrastructure Patterns?' (2603.23073), evaluates a GPT-5 nano tool on 190 annotated repositories; its authors were not confirmed, and it may continue this work.</t>
  </si>
  <si>
    <t>Primary study (exploratory evaluation); extended journal version of FS28.</t>
  </si>
  <si>
    <t>16 meaning units (4 / 3 / 4 / 2 / 2 / 1 across T1-T6). Primary study, extended journal version of FS28 (ISoLA 2024), included by our decision (1 October 2026) as a separate study. Family SF21 with FS28, FS34 and FS40 (Töpfer, Bureš, Hnětynka and Plášil, Charles University); it reuses FS28's three applications, six questions and stepwise method, so it is not independent of FS28; what is new is five further models (four of them open models run locally without Internet access), tool access against inlined code, and the anonymised test run across all models. Evidence strength is weak to moderate: three example applications from the authors' own DEECo work, results reported descriptively with listings and no counts, answers judged by the authors, and answers disregarded whenever a model ignored the code tool or the code did not fit the context window, without saying how many; ensemble instantiation was checked against a modified runtime for ML-DEECo only. Reliability: the caption of Listing 8 repeats 'code tool; plain question' from Listing 6, although the text presents Listing 8 as answers with the code inlined (pp. 647-649). The anonymised results differ from FS28's: there, ensemble identification got worse with anonymised names, whereas here all six models identified the components and ensembles correctly (Section 4.6, p. 651).</t>
  </si>
  <si>
    <t>15 meaning units (3 / 3 / 3 / 3 / 2 / 1 across T1-T6). Primary study (single case), included by our decision (3 October 2026). New family SF36: health-research authors at NYU Langone with no line of work or author shared with a seed or another included study, so it is independent. Evidence strength is weak: one system, one generated architectural diagram shown beside the team's own, no element-by-element comparison, and expert ratings that pool the architecture diagram with the code, drew mostly N/A answers there (only 2 of 11 evaluators had computer-science backgrounds) and are reported only narratively; the prompters knew the original design and re-prompted towards it, and evaluators were not blinded. Reliability: no numbers are reported, so nothing could be recomputed. From Figure 5A, the generated diagram leaves its three external-service boxes unlabelled, although REDCap and Twilio were named in the prompt (p. 9). The persona assigned for the architecture is 'software engineer' in the text (p. 9), while the prompt example for technical requirements uses 'software architect' (Figure 1, p. 3).</t>
  </si>
  <si>
    <t>16 meaning units (4 / 2 / 3 / 4 / 2 / 1 across T1-T6). Primary study (project-based study with surveys), included by our decision (3 October 2026). Family F8 of the main corpus: Waseem, Ahmad, Liang, Fahmideh and Mikkonen are authors of S11, so it is not independent of S11 (an author line, not shared data). Evidence strength is weak: seven novice students, self-reported agreement on survey statements, architecture covered by a handful of items, and no conversations or architectural artefacts reported. Reliability: the per-item counts come from Figure 3, whose labels are too small to read in the PDF, so the counts quoted in the text (5 of 7 for clearer, scalable architectures; 7 for aligned decisions; 6 strongly agreeing on clear architecture representation) could not be checked against it. Question counts disagree: the entry survey has 53 questions in Section 3.2 but 5 + 33 + 6 = 44 in Figure 1, and Section 4.1 speaks of 35 questions on the life cycle where Figures 1 and 2 give 33; the exit survey has 114 questions, but its parts in Figure 1 sum to 35 + 36 + 12 + 16 + 11 = 110; and RQ2 is said to use 11 questions (Section 4.3) where Figure 1 gives 12 (pp. 2-5). The arXiv version was read; the ENASE version was not compared.</t>
  </si>
  <si>
    <t>15 meaning units (4 / 3 / 3 / 2 / 2 / 1 across T1-T6). Primary study (approach with an evaluation), included by our decision (3 October 2026). New family SF37: Apvrille and Sultan of LTCI, Télécom Paris, the TTool line of work, with no author shared with a seed or an earlier included study, so it is independent; FS60 extends it. Evidence strength is moderate to weak: three system specifications, a comparison with about 15 master's students graded on stated criteria, and models and results shared publicly; but who graded, how many runs were made and the model settings are not stated, and user interaction was disabled in the evaluation. Reliability: Table 1 agrees with the text (block diagrams 81, sd 16, in 40 s on average against 70, sd 26, for students in 2700 s; state machines 63, sd 15, in 178 s against 58, sd 32) (p. 37). In the running example, Section 4.2.3 says the generated diagram has 5 blocks, and Figure 3 shows five, but Section 4.3.2 says the block diagram has two blocks and so two state machines; the generated CoffeeMachine block contains the attribute 'true = false : bool', although the text says blocks and attributes are correctly defined (pp. 32-33). Table 1 lists 2700 s for the students for both diagram types, without a standard deviation, while Section 5.2 says they had 1.5 hours to design and draw the state machines, so the student time appears to be the allotment divided between the two, not a measured time (pp. 35, 37). The HAL author version with the proceedings pagination was read.</t>
  </si>
  <si>
    <t>Primary study: approach (extension of TTool-AI, FS59) with formal consistency rules and an evaluation on three systems.</t>
  </si>
  <si>
    <t>15 meaning units (4 / 3 / 3 / 2 / 2 / 1 across T1-T6). Primary study (approach with an evaluation), included by our decision (3 October 2026). Family SF37 with FS59: the same two authors extend TTool-AI (ref. [3]), so it is not independent of FS59. Evidence strength is weak to moderate: three systems with relatively simple diagrams, one pair of diagram types, counts classified by the authors (who note the subjectivity), and no settings, runs, time or cost reported. Reliability: Table 4 recomputed and agrees: 36 internal and 33 external inconsistencies, 69 in total, 6 erroneous, and 30 + 30.5 = 60.5 corrected, 60.5/69 = 87.7%, reported as 87%; per-diagram averages of 49/12 = 4.1 for block diagrams and 20/12 = 1.7 for use case diagrams agree with the text (pp. 9-10). The erroneous detections are 6 of 75, 8%, in Section 5.3 (p. 9) but 7% in the discussion (p. 10). Section 4 names GPT-4-turbo and GPT-4o as the underlying models (p. 5), while Section 5.2 says GPT 3.5 and GPT 4 were used (p. 9).</t>
  </si>
  <si>
    <t>15 meaning units (4 / 2 / 3 / 3 / 2 / 1 across T1-T6). Primary study (student survey with a rule-based prompt framework), included by our decision (3 October 2026). New family SF38: authors at the University of Jordan, Saint Cloud State University, Southern Illinois University and the University of Wisconsin-Green Bay with no author shared with a seed or another included study, so it is independent. Only the deployment diagram is architectural; the other three diagram types are coded as related activity. Evidence strength is weak for the architectural part: one system, one deployment diagram from a prompt that already names its nodes, components, artefacts and communications, and student ratings pooled into four completeness and four correctness element scores for that diagram; the 'human-created' diagrams are the textbook's (ref. [30]), not students' work. Reliability: the exact Wilcoxon p-values agree with W = 0 (2/2^8 = 0.0078 for N = 8; 2/2^9 = 0.0039 for N = 9), and Cohen's d equals t divided by the square root of N for class, deployment and use case (for example 8.5979/√8 = 3.04), but not for sequence (6.3026/√8 = 2.23 against 2.17) (Tables 3-4, p. 12). The appendix counts agree (18/18 = 100%, 21/26 = 80.77%, 14/18 = 77.78%, 24/26 = 92.31%), and Figure A4 shows 18 nodes, components and artefacts; but the rule-based check rates the generated deployment diagram more complete than the textbook's (100% against 77.78%), while students rated it less complete (0.6486 against 0.7005) (Table 1, p. 10; Table A4, p. 26). The conclusions give 65.9% for deployment completeness where Table 1 gives 0.6486 (p. 18). Section 4.3 gives sequence correctness as 66.2% and then 68.3%, and cites the same comparison study as [27] and as [30], the textbook (p. 16). The deployment prompt lists follow-up instructions (a load balancer, communication types, fault-tolerance annotations), but Figure A4 shows none of them and the paper speaks of a single zero-shot prompt (pp. 16, 24-25). Use case completeness was rated on five elements and correctness on four, consistent with N = 9 in Tables 3-4.</t>
  </si>
  <si>
    <t>Primary study: approach (TTool-AI, extended journal version of FS59) with a comparative evaluation against students.</t>
  </si>
  <si>
    <t>GPT-3.5 Turbo (first evaluation, reused from FS59) and GPT-4o (new evaluation) through the OpenAI API, with knowledge injection, sliced queries and an automated feedback loop; no fine-tuning; settings not reported.</t>
  </si>
  <si>
    <t>Comparison with five cohorts of about 15 to 25 master's students on the same exam questions: the GPT-3.5 series of FS59 on three specifications and a new GPT-4o series on two (packaging chain, connected device), graded out of 10 on completeness, abstraction and use of the language, with generation time; model mutation and requirements identification illustrated on a running example only.</t>
  </si>
  <si>
    <t>17 meaning units (6 / 3 / 3 / 2 / 2 / 1 across T1-T6). Primary study (approach with an evaluation), the extended journal version of FS59 (MODELSWARD 2024), included by our decision (3 October 2026) as a separate study, as for FS56 and FS28. Family SF37 with FS59 and FS60 (Sultan and Apvrille, Télécom Paris): it reuses FS59's GPT-3.5 evaluation (Table 2) and FS60's consistency feature, so it is not independent of them; what is new is a GPT-4o evaluation on two further exam specifications, use case diagram and requirements generation, and model mutation. Evidence strength is moderate to weak: two new specifications, block diagrams generated for only one of them (the connected device), five diagrams per type, graders and runs not stated, and student times estimated from the exam allotment. Model mutation and requirements identification are shown on a running example but not evaluated, although the abstract says the new features were evaluated (pp. 1, 14). Reliability: Table 2 agrees with FS59's Table 1 (block diagrams 8.1 against 7 out of 10, there 81 against 70 out of 100, with the same times of 40 s and 178 s), and the internal-validity note confirms that student times were estimated from the time allotted for the exam, as we suspected for FS59 (pp. 15, 17). For the packaging chain, students' use case diagrams were graded 7.9 against 7.7 for TTool-AI, which the text calls equivalent (p. 16). The interface in Figure 5 shows gpt-4-turbo selected, while the evaluation reports GPT-3.5 Turbo and GPT-4o (pp. 11, 14).</t>
  </si>
  <si>
    <t>15 meaning units (5 / 3 / 3 / 1 / 2 / 1 across T1-T6). Primary study (experiment), included by our decision (3 October 2026). New family SF39 (Baylor University and the University of Arizona): Cerny co-authored the review FS02 (SF2), but a review is kept separate, so it is independent. Evidence strength is moderate to weak: one benchmark system, 33 questions written by the authors, one model, answers judged against answers taken from the code by evaluators whose number is not stated, and no difference between knowledge bases significant at 0.05. Reliability: the Friedman p-values in Table 5 agree with chi-square tests on two degrees of freedom (for example 2.10 gives 0.350 and 4.80 gives 0.091) (p. 17). Precision and recall are defined the wrong way round (P = C/(C+M), R = C/(C+S)), which leaves F1 unchanged (p. 15). Only the source-code mean F1 (0.794) is given in the text; the other knowledge bases are shown only as box plots (Fig. 3, p. 16). The planned comparison between question categories is not reported, and the Remote Calls scenario defined in the analysis is missing from Table 5 (pp. 16-17). The construct-validity section names completeness, relevance and clarity as quality metrics, which the evaluation does not use (p. 19); the graph is a Component Call Graph in the introduction and a Control Call Graph in the statement of contribution (pp. 2, 4); and 'α = 01' should read 0.1 (p. 17).</t>
  </si>
  <si>
    <t>16 meaning units (5 / 2 / 3 / 3 / 2 / 1 across T1-T6). Primary study (preliminary case study), included by our decision (3 October 2026). New family SF40 (SeSa Lab, University of Salerno): no author is shared with a seed or another included study, so it is independent. Evidence strength is weak: one student project of moderate complexity, supervised by the authors, serves as the oracle; the outcomes are effort ratings by three authors; no generated artefact, conversation or comparison detail is shown; and the architecture is covered by two artefacts, the subsystem division and the software/hardware mapping. Reliability: where the text describes an artefact's effort it agrees with Table 3 (subsystem division high; software/hardware mapping, boundary conditions, class interfaces and design patterns low; category partition high) (p. 4); nothing else could be recomputed. Reporting slips: the research question speaks of 'LMMs' (p. 2), the opening sentence of the conclusion lacks its verb (p. 5), and the model version, GPT-3.5, is given only in the threats to validity (p. 5).</t>
  </si>
  <si>
    <t>13 meaning units (4 / 2 / 3 / 1 / 2 / 1 across T1-T6). Vision paper with a preliminary experiment, included by our decision (3 October 2026). New family SF41 (ABB Corporate Research and the University of St. Gallen): no author is shared with a seed or another included study, so it is independent. Evidence strength is very weak: three scenarios, observations stated without prompts, outputs, criteria or counts, and the architectural claim ('the model selects an appropriate architecture based on application requirements') supported by no design shown; most of the paper proposes directions. Reliability: nothing could be checked or recomputed. Reporting slip: the four prompt formats are numbered (1), (2), (2), (4) (p. 81).</t>
  </si>
  <si>
    <t>Primary study: approach (extended journal version of FS60) combining LLM-based inconsistency detection, LLM+rule-based correction and a new dependency-graph method, with an evaluation on three systems.</t>
  </si>
  <si>
    <t>LLM part: FS60's three systems (automated braking, space-based, dynamic positioning), two block and two use case diagrams each in all pairings, with counts of inconsistencies detected, erroneous and corrected, classified by the authors (Table 7); graph part: three variants of the dynamic positioning design model designed by the authors (complete, incomplete, faulty) against a reference use case diagram (Table 8); a step-by-step walkthrough on the dynamic positioning system; specifications, models, inconsistency lists and prompts in public repositories.</t>
  </si>
  <si>
    <t>19 meaning units (8 / 3 / 3 / 2 / 2 / 1 across T1-T6). Primary study (approach with an evaluation), the extended journal version of FS60 (MODELS '24), included by our decision (3 October 2026) as a separate study, as for FS62. Family SF37 with FS59, FS60 and FS62 (Sultan and Apvrille, Télécom Paris, here with Coudert): its LLM evaluation reuses FS60's three systems, diagrams and detection counts, so it is not independent of FS60; what is new is the dependency-graph method (no LLM) with its formal proof, a walkthrough comparing the LLM with that method (one check with GPT-5.1), answers to research questions and a threats-to-validity section. Evidence strength is weak to moderate: three systems with relatively simple diagrams, counts classified by the authors, no false negatives measured, and no settings, runs, time or cost; the graph method is tested on three variants of one system that the authors designed, which they note risks confirmation bias. Reliability: Table 7 recomputed and agrees: 36 + 33 = 69 detected, 6 erroneous (6 of 75, 8%), and 28.5 + 30.5 = 59 corrected, 59/69 = 85.5% as stated (pp. 32-33); 49 and 20 inconsistencies over 12 block and 12 use case diagram checks give the averages of 4 and 1.7. Against FS60's Table 4 the detection counts are identical, but internal corrections fall from 30 to 28.5 through three dynamic-positioning entries (3.5 to 3, 1 to 0.5 and 3 to 2.5 corrected), without explanation, and the threats section still gives FS60's average of 87% (p. 35).</t>
  </si>
  <si>
    <t>16 meaning units (4 / 3 / 4 / 1 / 3 / 1 across T1-T6). Primary study. New family SF42 (Hashemite University, Jordan): no author is shared with a seed or an included study. Evidence strength is weak: five open-source systems were analysed but results are reported for Apache Flink only (the rest said to be attached to the submission), true and false positives were judged by the authors without a stated reference set for each system (domain experts are said to have been consulted on which patterns and tactics to consider), the ChatGPT version, settings and runs are not given, and the data link is to a private dataset. Reliability checks: from Table 4, ChatGPT's pattern precision is 5/9 = 55.6% and recall 5/10 = 50%, and its tactic precision 6/22 = 27.3% and recall 6/23 = 26.1%; neither the abstract's 'accuracy of up to 47.06%' for patterns nor its 'precision of 28.25%' for tactics follows from these reported values, so they may come from the unreported systems. Table 2 marks 19 tactics for Archie and 5 for ChatGPT, while Tables 3 and 4 give 18 and 6 true positives, and the pie charts (55.6/44.4% and 25/75%) show each tool's share of the two tools' combined true positives, not detection rates.</t>
  </si>
  <si>
    <t>18 meaning units (4 / 3 / 5 / 2 / 3 / 1 across T1-T6). Primary study. Family F20: five of its six authors (Liu, Fuchß, Corallo, Keim, Hey) are authors of S20, and FS15 belongs to the same KIT group; the task (predicting smell-inducing issues) differs from theirs (traceability), so its evidence does not repeat theirs, and it cites FS15 and S20 only as related traceability work. Evidence strength: three open-source projects (two in Java and Inkscape in C/C++), labels produced by two static smell detectors through issue-commit links, within-project cross-validation with significance tests against a random baseline, and a cross-project check; the language-model components are embeddings (best), a fine-tuned RoBERTa and a zero-shot GPT-5-mini (poor). Reliability checks: we recomputed the dataset totals in Table II (37 releases, 7,715 issues, 4,664 merge requests), the traced shares in Table III, every average in Tables IV and V and the deltas in Tables VI and VII. All agree except two averages in Table IV (fine-tuned RoBERTa F1 .334 and GPT-5-mini F1 .066, where the per-project values give .280 and .039), and the text's statements that precision rose by .002 under the added-comments condition (Table VI: -.002), that Shepard lost 40% precision and 27% F1 across projects (the table values give 28% and 22% of the within-project values; 40% and 27% are the drops divided by the cross-project values), and that the cross-project F1 drop ranged from 0.095 (Table VII has .080).</t>
  </si>
  <si>
    <t>17 meaning units (4 / 3 / 4 / 4 / 2 / 0 across T1-T6). Primary study, industrial (Navan). New family SF43: no author is shared with a seed or an included study. It cites S20, S4-F10 (excluded study), FS16 and FS44 as related work and positions itself against FS16's evaluation of ADR-violation detection, so its evidence is independent of theirs. Evidence strength is weak: a four-page paper whose evaluation is 18 drift flags in eight weeks of one company's production use, 83% judged true by automated trace rules and architects (consistent with 15 of 18), with no recall, no baseline and the model behind the agents not named; the demonstration uses synthetic TDDs and ADRs on open-source repositories. Reliability checks: we checked the 83% against 18 flags (15 of 18 is 83.3%), and noted that the average of 12 minutes from commit to drift flag is not reconciled with a synthesis agent said to run two to three times a week. Its reference list gives author lists for S20, S4-F10 (excluded study) and FS16 that differ from the published papers, although the titles and arXiv numbers are right.</t>
  </si>
  <si>
    <t>On FS60's three systems, 69 relevant inconsistencies (36 internal, 33 cross-view) were detected in 24 diagram checks, about 4 per block diagram and 1.7 per use case diagram, with 6 erroneous detections (8%).</t>
  </si>
  <si>
    <t>TTool-AI answered the same final-exam questions as five cohorts of about 15 to 25 master's students after a 21-hour course: a first series on three specifications with GPT-3.5 Turbo (FS59's) and a second on two new specifications with GPT-4o, five diagrams per type.</t>
  </si>
  <si>
    <t>The LLM part reuses FS60's three systems, two from European projects, with two block and two use case diagrams each checked in all four pairings; the graph part compares three author-designed variants of the dynamic positioning model with a reference use case diagram; two TTool builds are named.</t>
  </si>
  <si>
    <t>FS19's criteria are split: an LLM judge rates clarity, completeness and consistency and humans rate accuracy and level of detail, each as meets, partially meets or does not meet expectations; SSIM measures visual similarity, but a view could be visually similar yet semantically wrong, the judge was too strict in 26% of cases, and the authors call for architecture-specific metrics.</t>
  </si>
  <si>
    <t>Systematic review (43 studies, 2018-2024) of AI in microservices design: service identification, decomposition, decision support and documentation, plus runtime autoscaling and monitoring.</t>
  </si>
  <si>
    <t>Design time with runtime feedback</t>
  </si>
  <si>
    <t>(a) Closed loop: traces and metrics inform the architect, but nothing plans or enacts a change of service boundaries (pp. 13-14).
(b) Adaptation target: only capacity and resources adapt at runtime; the decomposition is fixed (pp. 11-13).
(c) Acceptance: no standard metric for decomposition quality (p. 4), and data consistency is left to the architect (p. 11).
(d) The language model works only at design time.</t>
  </si>
  <si>
    <t>MAPE-K (Partial): Monitor and Analyse over traces exist; Plan and Execute exist only for resources, never for the decomposition.
Rainbow (Inferred): decomposition as architecture model, coupling and latency as gauges, thresholds as constraints, split/merge/move as strategies; the review supplies the measures but none of the model, constraint or strategy parts.
Models@run.time (Inferred): no model is kept at runtime, and the model-to-system direction is blocked by data consistency (p. 11).
Three-layer (Inferred): the runtime work sits in the lower layers; redrawing service boundaries is goal management, which none of it reaches.</t>
  </si>
  <si>
    <t>Rainbow. The one architectural adaptation the review points to is changing the decomposition from observed coupling and bottlenecks, which is adaptation over an explicit architecture model. MAPE-K fits only for resources; Models@run.time names the missing representation but not the decision logic.</t>
  </si>
  <si>
    <t>Keep the service decomposition as a runtime architecture model. Monitor coupling and latency, check them against boundary constraints, let a language model propose a split, merge or move with its rationale, and check the proposal against the constraints and a data-consistency precondition before it is applied. Test on an open microservice reference application against architects' decisions, measuring coupling and latency before and after.
Preconditions: a machine-readable dependency model; an agreed coupling measure (not standardised, p. 4); a data-migration path (p. 11).
Risks: re-partitioning is slow and belongs in an outer loop; the review reports no evaluation of language models in this role.</t>
  </si>
  <si>
    <t>Multivocal review of 46 sources on generative AI in software architecture: purposes, models, techniques, life-cycle phases, validation methods and challenges, with future directions.</t>
  </si>
  <si>
    <t>Design time only</t>
  </si>
  <si>
    <t>(a) Runtime operation: work concentrates on requirements-to-architecture (40%) and architecture-to-code (32%); runtime appears only as a future direction (p. 16).
(b) Autonomy: 85% of sources keep a human in the interaction (p. 10).
(c) Acceptance: 93% report no validation of model output (p. 14).
(d) Change of an existing architecture, which is what adaptation does, is the least studied transition (3%, p. 11).</t>
  </si>
  <si>
    <t>MAPE-K (Partial): the catalogued capabilities map onto separate activities, all at design time: recovery and assessment as Analyse, decision support as Plan, architecture-to-code as Execute, retrieval as Knowledge. Monitor is missing.
Rainbow (Inferred): the two architecture-to-architecture sources (violation resolution, smell refactoring) are Rainbow-shaped, but 74% of sources have no explicit architecture model (p. 13).
Models@run.time (Inferred): models, where present, are design artefacts; there is nothing to connect causally.
ActivFORMS (Inferred): answers the review's sharpest gap, assurance (p. 17), but presupposes formal models the corpus lacks.</t>
  </si>
  <si>
    <t>MAPE-K feedback loop. The activities exist separately, and the review itself names their integration, plus monitoring of usage, as the missing step. Rainbow fits only two sources; Models@run.time and ActivFORMS name the missing representation and assurance but not how the capabilities fit together.</t>
  </si>
  <si>
    <t>Compose the catalogued capabilities over a shared runtime architecture model: recovery keeps it current, conformance and smell detection analyse it, repair recommendations plan the change, architecture-to-code generation executes it. Test: an LLM conformance-and-repair loop run on every change of an evolving open-source system detects injected violations and proposes fixes that pass static analysis at a rate comparable to an architect's review.
Preconditions: an explicit architecture model (absent in 74%); an acceptance check (absent in 93%); architecture-code traceability.
Risks: accuracy and hallucination become runtime faults once the human is removed; the adaptation evidence rests on one source.</t>
  </si>
  <si>
    <t>SemRef: a language model refines recovered module views into a named hierarchy with summaries, and each change is kept only if dependency cohesion improves or a second prompt confirms it.</t>
  </si>
  <si>
    <t>(a) Liveness: a one-off offline run on a code snapshot.
(b) Source of truth: static dependencies only (pp. 1688, 1693).
(c) Timeliness: run time is not reported, and summarisation is repeated on each run (p. 1696).
(d) The model changes the architecture model, never the system.</t>
  </si>
  <si>
    <t>MAPE-K (Partial): Analyse and Knowledge, a checked model of the structure; no Plan or Execute on the system.
Rainbow (Inferred): it produces the architecture model Rainbow presupposes, and its acceptance rule works like a constraint check.
Models@run.time (Inferred): supplies the system-to-model half, with incremental re-summarisation of changed modules (p. 1692); there is no model-to-system half.
FORMS (Inferred): the hierarchy is a reflection model of the base-level structure.</t>
  </si>
  <si>
    <t>Models@run.time. Its contribution is building, and incrementally maintaining, an architecture model from the system. Rainbow needs such a model but adds logic the paper lacks; MAPE-K fits only through Analyse and Knowledge.</t>
  </si>
  <si>
    <t>Run the refinement incrementally on change events, with dynamic as well as static dependencies, so that it keeps a runtime architecture model current. Test: after injected changes, incremental refinement restores accuracy against an updated ground truth (MoJoFM, a2a_adj) at a fraction of a full run's token cost and within a stated time budget.
Preconditions: change events; dynamic dependency data; ground truth (available for nine projects only).
Risks: summarisation dominates cost; hallucination cannot be eliminated, so the cohesion check must stay; run time is unknown.</t>
  </si>
  <si>
    <t>Characterises the microservice architectures language models produce from the documentation of a modular monolith; the prompting strategy shifts granularity and coupling systematically.</t>
  </si>
  <si>
    <t>(a) Liveness: a one-off modernisation step from documents.
(b) Acceptance: the metrics describe outputs without thresholds or ground truth.
(c) Stability: one run per configuration, so variance is unknown (pp. 6-7).
(d) Controllability: the prompt shifts structure and becomes a hidden parameter.</t>
  </si>
  <si>
    <t>MAPE-K (Inferred): the generated decomposition resembles a Plan for structural change, with no Monitor, Analyse or Execute.
Rainbow (Inferred): service count, communication density and isolated services are gauge-like properties of a component-and-connector model; as constraints they could accept or reject an alternative.
Models@run.time (Inferred): the CSV output is a machine-readable architecture representation with no connection to a running system.
Dynamic product lines (Inferred): open-ended, prompt-sensitive generation argues for bounding adaptation to pre-checked variants.</t>
  </si>
  <si>
    <t>Rainbow. It supplies an explicit component-and-connector model and architectural metrics usable as constraints, and its task, turning one architecture into another, is what a Rainbow strategy does. MAPE-K adds little; Models@run.time lacks the runtime connection.</t>
  </si>
  <si>
    <t>Treat LLM-generated alternative decompositions as candidate strategies, each scored with the study's structural metrics against explicit constraints before one is selected. Test: with several candidates per prompting strategy, constraint-based selection picks structurally equivalent architectures across repeated runs even when the raw outputs vary.
Preconditions: explicit constraints on granularity and coupling; repeated runs; named models and settings.
Risks: stochastic outputs; without ground truth, satisfying a constraint is not correctness; the prompting strategy must be fixed.</t>
  </si>
  <si>
    <t>Tests whether language models recover the design decision behind a commit from its message and diff: moderate semantic alignment, but outputs are verbose, implementation-level and mostly without rationale, and few-shot examples fix form, not content.</t>
  </si>
  <si>
    <t>(a) Rationale: records say what changed, not why (pp. 5-6).
(b) Abstraction: low-level changes are not lifted to the architectural level.
(c) Liveness: extraction is post hoc and offline.
(d) Acceptance: outputs are judged only by similarity to a documented reference, which a new adaptation does not have.</t>
  </si>
  <si>
    <t>MAPE-K (Inferred): Knowledge, the history of changes and why; in a loop, Analyse and Plan know the reason when the change is made, so it can be recorded rather than recovered.
Rainbow (Inferred): strategies already carry their intent, so post hoc recovery adds little except for changes made outside the loop.
Models@run.time (Inferred): lifting a code change to its architectural meaning is one step of keeping a runtime model in sync with developer changes, but the output is text, not a model update.
Three-layer (Inferred): the reason for a change sits in goal management; recovering it bottom-up from the component change fails, as the study found.</t>
  </si>
  <si>
    <t>MAPE-K feedback loop. The findings bear on what a record of a change must contain and show that the change alone cannot supply its rationale, which is a Knowledge question. Rainbow already holds the reason in its strategies; the three-layer reading explains the finding but not where the record is kept.</t>
  </si>
  <si>
    <t>When a language model writes the decision record for an executed adaptation, giving it the triggering symptom and the goal the plan serves, not only the change, raises the share of records that state the right rationale. Test on an exemplar with the study's rubric (abstraction, verbosity, rationale) against records written by the designers.
Preconditions: the loop stores the Analyse result, the violated goal and the plan with each change; reference records or a rubric.
Risks: fluent but invented rationale; verbose output (2 to 10 times longer in about two thirds of the zero-shot outputs inspected); evidence from 30 decisions, one inspector, possible pretraining leakage.</t>
  </si>
  <si>
    <t>Six language models recommend architectural styles, patterns and tools for described systems; answering a pattern decision tree instead of choosing directly gives more complete lists; strong bias towards microservices.</t>
  </si>
  <si>
    <t>(a) Context fidelity: microservices chosen in 22 of 24 guided runs, including where a monolith was intended (pp. 281-282).
(b) Selection discipline: direct lists are incomplete, guided lists over-inclusive (15 of 24 further from the reference than the participants', Table III).
(c) Machine-consumable output: four of six models broke the required JSON format (p. 282).
(d) Stability: recommendations vary across ten runs (Table II).
(e) Liveness: a scenario text at design time.</t>
  </si>
  <si>
    <t>MAPE-K (Inferred): the guided experiment splits Plan: the model interprets the situation and a fixed procedure chooses.
Rainbow (Inferred): supports separating strategy selection from interpretation, although selection here is not triggered by a violation or scored by utility.
Models@run.time: not applicable, since no model of a running system is kept.
Dynamic product lines (Inferred): the decision tree is a variability model in which patterns are variants and questions are context conditions; the model resolves the context, the tree binds the variants.</t>
  </si>
  <si>
    <t>Dynamic software product lines. Its strongest result, that a model answering the questions of a predefined structure gives more complete configurations than a model choosing freely, is the product-line stance. MAPE-K adds nothing specific, and Rainbow's utility-based repair is further from what was tested.</t>
  </si>
  <si>
    <t>Let a language model answer the context questions of a variability model from monitored and described context while the variability model binds the variants; this gives configurations closer to an expert reference and less biased towards a favoured style than asking directly. Test on an exemplar over a series of context changes, scored with the study's distance to must/could/must-not lists and repeated to measure variance.
Preconditions: a variability model answerable from monitoring; expert reference configurations; format validation before binding.
Risks: the style prior may bias the answers themselves; "no" answers to contraindication questions inflate configurations; Experiment 2 ran once; the reference lists are the authors'.</t>
  </si>
  <si>
    <t>A four-step prompting method makes a language model a tutor for novice architects that generates reference architectures from requirements and evaluates students' architectures against them; tested qualitatively on one dataset.</t>
  </si>
  <si>
    <t>(a) Knowledge capacity: the full documentation filled 75% of the local model's context before any question (p. 96).
(b) Timeliness: a useful local model needs heavy hardware.
(c) Acceptance: no criteria for the references or the judgements made against them.
(d) Controllability: role instructions interfered (pp. 95-96).
(e) Liveness: everything happens at design time on documents.</t>
  </si>
  <si>
    <t>MAPE-K (Inferred): Analyse (an architecture checked against its requirements) and Knowledge (how much can be handed to the model).
Rainbow (Inferred): the references act as a model to judge against, but without constraints, gauges or strategies.
Models@run.time (Inferred): the context problem argues for a queryable model instead of re-sending the whole description.
Awareness requirements (Inferred): the tutor's most concrete behaviour, naming requirements an architecture does or does not address, is the question awareness requirements ask of a running system.</t>
  </si>
  <si>
    <t>MAPE-K feedback loop. The evidence bears on an analysis of architecture against requirements and on the limit of the knowledge handed to the model that performs it. Rainbow needs constraints the study does not have; awareness requirements match one observation only.</t>
  </si>
  <si>
    <t>For architecture analysis in a loop, passing the model a query-selected slice of the runtime model instead of the full description keeps it usable over a session without lowering the accuracy of its requirement-coverage judgements. Test on an exemplar with changes that have known unmet requirements, measuring accuracy, context used and latency.
Preconditions: a runtime model queryable by element; exemplar changes with known unmet requirements.
Risks: a slice may leave out what the judgement needs; answers too broad to act on; instruction conflicts; qualitative evidence from one dataset.</t>
  </si>
  <si>
    <t>A model in an agentic IDE follows Attribute-Driven Design step by step, with an architect persona, an iteration plan and a single architecture document refined across iterations; its designs were judged to satisfy the drivers and were far more complete than zero-shot designs.</t>
  </si>
  <si>
    <t>(a) Human gate: the method relies on review after each step, and in the unattended runs the most domain-experienced evaluator disagreed with the model's structuring decision (pp. 12-13).
(b) Stability: the proposed style oscillates between modular monolith and microservices across rounds and models (Table VI, p. 12).
(c) Trade-off reasoning: the model is not asked to analyse trade-offs, and trade-offs not stated in the drivers were decided suboptimally or skipped (pp. 12, 14).
(d) Timeliness and cost: about 20 minutes per iteration and about 8.3 million tokens (about 12 dollars) for one design (p. 13).
(e) Liveness: each design round is a one-off; continuous design rounds are future work (p. 15).</t>
  </si>
  <si>
    <t>MAPE-K (Inferred): an ADD iteration resembles Plan, its step-7 check against the drivers a form of Analyse, and the architecture document a Knowledge store; there is no Monitor or Execute.
Rainbow (Inferred): the drivers are quality attribute scenarios with a metric, the kind of measurable property Rainbow's constraints express; but Rainbow selects among predefined strategies, while an ADD iteration creates new structure.
Models@run.time (Inferred): the living document is a model of the planned system, kept current across iterations, with no causal connection to a running system.
Three-layer (Inferred): producing a plan for the architecture from prioritised goals, over minutes and with expert review, is the work of goal management.</t>
  </si>
  <si>
    <t>Three-layer architecture for self-managed systems. ADD is deliberative planning from prioritised goals that takes minutes per iteration and needs expert review, which places it in the slow top layer that produces plans for change management to carry out. MAPE-K and Rainbow fit only as analogies, since the study has no monitoring or execution and Rainbow's strategies are predefined; Models@run.time lacks the causal connection.</t>
  </si>
  <si>
    <t>When monitored quality attribute scenarios are persistently violated, a model that follows ADD-like iterations acts as the goal-management planner: the violated scenarios become the prioritised drivers of a new design round, each decision is recorded in the architecture document, and the resulting plan passes a review gate before change management applies it. Test on a self-adaptive exemplar by comparing ADD-guided with zero-shot planning on driver satisfaction, completeness of the recorded decisions, stability of the proposed structure across repeated runs, and time and cost per plan.
Preconditions: measurable scenarios linked to monitoring; a runtime architecture model the planner can read and change management can apply; a review gate.
Risks: style oscillation between runs (Table VI); about 20 minutes and 12 dollars per design, so only a slow outer loop is feasible; missing domain expertise (the structuring decision); no trade-off analysis yet.</t>
  </si>
  <si>
    <t>LLM agents, coordinated by voting, roles or debate, form a layer added to a federated-learning reference architecture and decide after every training round which of three architectural patterns to switch on or off, reasoning over the system configuration and the metric history; the system applies the decision in the next round.</t>
  </si>
  <si>
    <t>Runtime architecture</t>
  </si>
  <si>
    <t>(a) Adaptation space: three predefined patterns switched on or off in a fixed reference architecture; no new structure is created (pp. 5-7).
(b) Timeliness: reasoning takes 30-70 s per round, and by the reported averages it exceeded the whole round in text classification (pp. 10-14).
(c) Assurance: decisions are applied unchecked apart from a prompt guardrail (at least two clients) and the debate fallback, and are judged only indirectly through system metrics (pp. 6-8, 14).
(d) Knowledge of interactions: combined patterns interfere, and agents that each see one pattern gave the worst trade-off; nothing models the interactions (p. 13).
(e) Stability: LLM non-determinism, and debates without consensus in three of nine rounds of the run shown (Fig. 11, pp. 13-14).
(f) Evidence: one emulated federation (five clients, ten rounds, two tasks), and a rule-based baseline stays competitive (pp. 12, 14).</t>
  </si>
  <si>
    <t>MAPE-K (Direct): the authors ground the layer in MAPE-K, and all four activities are present: the server updates a configuration file and a metrics report (Monitor), the agents reason over them (Analyse) and propose on/off configurations (Plan), and the Architectural Pattern Manager switches the patterns (Execute). The authors call the agents' reasoning the Knowledge; in our reading the knowledge is the two files, and the agents do Analyse and Plan.
Rainbow (Partial): the adaptation is architecture-based, switching pattern components over a minimal model of the configuration; but no architectural constraints are evaluated, and the agents take the place of strategy selection. The Expert-Driven baseline, with its trigger conditions, is the closer analogue of a Rainbow strategy set.
Models@run.time (Partial): the configuration file reflects the running system, and the decision written into it is applied in the next round, a causal connection in both directions, but over a flat list of settings rather than an architecture model.
Dynamic product lines (Partial): each pattern is a variant bound at runtime in response to context (data, network, resources), but there is no explicit variability model, and interactions between variants are left to the agents.</t>
  </si>
  <si>
    <t>MAPE-K feedback loop. The study implements all four activities around a shared store and names MAPE-K as its basis, the first Direct link among the included studies. Dynamic product lines describe its adaptation space, predefined pattern variants bound at runtime, but not its decision logic; Rainbow fits the architecture-level adaptation, but the study has no constraints or utility; Models@run.time fits only its flat configuration file.</t>
  </si>
  <si>
    <t>Keep the agents but bound them with an explicit variability model: the patterns become variants and the interactions measured in the authors' earlier performance studies become constraints; a configuration the agents propose is checked against them before the Architectural Pattern Manager applies it; the rule-based Expert-Driven policy takes over when a proposal fails the check or no consensus is reached; and the agents are invoked only when monitored metrics change beyond a threshold, not every round. Test with the authors' public artefact against the original layer and the three baselines, on accuracy, total time including reasoning, the share of rejected proposals and the rounds without consensus.
Preconditions: interaction data for the patterns; a trigger threshold per metric; the public prompts and artefact.
Risks: constraints may rule out useful combinations; an event trigger can miss slow drift; interactions measured for three patterns may not hold for more; reasoning time still exceeds short rounds.</t>
  </si>
  <si>
    <t>A multi-agent approach to architecture knowledge management: extractor, retriever, generator and validator agents under an orchestrator recover and document the architecture of an existing system. The implemented part, repository summarisation and ADR generation with validator loops, produced ADRs that blind raters preferred to single-prompt ADRs on 29 repositories.</t>
  </si>
  <si>
    <t>(a) Liveness: one run over a repository; keeping knowledge current as the system changes is the aim, not the method (pp. 1, 3).
(b) Rationale source: decisions are recovered from a code summary after the fact; an adaptation's rationale exists when the loop decides, and recovering it from the change alone is what FS05 found hard (pp. 3-4).
(c) Acceptance: validators are model agents checking model output, with no external check; quality is judged by subjective ratings (pp. 3-4).
(d) Timeliness and cost: not reported, although each stage may run up to three refinement rounds (p. 3).
(e) Evidence: 13 raters with 0-6 years of industry experience, rating their own repositories, averages only, and most agents only proposed (pp. 2-4).</t>
  </si>
  <si>
    <t>MAPE-K (Inferred): the subject is Knowledge, the decisions a system embodies and their records; extractor agents resemble Monitor over development artefacts and validators an Analyse step over generated output, with no Plan or Execute on a system.
Rainbow (Inferred): the proposed organisation-policy validator checks documents against stored architectural principles, a constraint check, but over documents rather than a running architecture model.
Models@run.time (Inferred): the repository summary and the ADRs describe the system from outside, with no causal connection; regenerating them on change would give only the system-to-model direction.</t>
  </si>
  <si>
    <t>MAPE-K feedback loop. Its subject is the Knowledge a loop keeps, decisions and their records, and its generator-validator pairs show one way to check model output before it is stored or acted on, the check a loop needs between Plan and Execute. Rainbow's constraint check appears only in a proposed validator over documents, and Models@run.time lacks any causal connection.</t>
  </si>
  <si>
    <t>Carry the generator-validator pairing into an adaptation loop: when the loop executes a change, a generator agent drafts the decision record from the Analyse result, the violated goal and the plan, and a validator agent checks it against the executed change and against existing records (redundancy, contradiction) before it enters the knowledge base, with at most three refinement rounds. Test on a self-adaptive exemplar by comparing these records with single-prompt records and with records recovered from the change alone (FS05), rated blind on relevance, coherence, completeness and conciseness, and checked for correct rationale against the loop's own logs.
Preconditions: the loop logs its Analyse result, goal and plan with each change; an ADR template; a store of past records with retrieval.
Risks: a validator built on a model may share the generator's blind spots; refinement rounds add time and cost that the study does not report; the evidence so far is subjective ratings by raters with 0-6 years of industry experience.</t>
  </si>
  <si>
    <t>A preregistered study (Stage 1, no results) of whether injecting architectural knowledge improves the recovery of evidence-grounded architecture documentation by LLM agents: a reasoner-assembler-validator loop recovers a hierarchical component view with traceability links, under four treatments from repository artefacts only to bounded interaction with an architect.</t>
  </si>
  <si>
    <t>(a) Evidence: no results yet; every element is a plan (p. 540).
(b) Liveness: recovery is a one-off run over a repository snapshot, although drift over time motivates it (pp. 534, 539-540).
(c) Source of knowledge: project-specific facts and expert answers come from people (T2, T3); at runtime they would have to come from the system's own models and monitoring (pp. 537, 540).
(d) Human dependence: the strongest treatment needs an architect answering up to ten queries per run (p. 540).
(e) Timeliness and cost: the loop iterates per abstraction level until validation passes, with no model named and no time or cost planned (pp. 539-540).</t>
  </si>
  <si>
    <t>MAPE-K (Inferred): the validator's check of each proposed element against evidence, before it is accepted, is the guard a loop needs between Plan and Execute; injected facts and constraints play the part of Knowledge.
Rainbow (Inferred): T2's forbidden dependencies and invariants are architectural constraints of the kind Rainbow evaluates, checked here on a recovered model rather than a running one.
Models@run.time (Inferred): the recovered hierarchy with its traceability links is a model of the implementation, built in the system-to-model direction only and rebuilt per run rather than kept.</t>
  </si>
  <si>
    <t>Models@run.time. Its contribution is a model of the implemented architecture in which every element is traced to evidence, which is what a runtime model needs before a loop can trust it, as with FS03. Rainbow's constraints appear only as injected facts, and MAPE-K fits only through the validator's check.</t>
  </si>
  <si>
    <t>Keep the recovered hierarchy as a runtime architecture model: run the reasoner-assembler-validator loop incrementally on change events, use the traceability links to find the elements a change affects, check T2-style forbidden dependencies and invariants as constraints on every update, and let the fail-closed policy flag elements whose evidence has disappeared. Test on version histories of the benchmark projects: incremental updates against full re-runs, on MoJoFM and a2a against each version's ground truth, evidence coverage, unsupported-claim rate and update time.
Preconditions: Stage-2 results showing that knowledge injection helps; version histories with ground truth; change events linked to files.
Risks: there are no results yet; architect answers (T3) are not available at runtime; the model and its cost are unknown.</t>
  </si>
  <si>
    <t>A short vision paper: from practitioner input it distils eight uses of AI in architectural decision making and designs decision-assistance tooling in which modelled project knowledge (requirements, constraints, past decisions) is injected into prompt and skill templates and can be queried by the AI; an ADR-review prompt run with several models illustrates it.</t>
  </si>
  <si>
    <t>(a) Evidence: requirements from architects in unstated numbers and one example prompt; early results called mostly positive, evaluation pending (pp. 2-3, 7).
(b) Liveness: decisions are prepared, recorded and reviewed at design time; reminders to revisit decisions after context changes are the nearest the paper comes to runtime (p. 3).
(c) Human dependence: the architect specifies inputs and validates outputs (pp. 1-2, 7).
(d) Reliability: non-deterministic answers and hallucinations need consolidation and validation (p. 7).
(e) Timeliness and cost: not addressed.</t>
  </si>
  <si>
    <t>MAPE-K (Inferred): the decision model of requirements, constraints and past decisions is a Knowledge base that both the prompts and the AI (through the MCP server) read; reviewing a decision record is an Analyse step over decisions, and reminders to revisit decisions after context changes resemble Monitor.
Rainbow (Inferred): the review criteria and template conformance are checks over decision records, not over a running architecture model, and there are no adaptation strategies.
Models@run.time (Inferred): the decision model exposed through an MCP server is machine-readable and queryable, but it models decisions, with no causal connection to a running system.</t>
  </si>
  <si>
    <t>MAPE-K feedback loop. The paper is about the Knowledge that AI assistance draws on: a machine-readable model of requirements, constraints and decisions that is injected into prompts and can be queried by the AI, which is what a loop's Knowledge component would give an LLM planner. The other frameworks fit only as analogies.</t>
  </si>
  <si>
    <t>Make the decision model the Knowledge interface of an LLM planner in a loop: when the loop analyses a violation, the planner's prompt is instantiated from a template with the relevant requirements, constraints and past adaptation decisions taken from the model, the planner can query the model on demand, and each executed adaptation is written back as a decision record that a review prompt checks (context, options, consequences, template conformance). Test on a self-adaptive exemplar: template-instantiated against ad hoc planner prompts, on plan validity, consistency with recorded constraints, and review scores of the generated records.
Preconditions: a machine-readable model of requirements, constraints and decisions linked to the loop's goals; a schema for planner output.
Risks: non-deterministic and hallucinated answers; the evidence so far is one ADR and practitioners' views; a stale decision model misleads the planner.</t>
  </si>
  <si>
    <t>Five LLMs write the design rationale of given architecture decisions with zero-shot prompting, chain-of-thought and a five-agent pipeline. Against expert rationale they find most of the experts' arguments (recall 0.63-0.72) among many more of their own, 1.6-3.2% of them misleading, and six practitioners would trust the output only with human validation.</t>
  </si>
  <si>
    <t>(a) Liveness: rationale is written after the fact for decisions others took, from the text of a question or issue (pp. 4, 9); nothing is connected to a running system.
(b) Context: the models see only the problem and the decision; the rationale lacks project experience and detail, and uncertain arguments do not fall with any strategy, which the authors attribute to missing context (pp. 29-30).
(c) Acceptance: arguments are judged by the authors against an expert reference that is itself incomplete, and misleading arguments (1.59-3.24%) remain with every strategy (pp. 18-22, 28).
(d) Timeliness and cost: up to 20 model rounds per rationale with agents (p. 28); time, cost, settings and runs are not reported.
(e) Scope of decisions: mostly implementation, technology and integration decisions from developer questions and issues; architecture pattern decisions are 12% (p. 9).</t>
  </si>
  <si>
    <t>MAPE-K (Inferred): the subject is Knowledge, the rationale that makes a recorded decision understandable later; the problem and the decision given to the model correspond to the Analyse result and the Plan, and the reviewer agent is a check on generated content before it is kept; nothing is monitored or executed.
Rainbow (Inferred): a Rainbow strategy carries its intent in advance, so rationale for changes the loop makes need not be recovered; the trade-off analysis over quality aspects resembles the utility reasoning behind strategy selection, done in text rather than over an architecture model.
Models@run.time (Inferred): no model of a system is kept; the rationale is text about a decision, not an annotation of a model element.
Three-layer (Inferred): justifying a decision against goals and trade-offs is goal-management reasoning, applied here after the fact to decisions others made.</t>
  </si>
  <si>
    <t>MAPE-K feedback loop. Its evidence bears on the Knowledge a loop keeps about why each change was made, and on how well a model writes that record from the problem and the decision, which is what a loop has when it plans. Rainbow holds the intent in its strategies in advance, and the three-layer reading places the reasoning but not the record.</t>
  </si>
  <si>
    <t>When a loop executes an adaptation, a pipeline modelled on FS13's agents writes its rationale from the violated goal (the problem) and the chosen plan (the decision): aspects are identified, each is analysed from the system's own artefacts and monitoring data instead of web search, reviewed, and weighed into a trade-off, and the record is stored in Knowledge. Test on a self-adaptive exemplar: score the records against rationale written by the system's engineers with FS13's argument-level precision and recall and its categories (insightful, helpful, uncertain, misleading), and compare with records recovered from the executed change alone (FS05).
Preconditions: the loop logs the violated goal and the plan with each change; engineer-written reference rationale for a sample of adaptations; retrieval over the system's artefacts.
Risks: the reference rationale is incomplete, so precision understates quality; misleading arguments remained with every strategy; up to 20 model rounds per rationale, with settings, cost and latency unreported.</t>
  </si>
  <si>
    <t>A vision of four LLM-based agents (Analyst, Modeler, Designer, Evaluator) that design a system's architecture from its requirements specification, drawing on knowledge mined from recovered designs, literature and experts, with an Evaluator that traces mismatches to their root cause and returns them for refinement. Nothing is implemented or evaluated.</t>
  </si>
  <si>
    <t>(a) Liveness: the architecture is designed once from a requirements specification, before implementation (pp. 530-531); operation of the designed system is not considered.
(b) Monitoring input: the Evaluator checks design artefacts against the specification, not a running system against its goals (p. 532).
(c) Acceptance: the Evaluator is itself an agent, and the design ends when it confirms the artefacts; no check outside the agents and no human review are specified (p. 531).
(d) Timeliness and cost: refinement rounds between agents and several agents per role are open-ended, with no bound on rounds, time or cost (pp. 531, 533).
(e) Evidence: no model is named, run or evaluated.</t>
  </si>
  <si>
    <t>MAPE-K (Inferred): the Evaluator's mismatch analysis, root-cause analysis and refinement suggestions resemble Analyse and Plan over design artefacts, carried out by the other agents, and the knowledge mined from recovered designs, literature and experts resembles the Knowledge component; there is no Monitor of a running system and no Execute on one.
Rainbow (Inferred): the Modeler's choice of styles and patterns from knowledge of their trade-offs and the Evaluator's check against quality attribute scenarios resemble strategy selection and constraint evaluation, over design views rather than a runtime architecture model.
Models@run.time (Inferred): the conceptual logical and physical views and the UML diagrams are architecture models the agents produce, with no causal connection; the deployment view is the part closest to a runtime model.
Three-layer (Inferred): designing an architecture from prioritised requirements is goal-management work, and the Designer's detailed diagrams are the kind of plan change management would carry out; the proposed dynamic agent configurations would make the agent system itself adaptive.</t>
  </si>
  <si>
    <t>Three-layer architecture for self-managed systems. Like FS08, it is deliberative design from prioritised requirements that produces plans for others to carry out, which places it in goal management, and its Evaluator adds a check before the plan is handed on. MAPE-K fits only through that check, Rainbow only through the choice of patterns, and Models@run.time lacks the causal connection.</t>
  </si>
  <si>
    <t>When monitored requirements are persistently violated, role agents modelled on MAAD act as the goal-management planner: an Analyst agent turns the violated requirements into prioritised drivers, a Modeler agent chooses styles and patterns for the change, a Designer agent turns them into a concrete plan over the runtime architecture model, and an Evaluator agent checks the plan against the requirements, traces any mismatch to the agent responsible and returns it for refinement before change management applies the plan. Test on a self-adaptive exemplar: with and without the Evaluator, the share of plans that violate a requirement once executed, the number of refinement rounds, and time and cost per plan.
Preconditions: machine-readable requirements linked to monitoring; a runtime architecture model the agents can read and change management can apply; a bound on refinement rounds.
Risks: nothing is implemented or evaluated; an Evaluator built on a model may share the other agents' blind spots; open-ended agent rounds have unknown time and cost; agent-generated decisions can be opaque (p. 533).</t>
  </si>
  <si>
    <t>Language models extract a system's component names from its architecture documentation, its package structure or both, as a simple architecture model that lets TransArC recover trace links between documentation and code without a manually created model. From documentation, GPT-4o comes within 0.01 weighted F1 of the manual model and significantly beats every approach without one; code alone is a weaker source.</t>
  </si>
  <si>
    <t>(a) Liveness: models and trace links are recovered once from a snapshot of documentation and code (pp. 3-5); keeping them current as the system changes is not addressed.
(b) Source: documentation is the better source; components it never describes are missed, and package names alone are insufficient, with test code hard to separate (pp. 7-9).
(c) Acceptance: the extracted model has no gold standard of its own and is judged only through the trace links it enables (p. 9); one naming difference went with precision of 0.81 against 0.49 (p. 8).
(d) Timeliness and cost: not reported.
(e) Content of the model: component names only, with no connectors or behaviour, and meant for traceability, not reverse engineering (pp. 3, 8).</t>
  </si>
  <si>
    <t>MAPE-K (Inferred): recovering an architecture model from artefacts and linking it to code resembles Monitor feeding Knowledge; the trace links are what a loop needs to map an observation in code to an architectural element; nothing is analysed, planned or executed.
Rainbow (Inferred): Rainbow's gauges turn system observations into properties of architectural elements, which requires a mapping from code to components; the extracted model and its trace links would supply that mapping, but without connectors or properties.
Models@run.time (Inferred): the study builds a minimal architecture model from the system's artefacts and links it to the code, the system-to-model direction of a causal connection, at design time and recovered once.</t>
  </si>
  <si>
    <t>Models@run.time. Its contribution is an architecture model derived from a system's own artefacts and linked to its code, the system-to-model half of a runtime model. Rainbow needs that mapping for its gauges but adds logic the study lacks, and MAPE-K fits only through Monitor and Knowledge.</t>
  </si>
  <si>
    <t>Keep an LLM-extracted component model as the skeleton of a runtime architecture model and re-run extraction and trace-link recovery when the documentation or the code changes, so that every code-level observation or change can be mapped to the component it belongs to and the loop reasons over components rather than files. Test on successive versions of the benchmark projects: incremental against full re-extraction, by trace-link F1 against a gold standard for each version and by time per update.
Preconditions: documentation that is kept current (it was the better source); gold-standard links for successive versions; a way to separate test from production code.
Risks: undocumented components are missed; precision is sensitive to how a component is named; package names alone are insufficient; cost and time are not reported.</t>
  </si>
  <si>
    <t>Four open LLMs check whether code complies with the decisions recorded in ADRs: a reasoning model labels each decision compliant, not compliant or not decidable from code, using the five most similar code snippets, and three models validate its judgement. On 305 validated decisions the best models exceed 90% accuracy, but decisions about infrastructure, intent and module interaction, and those the code cannot settle, are misjudged.</t>
  </si>
  <si>
    <t>(a) Liveness: one offline run over repository snapshots (pp. 3-5); drift over time motivates it, but nothing is checked as the system changes or runs.
(b) Evidence: only code is read, through five retrieved snippets per decision; decisions about deployment, infrastructure and runtime behaviour, the ones an adapting system changes most, were the most misjudged (pp. 8-9).
(c) Acceptance: 'not compliant' also covers decisions with no trace in the retrieved snippets, so a retrieval miss reads as a violation, and recognising that code cannot settle a decision was the hardest label (pp. 5, 8).
(d) Independence of the check: the validator models are shown the detector's judgement and reasoning, so their agreement with it is not independent (pp. 3, 5).
(e) Timeliness and cost: not reported; the runs used a supercomputer with up to four A100 GPUs (p. 4).</t>
  </si>
  <si>
    <t>MAPE-K (Partial): checking the implementation against its recorded decisions is an Analyse step over Knowledge (the decision records), and the detector-validator arrangement is a check on that analysis before it is reported; there is no Monitor of a running system and no Plan or Execute.
Rainbow (Inferred): recorded decisions act like architectural constraints and a violation like a constraint failure, but they are checked against code rather than a runtime architecture model, and no repair strategy follows.
Models@run.time (Inferred): no architecture model stands between the decisions and the code; a runtime model would give the check a structural representation to reason over instead of retrieved snippets.</t>
  </si>
  <si>
    <t>MAPE-K feedback loop. Its task, deciding whether the implementation still follows the recorded decisions, is an Analyse step over the loop's Knowledge, and its detector-validator arrangement is the kind of check a loop needs before it acts on an analysis. Rainbow's constraint evaluation needs an architecture model the study does not build, and Models@run.time names that missing model.</t>
  </si>
  <si>
    <t>After each adaptation or code change, an LLM detector checks the affected recorded decisions, including the loop's own decision records, against the changed code and deployment configuration, and a validator model that is not shown the detector's answer confirms each 'not compliant' finding before it is raised as a violation for analysis. Test on a self-adaptive exemplar with decision records and injected violations: detection precision and recall per decision type, with and without deployment configuration in the retrieved context, and the false alarms caused by retrieval misses.
Preconditions: decision records in a standard template; retrieval over code and deployment configuration, not code alone; a separate label for decisions that code cannot settle.
Risks: infrastructure and deployment decisions, which adaptation changes most, were the most misjudged; a retrieval miss reads as a violation; validators shown the detector's answer are not independent; run time and cost are not reported.</t>
  </si>
  <si>
    <t>An LLM summarises every source file and infers the system's architectural patterns and components from a knowledge base of canonical patterns; the components anchor a clustering that also uses explicit and implicit dependencies. SemArc beats seven baselines on 15 projects (on average 8 MoJoFM and 13 ARI points above SARIF) and holds up on 30 more.</t>
  </si>
  <si>
    <t>(a) Liveness: one offline run over a code snapshot (pp. 341-346), although drift and a system's 'real-time' architecture motivate it (p. 338).
(b) Timeliness: processing time grows linearly with the number of files, about 3.3 s per file with a local 16B model (p. 356), so minutes to hours for large systems.
(c) Acceptance: nothing checks the LLM's pattern identification or component indicators; accuracy is judged only against ground truths, many of them created by the authors (pp. 347, 351).
(d) Stability: default model parameters, and variation between runs is not examined (p. 349).
(e) Assumption: canonical patterns are taken to reflect the design, which developers may not follow strictly (p. 356).</t>
  </si>
  <si>
    <t>MAPE-K (Partial): recovery from code is Monitor feeding Knowledge, a current model of components, modules and files, and inferring the system's pattern and components is an Analyse step; there is no Plan or Execute.
Rainbow (Inferred): the recovered components, with indicators of their interactions, are the kind of component-and-connector model Rainbow's architecture layer needs, and the inferred pattern names a style whose constraints could be checked.
Models@run.time (Inferred): SemArc builds the system-to-model direction, from code to a hierarchical model; nothing keeps it causally connected, and it is rebuilt on each run.
FORMS (Inferred): the recovered hierarchy is a reflection model of the base-level system, organised by architectural concepts (components) rather than files.</t>
  </si>
  <si>
    <t>Models@run.time. As with FS03, its contribution is a model of the implemented architecture derived from the system itself, here organised by the pattern and components the LLM infers, which is what a runtime model needs. Rainbow needs such a model but adds analysis the study lacks, and MAPE-K fits only through Monitor, Analyse and Knowledge.</t>
  </si>
  <si>
    <t>Keep SemArc's component-anchored model as the runtime architecture model: when files change, re-summarise only those files, re-propagate component labels for them, and flag a change that moves a file across components or weakens the fit to the inferred pattern, for the loop to analyse as drift. Test on version histories of the benchmark projects: incremental against full recovery, by MoJoFM and ARI against a ground truth for each version and by time per update (a full run takes about 3.3 s per file).
Preconditions: change events linked to files; ground truth for successive versions; the inferred pattern and component set stored for comparison.
Risks: the inferred pattern may not be the one developers followed; many ground truths are the authors' own; run-to-run variation and the cost of hosted models are not reported.</t>
  </si>
  <si>
    <t>Seven LLMs answer engineers' questions about the components and connectors, quality solutions and design rationale of Hadoop HDFS from their embedded knowledge. All give many false positives, with recall above precision; a distilled 70B model does best on quality solutions and rationale, and similar models share false as well as true answers.</t>
  </si>
  <si>
    <t>(a) Knowledge source: answers come from what the models learnt about a well-known open-source system, not from the system's own artefacts or state (pp. 100-102); a private or changing system is not in the training data.
(b) Acceptance: many false positives, with the lowest precision for quality solutions (pp. 105-107); answers must be filtered and verified (p. 109).
(c) Correlated errors: similar models share false answers (p. 108), so agreement between them is weak evidence of correctness.
(d) Timeliness and cost: settings, runs, time and cost are not reported.
(e) Evidence: one system, with questions and ground truth reused from S5 (pp. 102, 110).</t>
  </si>
  <si>
    <t>MAPE-K (Inferred): answering questions about a system's components, tactics and rationale is a query to Knowledge; here the knowledge comes from pretraining rather than from a loop's own model of the system, which is why precision is low.
Rainbow (Inferred): questions about tactics correspond to Rainbow's repository of tactics and strategies; the models name many tactics the system does not use, so such a repository could not be filled from them unchecked.
Models@run.time (Inferred): no model of the system is used; the study shows what answers from general knowledge give without one.</t>
  </si>
  <si>
    <t>MAPE-K feedback loop. The study tests the model as a source of architectural knowledge about a system, the role of a loop's Knowledge component, and shows that pretraining alone yields many false entries. Rainbow's tactic repository and a runtime model are what the answers would need to be checked against, not what the study provides.</t>
  </si>
  <si>
    <t>In a loop, do not use a model's embedded knowledge of the managed system directly: answers about its components, tactics and decision rationale are checked against the runtime architecture model and the loop's decision records, and where models vote, pairs are chosen whose false answers differ (in FS18, DeepSeek and Mistral). Test on a self-adaptive exemplar: precision and recall of model answers about the exemplar's architecture with and without grounding in its runtime model, and single models against voting pairs.
Preconditions: a queryable runtime model and decision records; questions with ground truth for the exemplar.
Risks: a small or private system is barely in any model's training data; similar models share hallucinations; one system and one dataset so far.</t>
  </si>
  <si>
    <t>ChatGPT-4o rates the architecture diagram and textual description of four open-source projects on clarity, consistency, completeness, accuracy and level of detail through one structured prompt. It detects inconsistencies and missing elements largely in line with an expert (full agreement on 14 of 20 ratings by our count of Table 1), but misjudges deliberate omissions and the intended audience.</t>
  </si>
  <si>
    <t>(a) Input: static diagrams and prose from repositories (pp. 118-119); accuracy is judged against the description, not against the code or the running system.
(b) Acceptance: an expert reviewed every assessment and counted as ground truth (p. 119); human oversight is called indispensable (p. 121).
(c) Context: without design intent and audience, the model read deliberate omissions as errors and assumed stakeholders the system does not have (pp. 119, 121).
(d) Timeliness and cost: runs through the web interface, one per diagram; time and cost not reported.
(e) Evidence: four diagrams, one model and one expert (pp. 121-122).</t>
  </si>
  <si>
    <t>MAPE-K (Inferred): checking that two representations of the same architecture agree is an Analyse step over Knowledge; here they are a diagram and a text, not a runtime model and the system.
Rainbow (Inferred): the consistency and completeness criteria are what Rainbow's architectural constraints check formally over its model; here the model judges them in free text, without rules.
Models@run.time (Inferred): the accuracy criterion asks whether a representation matches the architecture it describes, the fidelity a runtime model must keep with the system; the study asks it once, of a diagram against its description.</t>
  </si>
  <si>
    <t>Models@run.time. Its core question, whether a representation of an architecture is accurate and complete, is the fidelity a runtime model must keep with the system it reflects. MAPE-K fits only as an Analyse step and Rainbow only through its constraint checks, and neither is exercised.</t>
  </si>
  <si>
    <t>After each adaptation, a multimodal or text model compares the architecture views that engineers read (diagrams and descriptions) with the runtime model and flags components and connections that are missing, outdated or inconsistent, as prompts for review rather than verdicts, since deliberate abstraction is easily read as omission (FS19). Test on a self-adaptive exemplar by injecting divergences between its runtime model and its documentation and measuring detection and false alarms against engineers who rate independently.
Preconditions: a runtime model and documentation views of the same system; ground truth for the injected divergences.
Risks: deliberate abstraction read as omission; a bias towards text over diagrams; one model, one expert and four diagrams so far.</t>
  </si>
  <si>
    <t>Given a reference architecture, a concrete architecture and a violation reported by a model-driven conformance checker, Gemini 1.5 and ChatGPT-4o propose a corrected architecture in the tool's modelling language. On 16 IoT architectures mutated by the authors (20 suggestions per model), Gemini was correct in 90% of cases and ChatGPT in 70%, ChatGPT more often making changes that were not asked for; the architect approves each fix.</t>
  </si>
  <si>
    <t>(a) Trigger: violations come from a model-driven checker while the architecture is being designed (pp. 405-406); a loop would have to detect them over a runtime model.
(b) Acceptance: every fix goes to the architect for approval (p. 407); the checker that found the violation is not used to re-check the fix.
(c) Errors: fixes that introduce new violations (up to 25% for ChatGPT) and unrequested or trivial changes, such as deleting the offending connection (p. 408).
(d) Timeliness and cost: not reported.
(e) Evidence: one domain, four architectures mutated by the authors, one judgement per suggestion (pp. 407-408).</t>
  </si>
  <si>
    <t>MAPE-K (Inferred): conformance checking over an architecture model is Analyse, and the proposed repair is Plan; there is no Monitor or Execute, and the architect approves each plan.
Rainbow (Inferred): Rainbow checks architectural constraints over its model and repairs violations with strategies; here the constraints come from a reference architecture and the repair is generated by the model rather than chosen from predefined strategies.
Models@run.time (Inferred): the architecture is a model in a metamodel-based language that the LLM reads and rewrites, the form a runtime model would take, but it is not connected to a running system.</t>
  </si>
  <si>
    <t>Rainbow. It is architecture-based repair: a constraint violation found over a formal architecture model triggers a repair of the model, which is Rainbow's cycle, with the repair generated rather than chosen from strategies. MAPE-K fits only through Analyse and Plan, and Models@run.time lacks the causal connection.</t>
  </si>
  <si>
    <t>When a check over the runtime architecture model finds a violation of the constraints of a reference architecture or style, a language model proposes a repaired model, and the rule-based checker runs again on the proposal before it is executed, so that repairs introducing new violations (FS20: up to 25% for one model) are blocked without a human; repairs that change elements unrelated to the violation are rejected by comparing the two models. Test on a self-adaptive exemplar with injected violations: share of correct repairs, wrong repairs blocked, and repair time.
Preconditions: a runtime architecture model in a metamodel-based language with conformance rules; a way to compare two versions of the model.
Risks: several valid repairs with no criterion to choose among them; unrequested changes; one domain and 16 mutated architectures so far.</t>
  </si>
  <si>
    <t>Three LLMs with zero-, one- and few-shot prompts, a general-purpose coding agent (Claude Code) and a custom multi-agent approach (ArchView) generate architecture views from hierarchical summaries of the code of 340 open-source repositories, judged against manually coded ground-truth views. Views are mostly valid diagrams but at code rather than architectural granularity and largely incomplete; ArchView does best (22.6% clarity failures), examples help little, and the general-purpose agent does worst.</t>
  </si>
  <si>
    <t>(a) Snapshot: each view is generated once from a summary of the repository (pp. 247-248); regenerating it as the system changes is not studied, although stale views motivate the work (p. 245).
(b) Abstraction: views stay at code level (pp. 245, 252), and completeness failures exceed 73% in every configuration (Table III).
(c) Acceptance: quality is judged against a ground truth by an LLM judge and two raters; in use there is none, and oversight is recommended (p. 253).
(d) Timeliness and cost: whole repositories are summarised hierarchically; time and cost are not reported.
(e) Evidence: public repositories that may be in the models' training data, partly mitigated (p. 254).</t>
  </si>
  <si>
    <t>MAPE-K (Inferred): recovering views from code resembles Monitor feeding Knowledge with an architecture description; nothing is analysed, planned or executed.
Rainbow (Inferred): Rainbow needs a component-and-connector model of the running system; generated component views could seed one, but they are diagrams for people, at code-level granularity.
Models@run.time (Inferred): the view is a representation derived from the system's own artefacts, the system-to-model half of a runtime model, but it is a diagram with no metamodel or causal connection.</t>
  </si>
  <si>
    <t>Models@run.time. Deriving an architecture representation from the system's own artefacts is the system-to-model direction of a runtime model, and the finding that views land at code-level granularity is the abstraction problem such a model must solve. MAPE-K fits only through Monitor and Knowledge, and Rainbow's model would need components at the right granularity, which the views lack.</t>
  </si>
  <si>
    <t>After each adaptation, regenerate the architecture views that engineers supervising the loop read, from the runtime architecture model and the changed code, with a specialised agent pipeline like ArchView that is given the concern and granularity each view must address; compare each regenerated view with the runtime model to catch elements at code rather than architectural granularity before it is shown. Test on a self-adaptive exemplar: agreement of regenerated views with the runtime model after injected adaptations, and engineers' ratings of accuracy and level of detail.
Preconditions: a runtime architecture model to generate from and check against; a concern specification per view.
Risks: code-level granularity; completeness failures above 73% in FS21; an LLM judge that may favour its own outputs; no time or cost figures.</t>
  </si>
  <si>
    <t>ArchBench is a platform for benchmarking LLMs and agents on software architecture tasks: a command-line pipeline from dataset download through logged inference to automated scoring, a public leaderboard, and five tasks from published studies (ADR generation, trace-link recovery between architecture documentation and code, and three code-generation tasks). The paper runs no model and reports no results; two tasks are scored automatically so far.</t>
  </si>
  <si>
    <t>(a) Tasks: each task maps design-time artefacts to one output (pp. 2-3); none involves a running system or a sequence of changes.
(b) Acceptance: outputs are scored against references by text similarity, set matching or tests (pp. 2-3), which the authors note may miss architectural quality (p. 4).
(c) Agents: there is no sandbox yet for tool-using agents (p. 4).
(d) Timeliness and cost: tokens and latency are logged per inference (p. 2), but no figures are reported.
(e) Evidence: no results in the paper.</t>
  </si>
  <si>
    <t>MAPE-K (Inferred): no task corresponds to a loop activity; trace-link recovery is closest to what Monitor needs to map code-level observations to architectural elements, and per-inference latency is what a loop's timeliness depends on.
Rainbow (Inferred): a task for strategy selection over an architecture model, the work of Rainbow's adaptation engine, could be added as a plugin, but none exists.
Models@run.time (Inferred): no runtime model is involved; the tasks work on documentation and code snapshots.</t>
  </si>
  <si>
    <t>MAPE-K feedback loop. Its relevance to self-adaptation is as infrastructure: benchmark tasks defined per loop activity (Analyse, Plan) on exemplars, with latency logged per inference, would make LLM-based adaptation comparable across models. Rainbow and Models@run.time fit only through tasks the platform does not yet have.</t>
  </si>
  <si>
    <t>Add self-adaptation tasks to a shared architecture benchmark such as ArchBench: given a runtime architecture model of an exemplar and monitored data, analyse a goal violation or plan an adaptation, scored against the exemplar's known adaptations, with latency and token cost logged per inference as FS22's pipeline already does. Test by running several models and agents on the same tasks and comparing accuracy, latency and cost.
Preconditions: exemplars with ground truth for adaptation decisions; a sandbox that simulates the managed system for tool-using agents.
Risks: reference-based metrics may miss valid alternative adaptations; public exemplar data may enter training data; the platform reports no results yet.</t>
  </si>
  <si>
    <t>Nine commercial LLMs answer 1,230 generated questions each about the architecture of three ROS2 systems, given the computation graph extracted from each running system as JSON. Accuracy averages 98% and falls with system size; almost all errors concern communication paths through a system-wide topic, and some models hallucinate entities and paths that are not in the graph.</t>
  </si>
  <si>
    <t>(a) Snapshot: the graph is extracted once from each running simulation (pp. 4-5); keeping it current as nodes appear and disappear is not studied.
(b) Reasoning: explicit facts are read reliably, but implicit and system-wide communication paths are not (pp. 7-9), and accuracy falls as the graph grows (Table 5).
(c) Acceptance: answers are checked against a ground truth derived from the same graph (pp. 4-5); in use, errors would need a check of their own.
(d) Timeliness and cost: output tokens and prices are reported (Table 3, pp. 4-6), but not response time.
(e) Evidence: three systems in simulation, each question asked once (pp. 3, 5).</t>
  </si>
  <si>
    <t>MAPE-K (Inferred): answering questions over a model of the running system's structure is Analyse over Knowledge; nothing is monitored continuously, planned or executed.
Rainbow (Inferred): Rainbow reasons over a component-and-connector model of the running system; the computation graph is such a model, and the questions probe the facts its constraint checks would need, but no constraint or strategy is involved.
Models@run.time (Partial): the graph is taken from the running system, the system-to-model half of a runtime model, and the study measures how well LLMs read it; there is no causal connection back to the system.</t>
  </si>
  <si>
    <t>Models@run.time. Its input is a structural model extracted from the running system, and it measures how reliably LLMs read and reason over that model, which is what any LLM component of a loop built on a runtime model would do. MAPE-K fits through Analyse over Knowledge, and Rainbow through its architecture model, but neither's control logic is exercised.</t>
  </si>
  <si>
    <t>Give the loop's language-model components the runtime architecture model, refreshed from the running system, as their context, and check every structural claim they make (an entity, a connection, a communication path) against the model before it is used in analysis or planning, since models invent connections even when the graph is in the prompt (FS23). Test on a ROS2 or microservice exemplar: accuracy of claims before and after the check, and the share of adaptation plans blocked because they rest on a non-existent path.
Preconditions: a runtime model extracted continuously (for ROS2, the computation graph); a checker for structural claims.
Risks: implicit and system-wide paths are missed; accuracy falls with system size; a snapshot goes stale as nodes change.</t>
  </si>
  <si>
    <t>A Socratic LLM mentor (Mistral 7B), whose dialogue follows seven design steps derived from 18 software engineers, guides first-year students in designing a system architecture from a project description and requirements. With 39 students, it identified essential and additional components and helped students structure their work, but the architectures designed with it were not rated significantly better.</t>
  </si>
  <si>
    <t>(a) Human in the loop: the student designs and the model asks and suggests (pp. 5, 9-10); no step is taken without the student.
(b) Input dependence: vague descriptions and requirements gave generic, high-level suggestions (p. 9).
(c) Acceptance: the suggestions are not checked; only the students' final architectures are rated (pp. 7-8, 10-11).
(d) Timeliness and cost: a design took about an hour of dialogue; latency and cost are not reported (p. 11).
(e) Evidence: one course, 39 students, one small model, short term (pp. 6, 11).</t>
  </si>
  <si>
    <t>MAPE-K (Inferred): identifying components from requirements is planning, with the human as planner and the model as advisor; there is no monitoring or execution.
Rainbow (Inferred): suggested components such as authentication or monitoring resemble tactics added for quality concerns, but without a strategy repository or utility.
Models@run.time (Inferred): no model of a running system is involved; the design exists only in the dialogue and the student's documents.
Three-layer (Inferred): step-wise design from goals and requirements is goal-management work, here done by a person guided by the model.</t>
  </si>
  <si>
    <t>Three-layer architecture for self-managed systems. Guided design from a project description and requirements is deliberative planning at goal level, done here by a person whom the model questions and advises. MAPE-K fits only through Plan, Rainbow only through suggested components that resemble tactics, and Models@run.time does not apply.</t>
  </si>
  <si>
    <t>When an adaptation needs a structural change beyond the loop's predefined options, a model guides the engineer through the change in fixed steps (restate the goal and the violated requirement, name the affected components, propose and justify additional ones, check relationships) instead of presenting a finished plan, so that the engineer remains the designer at goal management. Test with engineers on a self-adaptive exemplar: quality and time of changes made with and without the guided dialogue.
Preconditions: the runtime model and goals as the model's context, since without specific input its suggestions were generic (FS24).
Risks: no measured gain in design quality so far; generic suggestions from vague input; a dialogue of about an hour.</t>
  </si>
  <si>
    <t>o3, Gemini 2.0 Flash and Llama 4 Maverick, with zero-shot, role-and-instruction and chain-of-thought prompts, generate high-level PlantUML component architectures from the textual descriptions of two open-source systems, alone and in 81 drafter-refiner pairs, compared with the documented architectures. o3 and Gemini recover most components and apply styles such as an API gateway, only o3 with chain-of-thought finds the event-driven style, and a refining second model raises accuracy, the drafter mattering most.</t>
  </si>
  <si>
    <t>(a) Input: a textual system description of at most 500 tokens (p. 403); a running system offers monitoring data and models, not such a description.
(b) Acceptance: diagrams are compared with a documented reference by hand-matched names and tree edit distance (p. 402); plausible deviations such as an added API gateway count as errors, and in use there is no reference.
(c) Output validity: some outputs, mostly in two-pass settings with Gemini, were not valid PlantUML (pp. 405-406).
(d) Timeliness and cost: token limits are set to keep API costs low (p. 403), but time and cost are not reported.
(e) Evidence: two public systems, probably in the training data (p. 407).</t>
  </si>
  <si>
    <t>MAPE-K (Inferred): generating an architecture from requirements is planning without Monitor or Execute; the drafter-refiner chain resembles Plan followed by a model-based check and repair of the plan.
Rainbow (Inferred): choosing an API gateway or event bus is a choice of style, which Rainbow fixes in its style-specific model; here the style is chosen by the model and differs between models and prompts.
Models@run.time (Inferred): the generated diagram could seed an architecture model, but none is kept or connected to a system.
Three-layer (Inferred): synthesis of a whole architecture from requirements is goal-management planning.</t>
  </si>
  <si>
    <t>Three-layer architecture for self-managed systems. Generating a complete architecture from requirements is deliberative planning at goal level, as in FS08, and the drafter-refiner chain adds a second model that checks and repairs the plan before it is handed on. MAPE-K fits only through Plan, Rainbow only through the choice of style, and Models@run.time lacks the causal connection.</t>
  </si>
  <si>
    <t>When goals change enough to require a new structure, a drafting model proposes the changed architecture from the updated requirements and a different model refines it, the drafter being chosen with most care since it decided most of the outcome in FS25; the refined proposal is then checked for syntax and against architectural constraints before it is handed to the layers below. Test on a self-adaptive exemplar: agreement of drafted and refined changes with an architect's, and the rate of invalid outputs.
Preconditions: requirements kept current as text or a model; a syntax and constraint check.
Risks: invalid outputs from some model pairs; styles introduced that the system does not need; evidence from two public systems.</t>
  </si>
  <si>
    <t>In a lab study, 18 pairs of software professionals designed a mobile app from a requirements document with optional access to GPT-3.5 Turbo. The model served as nothing, an information source, a generator of artifacts or the producer of the whole design, including architecture overviews, deployment diagrams and backend options with trade-offs; designers scrutinised and adapted its output and gained insights, but anchored early on its first suggestions.</t>
  </si>
  <si>
    <t>(a) Human in the loop: designers steered, scrutinised and adapted every output, and none was used as is (pp. 1788-1790).
(b) Context: output depended on the context designers chose to give, and separate instances drifted apart (pp. 1786-1787, 1789).
(c) Decision authority: asked to decide, the model mostly laid out trade-offs and left the choice to people (p. 1788).
(d) Timeliness and cost: not reported.
(e) Evidence: one greenfield task, an older model, and no assessment of design quality (p. 1790).</t>
  </si>
  <si>
    <t>MAPE-K (Inferred): the model advises a human planner; laying out monolithic and serverless options with trade-offs resembles analysis that feeds a Plan decided by people.
Rainbow (Inferred): there are no strategies or utilities; the trade-offs are informal text.
Models@run.time (Inferred): no model of a running system is involved.
Three-layer (Inferred): greenfield design is goal-management work, done here by people with the model's help.</t>
  </si>
  <si>
    <t>Three-layer architecture for self-managed systems. Human-led greenfield design, with the model as information source, generator or producer and people deciding, is deliberation at goal level. MAPE-K fits only through the model's trade-off lists as analysis for a human Plan, and Rainbow and Models@run.time do not apply.</t>
  </si>
  <si>
    <t>When a self-adaptive system escalates a structural decision to its engineers, give them one shared model instance that lays out alternatives with their trade-offs rather than a single recommendation, and ask it for several alternatives, since designers anchored on the first suggestion and separate instances drifted apart (FS26). Test with engineer pairs on an escalated adaptation of an exemplar: alternatives considered and quality of the decision, with and without the protocol.
Preconditions: an escalation path to people; the current architecture and goals as shared context.
Risks: anchoring and context drift; evidence from an older model and one greenfield task; design quality not measured.</t>
  </si>
  <si>
    <t>GPT-4o generates 14 design problems for common quality attributes, each with four design-concept alternatives and their pros and cons; four LLMs then choose among the alternatives, and 23 workshop participants choose for five of the problems. The alternatives were all judged appropriate and the models mostly agreed, but their choices diverged from the humans', who were more varied and often asked for more information.</t>
  </si>
  <si>
    <t>(a) Context: short, isolated problems; the models lack project context such as cost, team experience and time to market (p. 94).
(b) Acceptance: participants distrusted decisions without reasoning and warned of plausible justifications for any choice (p. 92).
(c) Consistency: one model answered the same question differently twice, and the models disagreed on two of 14 problems (pp. 91-92).
(d) Timeliness and cost: web interfaces; not reported.
(e) Evidence: 14 model-generated problems, 23 workshop participants on five of them (pp. 89-90).</t>
  </si>
  <si>
    <t>MAPE-K (Inferred): choosing a design concept for a quality-attribute problem is Plan, and generating alternatives with pros and cons is what a planner needs before it chooses.
Rainbow (Inferred): four alternatives with pros and cons resemble a strategy repository with informal utilities; the model's choice stands in for utility-based selection.
Models@run.time (Inferred): no model of a running system is involved.
Three-layer (Inferred): selecting design concepts is deliberation at goal-management level.</t>
  </si>
  <si>
    <t>Rainbow. Choosing among a small set of alternatives for a quality-attribute problem, each with its pros and cons, mirrors Rainbow's utility-based selection among strategies; here the model both proposes the options and chooses, and its choices converge where human experts diverge. MAPE-K fits only through Plan, and Models@run.time does not apply.</t>
  </si>
  <si>
    <t>Use a model to generate candidate adaptation strategies with their pros and cons for a quality-attribute violation (the divergent step), but leave the choice to a utility function or an engineer (the convergent step), since models converged on single answers where experts diverged and one model answered the same question differently twice (FS27). Test on a self-adaptive exemplar: relevance of generated strategies against a predefined repository, and agreement of utility-based choices with engineers'.
Preconditions: a utility function or escalation to engineers; quality-attribute scenarios as input.
Risks: missing context (cost, team, time); unexplained choices; evidence from isolated, model-generated problems.</t>
  </si>
  <si>
    <t>GPT-4 Turbo, with file-system access to the specifications and code of three DEECo applications in three DSLs, answers questions about their ensemble-based component architectures: which components and ensembles exist, their roles and membership conditions, and which ensembles form in a given state of the components. With basic hints on how components and ensembles are defined it answers mostly correctly for an external DSL and a Python DSL, but not for a Scala DSL.</t>
  </si>
  <si>
    <t>(a) Representation: understanding depends on the DSL; for the Scala-based DSL the answers were misleading (p. 219).
(b) Context: plain questions failed, and hints on DEECo's concepts were needed (pp. 217-218).
(c) Acceptance: ensemble predictions were checked against the runtime for one application only (p. 218).
(d) Timeliness and cost: not reported.
(e) Evidence: three example applications, one model, results without counts (pp. 216-220).</t>
  </si>
  <si>
    <t>MAPE-K (Inferred): predicting which ensembles form in a given state is the analysis a loop over a collective adaptive system would need; here it is asked offline, about stated states.
Rainbow (Inferred): ensemble membership conditions and utilities resemble Rainbow's constraints and strategies over an architecture model.
Models@run.time (Inferred): the DSL specification is the model from which the DEECo runtime forms ensembles, so it acts as a runtime model; the LLM reasons over it but is not connected to a running system.
FORMS (Inferred): ensembles coordinate several adaptive components, the kind of multi-unit adaptation FORMS describes.</t>
  </si>
  <si>
    <t>Models@run.time. DEECo forms ensembles at runtime from the membership conditions in the architecture specification, so the specification works as a runtime model; the study tests whether an LLM can read it and predict the ensembles it yields in a given state, the reasoning a loop over such a model needs. MAPE-K fits only through Analyse, and Rainbow through its constraints.</t>
  </si>
  <si>
    <t>In an ensemble-based collective adaptive system, let a language model explain or predict ensemble formation for the current runtime state before an adaptation, check it against the runtime's own ensemble resolution, and use disagreements in boundary cases, such as a low battery, to flag membership conditions for engineers to review. Test on an ensemble-based exemplar: agreement of model predictions with the runtime, and engineers' judgement of the flagged conditions.
Preconditions: the architecture in a well-known or self-explanatory DSL, with hints on its concepts; access to the runtime state.
Risks: poor understanding of less common DSLs; reliance on comments and identifiers; one model and three applications so far.</t>
  </si>
  <si>
    <t>Four LLMs (GPT-5, Gemini 2.5 Pro, GLM-4.6, DeepSeek 3.2 Terminus) decompose four monolithic Java systems into microservices in three phases: they summarise the repository, generate five architectural views from the summary, and, with a statically extracted dependency and call graph, partition the classes into services in a single shot. Against reference decompositions and published tool results, the decompositions have fewer cyclic dependencies than the tools' but diverge from the reference service boundaries and align less with domain and team boundaries.</t>
  </si>
  <si>
    <t>(a) Representation: partitioning is at class level from generated summaries and views, and the service boundaries diverged from the reference (MoJoFM 27.33 against 51.41 for the tools) (pp. 274, 277).
(b) Context: static code only; neither context size nor summarisation strategy changed quality, and runtime traces are proposed to capture operational coupling (pp. 275, 277).
(c) Acceptance: no human architect assessed the decompositions, and alignment with domain and team boundaries was weaker than the tools' (pp. 274-275, 277).
(d) Timeliness and cost: tokens only, with 576-815k input tokens for hierarchical summarisation; run time is not reported although RQ2 names it (p. 275).
(e) Evidence: four open-source Java systems, one run per configuration, and possible training-data leakage (p. 277).</t>
  </si>
  <si>
    <t>MAPE-K (Inferred): the decomposition is a Plan step over structure, produced once and offline; nothing monitors the running system or executes the split.
Rainbow (Inferred): the benchmark metrics (cyclic independence, modularity, domain independence) could act as Rainbow-style architectural constraints for judging a proposed split.
Models@run.time (Inferred): the generated views and the dependency graph form a model of the system's structure, built from code rather than kept current from the running system; the proposed runtime traces would make it one.</t>
  </si>
  <si>
    <t>Models@run.time. The pipeline reasons over a model of the system's structure (generated views plus a static dependency and call graph), and the authors propose adding runtime traces to capture operational coupling, which is what a runtime model would keep current. MAPE-K fits only through Plan, and Rainbow through the metrics as constraints.</t>
  </si>
  <si>
    <t>In a running service-based system, keep a structural model current from the dependency graph and runtime traces of calls, and let a language model propose re-partitioning of services from it as a slow outer loop; check each proposal automatically for cycles and modularity, then pass it to architects for review rather than executing it. Test on a microservice exemplar with a reference decomposition: cyclic independence and MoJoFM against the reference, and architects' acceptance of proposed splits.
Preconditions: traces mapped to classes or components; a reference decomposition or architect review.
Risks: divergence from domain and team boundaries; single-shot outputs; token cost of summarising large code bases; training-data leakage when evaluating on open-source systems.</t>
  </si>
  <si>
    <t>An OpenAI reasoning model (called 'GPT-4 o3') proposes microservices, their responsibilities and the links between them from the textual requirements of two small systems, zero-shot and with one hand-made example. Against reference decompositions from the implemented systems, zero-shot matched 11 of 14 services and 32 of 38 links with many extra links; one example brought all 14 services and 36 of 38 links, and experienced architects rated the one-shot designs highest.</t>
  </si>
  <si>
    <t>(a) Representation: services, responsibilities and links as lists and diagrams; the style is fixed, and outputs added infrastructure services the requirements did not ask for (pp. 84-86).
(b) Context: requirements text only, refined by the authors; services mentioned once were missed zero-shot, and a hand-made example was needed (pp. 81-83).
(c) Acceptance: experts rated zero-shot designs low on plausibility because of dense bidirectional coupling, and one-shot designs highest (p. 84).
(d) Timeliness and cost: not reported.
(e) Evidence: two small systems, one model, open comments analysed by the authors, and figures that differ between abstract, text and tables (pp. 79, 84-88).</t>
  </si>
  <si>
    <t>MAPE-K (Inferred): regenerating a service decomposition when requirements change would be Plan over structure; here it runs once, offline.
Rainbow (Inferred): the experts' criteria (modularity, coupling, single responsibility) could serve as architectural constraints for checking a proposed decomposition.
Models@run.time (Inferred): the proposed drift detection compares the intended service topology with the actual one found by runtime analysis, which a runtime model would keep current.</t>
  </si>
  <si>
    <t>Models@run.time. The authors propose updating a candidate service-boundary map as requirements arrive and detecting drift between intended and actual service topologies with static and runtime analysis; both need a model of the running system's topology kept in step with it. MAPE-K fits only through Plan, and Rainbow through constraints.</t>
  </si>
  <si>
    <t>When requirements are added or changed, let a model propose an updated service-boundary map with one curated example, compare it with the actual service topology kept current from runtime call traces, and flag drift and unsupported links for architects to review rather than changing the system. Test on a microservice exemplar with injected requirement changes: precision and recall of flagged drift, and architects' acceptance of the proposals.
Preconditions: requirements in a consistent form; a curated example of the target style; a runtime topology model.
Risks: over-generation of infrastructure services and links; services mentioned once are missed; the example steers the output; two small systems so far.</t>
  </si>
  <si>
    <t>An overview of the authors' programme on architecting ML- and RL-based systems for Industry 4.0 production systems, set in a CI/CD pipeline. It proposes that an LLM generate the formal architecture model of a system from its code and schematics, as Python code against the authors' metamodel, and that an LLM check those models for conformance to catalogued architectural design decisions, replacing hand-coded detectors. Neither proposal is implemented or evaluated; earlier LLM work of the authors is summarised without results.</t>
  </si>
  <si>
    <t>(a) Representation: the formal model is written by hand today because distributed, polyglot ML/RL systems are hard to model by parsing; the LLM would have to write model code that conforms to the metamodel (pp. 161, 164).
(b) Context: the design-decision catalogues come from grounded theory studies of grey literature and are updated rarely; LLMs are proposed to automate their updating (pp. 160, 164).
(c) Acceptance: no human review is specified for generated models or LLM conformance results; only pipeline generation keeps a human in the loop (p. 160).
(d) Timeliness and cost: not discussed.
(e) Evidence: the architectural LLM tasks are proposals, and the LLM-based RL practice check and pipeline generation are summarised from other papers without figures (pp. 160, 164-165).</t>
  </si>
  <si>
    <t>MAPE-K (Inferred): a pipeline triggered by model performance drift, with conformance checks over a knowledge base of design decisions before deployment, resembles Monitor, Analyse and Knowledge, with deployment as Execute.
Rainbow (Inferred): checking a formal architecture model against design decisions, decision options and quality metrics resembles Rainbow's evaluation of architectural constraints over its architecture model.
Models@run.time (Inferred): the formal model is regenerated on each pipeline run from code and schematics, so it follows the system closely, but from build artefacts rather than the running system.</t>
  </si>
  <si>
    <t>Rainbow. The proposal checks a formal architecture model of the system against catalogued architectural knowledge (design decisions, options, quality metrics), which is Rainbow's constraint evaluation over an architecture model, with an LLM building the model and doing the checking. MAPE-K fits only through Analyse and Knowledge, and Models@run.time lacks the connection to the running system.</t>
  </si>
  <si>
    <t>In the CI/CD pipeline of an ML/RL-based system, let an LLM regenerate the formal architecture model from code, schematics and deployment descriptors on each run, check it against the design-decision catalogue, and flag violations for architects before deployment; later, add the deployed components and their connections from the running system so that the model reflects what runs. Test on the open-source systems the authors have already modelled by hand: agreement of generated models with the hand-made ones, and agreement of LLM conformance results with the existing detectors and metrics.
Preconditions: the metamodel and hand-made models as examples; the design-decision catalogue; access to deployment information.
Risks: errors in generated models pass into the checks; nothing is evaluated yet; automatically gathered knowledge may drift from practice.</t>
  </si>
  <si>
    <t>Four LLMs generate the next architecture decision record of an open-source repository from its title and a selection of the repository's earlier records: none, all, the first K, the last K or the K most similar. On over 4,500 ADRs from 750 repositories, any history beat none, the last three to five records did as well as the whole history, similarity retrieval matched recency in aggregate, and a 4B-parameter model with context came close to far larger ones. Quality is measured only by text similarity to the human records.</t>
  </si>
  <si>
    <t>(a) Representation: ADRs are free text, and quality is measured only as similarity to the human record, which the authors call replication fidelity (pp. 5, 9).
(b) Context: decision history is decisive, but many reference ADRs defer rationale to wikis, issues or unwritten knowledge the model cannot see (pp. 5-8).
(c) Acceptance: no architect judged the generated records; the manual review was informal (p. 9).
(d) Timeliness and cost: only output lengths are reported, not input tokens, time or cost (p. 6).
(e) Evidence: 750 open-source repositories, four models, possible training-data leakage, no statistical tests reported (pp. 3-4, 9-10).</t>
  </si>
  <si>
    <t>MAPE-K (Inferred): a record of the decision behind each change, generated from the recent decision history, is the rationale a loop's Knowledge component would hold about its own adaptations.
Rainbow (Inferred): Rainbow records which strategy it chose but not why; generated records could document the reasons for each strategy.
Models@run.time (Inferred): the ADR sequence models the architecture's evolution rather than its current state; the proposed linking of ADRs to code would tie it to the system.</t>
  </si>
  <si>
    <t>MAPE-K feedback loop. The study shows how to write decision records cheaply from the recent decision history, which is what a loop needs to keep the rationale of its own adaptations in Knowledge; it does not touch Monitor, Analyse or Execute. Rainbow and Models@run.time fit only through the record of strategies or of model changes.</t>
  </si>
  <si>
    <t>After each architectural adaptation, a model turns the planner's choice and its triggering conditions into a decision record, with the last three to five adaptation records as context, and stores it in Knowledge, linked to the runtime model version it changed; engineers and later planning steps can consult it. Test on a self-adaptive exemplar: architects rate a sample of generated adaptation records against hand-written ones, and check whether consulting past records improves later plans.
Preconditions: structured logs of adaptations and their triggers; an ADR template.
Risks: similarity metrics say nothing about correctness; plausible but wrong rationale; generation cost per adaptation not known.</t>
  </si>
  <si>
    <t>Local and online LLMs are asked to generate an architecture in an explicitly requested pattern (client-server, three-tier, MVC, microservices) as a PlantUML class diagram from requirements given as lists or SRS documents, with and without RAG, for two small systems. Simple patterns were mostly applied, microservice properties only by larger models; SRS inputs helped only large models; RAG helped local models when the prompt stayed within their capacity; and metrics the models computed about their own diagrams were wrong more than half the time.</t>
  </si>
  <si>
    <t>(a) Representation: UML class diagrams in PlantUML, chosen because component diagrams are poorly supported, capture static structure only (pp. 6-7, 21).
(b) Context: the requirement form matters: SRS documents helped only large models, and implementation-oriented requirement lists steered models to three-tier even when MVC was asked for (pp. 16-17).
(c) Acceptance: diagrams are judged by the authors with a rubric; models' own metrics about their diagrams were mostly wrong (pp. 10-11, 19-20).
(d) Timeliness and cost: not reported; local models were quantised to fit the hardware (p. 8).
(e) Evidence: two small systems designed by the authors, one run per configuration, no statistical tests (pp. 20-22).</t>
  </si>
  <si>
    <t>MAPE-K (Inferred): producing a target structure in a given style from requirements is a Plan step over structure; here it is done once, offline.
Rainbow (Inferred): Rainbow organises adaptation around architectural styles and their constraints; the rubric's adherence criteria resemble style constraints, and the failed self-computed metrics are the kind of property Rainbow's gauges measure externally.
Models@run.time (Inferred): the PlantUML output is a machine-readable architecture model, but it is not connected to a running system.</t>
  </si>
  <si>
    <t>Rainbow. The study tests whether models respect the constraints of a requested architectural style, which is the unit Rainbow reasons with, and shows that properties of the result must be measured outside the model, as Rainbow's gauges and analysis do. MAPE-K fits only through Plan, and Models@run.time lacks the connection to a running system.</t>
  </si>
  <si>
    <t>In a Rainbow-style loop over a service-based system, let a model propose a structural change in the system's style (for example, splitting a service with its own data store) as diagram-as-code over the architecture model; compute the style's metrics (data ownership, coupling, interface complexity) with external analysis rather than by the model, and pass only proposals that meet the style constraints to the adaptation executor or to architects. Test on a microservice exemplar: rubric-scored adherence and the share of proposals passing the external constraint check, with and without pattern-specific retrieved material.
Preconditions: an architecture model in a text form the model can read and write; external metric computation; style constraints stated explicitly.
Risks: smaller models fail on complex styles; input wording can override the requested style; self-reported metrics are hallucinated; single-run evidence.</t>
  </si>
  <si>
    <t>LLMs adapt the runtime architecture of ensemble-based collective adaptive systems. Online, a model inside the adaptation manager receives a prompt generated from an architecture specification in a DSL and the current state and decides, every period, which components form which ensembles; its answer is checked against constraints and retried once if invalid. Offline, a model writes the adaptation manager in Python beforehand. In simulations of two examples, a reasoning model came close to a hand-coded manager even without a given strategy, and a strategy in natural language improved all models, but models became lazy on larger problems and generated managers were mostly poor.</t>
  </si>
  <si>
    <t>(a) Adaptation space: ensemble types, constraints and strategy are fixed in the DSL; the model only regroups components into ensembles (pp. 3-4).
(b) Timeliness: about 10 s (GPT-4o mini) to 30-60 s (o3-mini) per decision at 24 drones, over two minutes on large inputs, and retries add 35-83% (p. 9).
(c) Assurance: each decision is checked only for validity (system constraints), not for quality, with one retry before the update is abandoned; custom constraints were not used in the experiments (pp. 4, 6).
(d) Scale: beyond about 40 drones the models became lazy and used only a few percent of the drones (pp. 9-10).
(e) Evidence: simulations of the authors' own examples; offline managers generated and refined by hand through a web interface (pp. 6, 10-11).</t>
  </si>
  <si>
    <t>MAPE-K (Partial): the adaptation manager takes the current state each period (Monitor), the model analyses it and plans the ensemble resolution (Analyse, Plan), the constraint check gates the plan, and the assignment is applied (Execute), with the DSL specification as Knowledge; the paper relates its approach to MAPE-K work but does not build on the loop explicitly.
Rainbow (Partial): the adaptation is architecture-based, over an explicit specification with constraints and a strategy; the natural-language strategy plays the part of Rainbow's strategies, and violations explained back to the model resemble its constraint evaluation, used here as a gate rather than a trigger.
Models@run.time (Partial): the DSL specification is the model from which the DEECo runtime forms ensembles, and the model's decision changes the running architecture through the adaptation manager, a causal connection.</t>
  </si>
  <si>
    <t>Rainbow. The study is architecture-based adaptation driven by an explicit architecture specification with constraints and a strategy, Rainbow's organising idea, with a language model taking the place of strategy execution and a constraint check gating its output. MAPE-K describes the loop but not the check against the specification, and Models@run.time fits the DEECo specification rather than the decision and its check.</t>
  </si>
  <si>
    <t>Keep the model inside the adaptation manager, but check each decision for quality as well as validity, by comparing it with the outcome of the stated strategy or a utility estimate; fall back to the rule-based manager when the check or the retry fails; divide large problems geographically or by ensemble category to avoid laziness; and invoke the model only when the state changes beyond a threshold. Test in the authors' public framework against the rule-based manager: damage, the share of decisions rejected or overridden, response time and cost per run, and behaviour beyond 40 drones.
Preconditions: the public framework and DSL; a utility estimate or reference strategy; rules for dividing the problem.
Risks: a quality check needs a reference that may be the rule-based manager itself; division loses central coordination; reasoning latency; cost grows with problem size.</t>
  </si>
  <si>
    <t>A multi-agent workflow with Gemini 3.1 Pro extracts the architectural decisions discussed in design meetings from raw transcripts, critiques and refines them, enriches them by retrieval from other projects' ADRs and the web, and drafts Nygard-format ADRs. On five transcripts it was more stable than zero-shot and few-shot prompting, covered about 18 of 23 decisions senior architects identified, and was rated clear and helpful by participants, but it promoted tentative ideas to decisions and imported details that were never discussed.</t>
  </si>
  <si>
    <t>(a) Representation: decisions are implicit in informal, noisy speech and are written as free-text ADRs (pp. 1-3).
(b) Context: retrieval from unrelated projects' ADRs and the web added figures that were not in the meeting (pp. 4-5).
(c) Acceptance: tentative ideas were recorded as accepted decisions, so drafts need human review (p. 5).
(d) Timeliness and cost: not reported; the critique loop multiplies model calls (p. 2).
(e) Evidence: five transcripts from an educational setting, one model, students rating their own projects (p. 6).</t>
  </si>
  <si>
    <t>MAPE-K (Inferred): decisions extracted from discussions and kept as records resemble the rationale a loop's Knowledge component would hold; here the source is a meeting, not the loop.
Rainbow (Inferred): Rainbow has no place for decisions people make outside the loop; records of such decisions could document why strategies or constraints were changed.
Three-layer architecture for self-managed systems (Inferred): meetings where people decide about goals and structure are goal-management activity, and capturing their decisions would keep that layer's goals and constraints explicit.</t>
  </si>
  <si>
    <t>Three-layer architecture for self-managed systems. The decisions the workflow extracts are the ones people make about goals and structure, which the goal-management layer holds; capturing them as records would keep that layer current for the layers below. MAPE-K fits only through Knowledge, and Rainbow not at all.</t>
  </si>
  <si>
    <t>When operators or architects meet about a self-adaptive system (incident reviews, change boards), draft decision records from the recorded meeting with the decision status marked, and, once a person accepts a record, update the goals and constraints the adaptation loop uses, linked to the runtime model. Test on recorded reviews: the share of expert-identified decisions captured, the share of tentative ideas wrongly promoted, and whether the updated constraints match those engineers write by hand.
Preconditions: recorded meetings with consent; a goal and constraint model the loop reads; a human acceptance step.
Risks: tentative ideas promoted to decisions; content imported by retrieval; privacy of recorded meetings; verbose drafts cost review time.</t>
  </si>
  <si>
    <t>Three models (OpenAI o3, DeepSeek-V3, Claude 3.5 Sonnet) generate microservices and directed inter-service links from the textual requirements of two small systems, zero-shot and with one example, under identical deterministic settings. They agreed on the core services and flows but missed the same low-salience service and diverged on cross-cutting links, attaching spurious links to infrastructure hubs; one example helped or harmed link recovery depending on the system, and the choice of model mattered more than the prompt.</t>
  </si>
  <si>
    <t>(a) Representation: services and directed links only, without synchronicity or message semantics (p. 7).
(b) Context: requirements text only; services and links that are only implied (cross-cutting concerns, event handoffs) were missed (pp. 4-6).
(c) Acceptance: spurious hub links form cycles and inflate coupling, so outputs need pruning (pp. 5-6).
(d) Timeliness and cost: not reported.
(e) Evidence: two small, well-known systems, one run per configuration, no statistical tests, and figures in the text that differ from the tables (pp. 5, 7).</t>
  </si>
  <si>
    <t>MAPE-K (Inferred): proposing a service structure and its links from requirements would be a Plan step over structure; here it is done once.
Rainbow (Inferred): the proposed fitness functions (no cycles, degree caps, gateway rules) resemble Rainbow's architectural constraints for checking a proposed structure.
Models@run.time (Inferred): the proposed hybrid with runtime signals would compare generated links with observed calls, which a runtime model would supply.</t>
  </si>
  <si>
    <t>Rainbow. The authors propose checking generated decompositions against architectural constraints (no cycles, degree caps, gateway rules) as fitness functions, which is how Rainbow evaluates structures against its style constraints, and the study shows why such a check is needed: spurious links cluster around hubs. MAPE-K fits only through Plan, and Models@run.time only through the proposed runtime signals.</t>
  </si>
  <si>
    <t>In a microservice system under adaptation, let two or more models propose changes to the service structure, take the intersection of their proposals as the candidate set, and check it against style constraints (no cycles, degree caps, gateway only for ingress) and against observed call data before architects review it. Test on a microservice exemplar: the share of spurious links removed by the intersection and the constraint check, and the share of correct links kept.
Preconditions: several models with different profiles; explicit style constraints; call traces from the running system.
Risks: intersection lowers recall; low-salience services missed by all models stay missed; single runs hide run-to-run variation.</t>
  </si>
  <si>
    <t>ChatGPT-4o rates the architecture diagrams and descriptions of four SBES 2024 tool papers on five quality criteria through one fixed prompt, and one expert (an author) reviews its 20 judgements: agreement on 8, partial agreement on 6 and disagreement on 6. It was most stable on consistency and clarity, but showed context-blindness, misread diagram elements and gave plausible but misguided advice, and it never rated a criterion as failing.</t>
  </si>
  <si>
    <t>(a) Input: static diagrams and description excerpts from published papers (pp. 90-91); accuracy is judged against the description, not against the code or the running tools.
(b) Perception and context: the model reported elements as missing that are in the diagram (p. 92), and without the diagram's purpose and audience it gave out-of-scope advice (pp. 92-94).
(c) Acceptance: plausible suggestions and moderate default ratings invite automation bias (pp. 93-95); every judgement needed expert triage.
(d) Timeliness and cost: web interface, one pass per case; time and cost not reported.
(e) Evidence: four papers, one model, one run per case and one expert who is also an author (p. 95).</t>
  </si>
  <si>
    <t>MAPE-K (Inferred): checking whether a representation of an architecture is complete and accurate is an Analyse step over Knowledge; here it is done once, on a diagram against its text.
Rainbow (Inferred): consistency and completeness are what Rainbow's architectural constraints check formally over its model; here the model judges them in free text and misreads elements.
Models@run.time (Inferred): the accuracy criterion asks whether a representation matches the architecture it depicts, the fidelity a runtime model must keep with the system; the study shows that the model's perception of the representation must be checked first.</t>
  </si>
  <si>
    <t>Models@run.time. As in FS19, its core question is whether a representation of an architecture is accurate and complete, the fidelity a runtime model must keep with the system it reflects, and its finding that the model misread elements that were present argues for verifying perception before any such check. MAPE-K fits only as an Analyse step and Rainbow only through its constraint checks, and neither is exercised.</t>
  </si>
  <si>
    <t>When the architecture views that engineers read (diagrams with descriptions) are compared with a runtime model after an adaptation, have the model first list the components and connectors it sees in the view, check that list against the runtime model's elements automatically, and only then judge completeness and accuracy, with each flagged divergence required to cite a concrete element (FS37). Test on a self-adaptive exemplar by injecting divergences between its documentation and its runtime model and comparing detection and false alarms with and without the perception pass.
Preconditions: a runtime model and documentation views of the same system; ground truth for the injected divergences.
Risks: misread elements; advice that ignores scope and audience; automation bias when moderate ratings are read as verdicts; one model, one expert and four papers so far.</t>
  </si>
  <si>
    <t>An artefact-centric human-AI agentic framework for designing industrial software systems, aligned with the Design Science Methodology: one agent (OpenAI Agents SDK, model not named) structures requirements, generates candidate designs and architecture-as-code, checks consistency and keeps versioned, traceable artefacts such as ADRs, while the architect validates every output. A prototype is shown in one screen capture, consolidating requirements for a shop-floor monitoring system and rendering a generated specification as a UML class diagram; nothing is evaluated.</t>
  </si>
  <si>
    <t>(a) Representation: artefacts are machine-readable and versioned, but the prototype keeps them only within one session, with no long-term memory (p. 13).
(b) Scope: time-level evolution and self-adaptation are declared out of scope (p. 10).
(c) Acceptance: the agent cannot commit decisions, and every artefact passes a human validation gate (pp. 8, 10).
(d) Timeliness and cost: not reported.
(e) Evidence: one screen capture of one session, no evaluation, and the model not named (pp. 12-13).</t>
  </si>
  <si>
    <t>MAPE-K (Inferred): the agentic workflow plans steps, executes tools and validates results in a loop over a shared store of design artefacts (Fig. 3), which is Plan and Execute over Knowledge, with a human gate instead of autonomous execution and no Monitor of a running system.
Rainbow (Inferred): the specified checks of designs against constraints and of violations (Table 2) resemble Rainbow's constraint evaluation over an architecture model, but they are specified, not shown.
Models@run.time (Inferred): the artefact store is a persistent, queryable model of the design; the planned link to the Asset Administration Shell would make it a lifecycle representation of the system, which is where it would meet a runtime model.</t>
  </si>
  <si>
    <t>MAPE-K feedback loop. Its workflow is a loop of planning, tool execution and result validation over a shared knowledge store of versioned artefacts (Fig. 3), the structure of MAPE-K with Knowledge as the design state, though at design time, gated by the architect and without monitoring a running system. Rainbow fits only through the specified constraint checks, and Models@run.time only through the planned lifecycle extension.</t>
  </si>
  <si>
    <t>Connect the artefact store to a representation of the running system (for instance the Asset Administration Shell the authors plan), so that after each change in the deployed system the agent compares the recorded architecture artefacts with what is observed, drafts revised views and ADRs, and routes them through the same human validation gate. Test on an industrial exemplar by injecting architectural changes and measuring detected drift, correct proposals and the architect's review effort.
Preconditions: a machine-readable system representation kept current at runtime; artefacts linked to the elements they describe.
Risks: no evidence yet that the design-time agent produces correct artefacts; session-scoped memory; the model is not named, so behaviour cannot be reproduced.</t>
  </si>
  <si>
    <t>An unnamed LLM recovers the architecture of existing C systems by exploring a Neo4j knowledge graph built from the source with its own Cypher queries, proposing subcomponents, allocating functions to them in batches and reassigning coupling candidates found by Graph Max Shift, recursively into a component tree exported to PlantUML. On cJSON, SQLite and Bash the recovered architectures correspond in part to documented and gold-standard ones, with several documented components split across recovered ones; recovery took from 2 minutes to nearly 4 hours.</t>
  </si>
  <si>
    <t>(a) Input: static source code parsed once into a knowledge graph (p. 495); no runtime information.
(b) Timeliness: recovery took 2 min for cJSON, 1 h 20 min for Bash and 3 h 43 min for SQLite (Table II, p. 499).
(c) Acceptance: no engineer in the loop; results are checked qualitatively against documentation or a gold standard (pp. 499-502).
(d) Reliability: batch allocation can invent or drop functions, caught by a validation pass (pp. 497-498); the model is not named.
(e) Evidence: three C systems, no baseline technique, no recovery metric, no repeated runs (pp. 499-502).</t>
  </si>
  <si>
    <t>MAPE-K (Inferred): recovery is Monitor and Analyse over the code, building Knowledge (the graph with its component tree); the Shift phase refines the model's structure but changes nothing in the system.
Rainbow (Inferred): the recovered component tree could serve as Rainbow's architecture model, and the user-specified target style resembles the style Rainbow checks against, though no constraints are checked.
Models@run.time (Inferred): the knowledge graph is a persistent, queryable model of the system's structure, updated in place and resumable; it is built once from code, not kept current with the running system.</t>
  </si>
  <si>
    <t>Models@run.time. The knowledge graph with its recovered component tree is a persistent, queryable model of the system, updated in place by each phase and able to resume after failure, which is what a runtime model must be, though here it is built once from static code. MAPE-K fits only through Monitor and Analyse, and Rainbow only if the recovered tree were used as its model.</t>
  </si>
  <si>
    <t>Keep the knowledge graph current as the code changes: re-run Explore, Allocate and Shift only for components whose functions changed, so that the recovered component tree stays usable as the architecture model of an adaptation loop, and flag components whose coupling rises after a change. Test on the version history of an open-source system: agreement of incrementally updated trees with full re-recovery, and time per update against the hours a full recovery takes (FS39).
Preconditions: stable function identities across versions; a trusted baseline decomposition.
Risks: allocations drifting between runs; long run times; the model is not named, so behaviour cannot be reproduced.</t>
  </si>
  <si>
    <t>Parametrised test patterns generate questions, with reference answers and metrics, about workflow architectures written in the ExtremeXP workflow ADL; GPT-4o and GPT-4 Turbo answer 25 instances in three ADL variants, with specifications given up front or fetched by function calls, five times each. Structure and behaviour questions were answered mostly correctly, functionality questions scored low under ROUGE-1, and answers suffered when a workflow imported another or was semantically incorrect.</t>
  </si>
  <si>
    <t>(a) Representation: imports and sub-workflows affected the answers; in agent mode the model missed imported workflows (pp. 614, 616).
(b) Prompting: answers depended on the exact wording, and instructions tuned for one model misled the other (pp. 614-615).
(c) Evaluation: ROUGE-1 and BERTScore could not separate correct from incorrect free-text answers (pp. 613-614).
(d) Timeliness and cost: not reported.
(e) Evidence: 25 instances of 8 patterns, two OpenAI models and one ADL (pp. 613-615).</t>
  </si>
  <si>
    <t>MAPE-K (Inferred): answering questions about a workflow's structure and behaviour is the Analyse step over Knowledge that a loop managing such workflows would need; the stated aim of suggesting improvements to an experiment would be Plan.
Rainbow (Inferred): the structural and behavioural patterns (flow cycles, missing links, mutually exclusive conditions, infinite loops) are the checks Rainbow's constraint evaluation performs over an architecture model; here a model is asked them in natural language.
Models@run.time (Inferred): the workflow specification drives the execution of experiments, so it could act as a runtime model; the study reads it offline.</t>
  </si>
  <si>
    <t>Rainbow. Its test patterns ask the questions a constraint checker asks of an architecture model (does a flow cycle exist, is a link missing, are conditional links mutually exclusive, is a loop infinite), which is how Rainbow evaluates a model against its style constraints; the study measures whether an LLM answers them correctly, a precondition for using one in such a check. MAPE-K fits only through Analyse, and Models@run.time only if the specification were read while the workflow runs.</t>
  </si>
  <si>
    <t>Before a model's higher-level proposal for a workflow-based system is accepted (for example, adding a task, as the authors plan), run instantiated low-level test patterns on the current specification and accept the proposal only if the model answers them correctly, reporting failed patterns to engineers. Test on workflows of the kind used here: whether gating on the low-level patterns reduces wrong higher-level recommendations compared with ungated proposals.
Preconditions: the running workflow specified in an ADL; reference answers generated automatically from the specification.
Risks: free-text answers poorly scored by text metrics; sensitivity to wording; two models and 25 instances so far.</t>
  </si>
  <si>
    <t>Gemini 2.5 Flash and DeepSeek V4 Flash, used through their web interfaces, recommend architectural security patterns for five design problems built from known patterns; they mostly invented patterns, descriptions and references. NotebookLM grounded in a corpus of 98 security patterns from the authors' systematic mapping returned the expected pattern with correct references each time, which motivates a planned RAG assistant for architects.</t>
  </si>
  <si>
    <t>(a) Knowledge: the general models lacked specialised security patterns and invented them (pp. 3-4).
(b) Grounding: the corpus is curated by hand from a mapping study (pp. 4-5); how it is kept current is not discussed.
(c) Acceptance: outputs must be verified continuously because of hallucination and inconsistency (p. 3).
(d) Timeliness and cost: not reported.
(e) Evidence: five problems, one reported output per condition, qualitative coding by the authors (pp. 3-6).</t>
  </si>
  <si>
    <t>MAPE-K (Inferred): recommending a pattern for a quality problem from curated knowledge is a Plan step drawing on Knowledge; here the problem is stated by a person at design time.
Rainbow (Inferred): Rainbow chooses a strategy from a repository of tactics when a quality constraint is violated; the corpus of security patterns and tactics plays the role of that repository, consulted in natural language.
Models@run.time (Inferred): no model of the running system is involved.</t>
  </si>
  <si>
    <t>Rainbow. Selecting a security pattern for a stated quality problem from a curated repository mirrors Rainbow's choice of a strategy from its tactic repository when a quality constraint is violated, and the study shows that the repository, not the model's own knowledge, makes the choice reliable. MAPE-K fits only through Plan, and Models@run.time not at all.</t>
  </si>
  <si>
    <t>When a self-adaptive system detects a security threat at runtime, let a retrieval-grounded model propose candidate security patterns or tactics from a curated corpus for the Plan step, each with its reference, filtered by the architecture's constraints, for an operator or the planner to confirm. Test on a self-adaptive exemplar with injected threats: agreement of the proposals with responses chosen by security experts, and the correctness of the cited references.
Preconditions: a curated corpus mapped to the system's components; threat detection in Monitor and Analyse.
Risks: patterns are described in text, not as executable tactics; without grounding the model invents patterns; five problems so far.</t>
  </si>
  <si>
    <t>GPT-4o-mini generates microservice decompositions (services, operations, parameters, directed calls) from user stories inside an elitist evolutionary loop; a Lean 4 kernel rejects candidates with self-calls or dangling callers and callees, and cohesion, granularity and coupling proxies rank the valid ones. On 22 story-card datasets the share of valid candidates rose from 74.5% to 99.5% in five generations and the cohesion proxy improved, with no baseline or expert evaluation.</t>
  </si>
  <si>
    <t>(a) Representation: services, operations, parameters and calls only; no gateways, messaging, data ownership or transactions (p. 367).
(b) Validation: the kernel checks three structural invariants, not cycles, bounded contexts or communication modes (p. 369).
(c) Acceptance: no architect takes part; the results are proxies, not validated quality (pp. 369-370).
(d) Timeliness and cost: generation takes most of the time (15.96 s against 3.13 s for validation, unit not stated; Fig. 3c); tokens and cost not reported.
(e) Evidence: 22 story-card datasets, one model, internal improvement only (pp. 368-369).</t>
  </si>
  <si>
    <t>MAPE-K (Inferred): the loop generates candidates (Plan), checks and scores them (Analyse) and keeps the best over generations; it runs at design time, without Monitor or Execute on a system.
Rainbow (Inferred): the Lean invariants over an explicit architecture model play the part of Rainbow's style constraints, gating which candidate structures are acceptable.
Models@run.time (Inferred): the JSON abstraction of services and calls is a machine-checkable architecture model; here it describes a design, not a running system.</t>
  </si>
  <si>
    <t>Rainbow. Candidate architectures are admitted only if they satisfy executable invariants over an explicit architecture model, which is how Rainbow checks structures against its style constraints, and the fitness proxies resemble the utility that ranks alternatives. MAPE-K fits only through Plan and Analyse at design time, and Models@run.time only through the checkable model.</t>
  </si>
  <si>
    <t>When monitoring shows a service of a running microservice system exceeding coupling or granularity thresholds, have the model propose restructurings of the affected part (split, merge, move operations), check each against invariants extended with deployment constraints (no cycles, data ownership) in the formal kernel, and rank the valid ones by proxies computed from observed call data before the planner or an architect applies one. Test on a microservice exemplar with injected load or feature changes: share of valid proposals, their effect on the proxies, and time per proposal.
Preconditions: executable invariants over the deployed architecture; runtime call data.
Risks: a narrow kernel admits flawed structures; generation dominates run time; only internal proxies evaluated so far.</t>
  </si>
  <si>
    <t>GPT-5 and Claude Sonnet 4.6 score the architecture diagrams of six open-source microservice systems on 15 guideline-level checks under five quality criteria, from the rendered image or its SVG or draw.io source, with the project description. Against reference scores from software engineers they reached F1 0.761 and kappa 0.308, agreeing best on completeness and worst on clarity; image inputs led descriptively but not robustly, and engineers preferred image-based justifications in 60.8% of decided comparisons.</t>
  </si>
  <si>
    <t>(a) Input: static diagrams judged against repository descriptions (p. 4), not against code or the running systems.
(b) Reliability: fair ordinal agreement, weaker on subjective criteria, and permissive scoring (p. 7).
(c) Acceptance: outputs are for triage; engineers must validate them (pp. 9-10).
(d) Timeliness and cost: not reported; run-to-run variability unquantified (p. 5).
(e) Evidence: six public systems possibly seen in training, two models pooled, two engineers per diagram (pp. 4-6, 10).</t>
  </si>
  <si>
    <t>MAPE-K (Inferred): checking whether a representation of an architecture is complete and accurate is an Analyse step over Knowledge; here it is done on documentation, once.
Rainbow (Inferred): the guideline checks (component matching, interaction coverage, notation consistency) resemble constraint checks over an architecture model, stated in natural language.
Models@run.time (Inferred): the accuracy and completeness checks ask whether a representation matches the architecture it depicts, the fidelity a runtime model must keep with the system; here the reference is a textual description.</t>
  </si>
  <si>
    <t>Models@run.time. As in FS19 and FS37, its core question is whether a representation of an architecture is accurate and complete, the fidelity a runtime model must keep with the system it reflects, and its finding that presence-type checks are the most reliable suggests which checks a model could take over. MAPE-K fits only as an Analyse step and Rainbow only through checklist-like constraints.</t>
  </si>
  <si>
    <t>After each adaptation, have a multimodal model run the presence-type guideline checks (components, interactions, external actors, technologies) on the architecture diagrams engineers read against the current runtime model, and flag failing items for review rather than scoring overall quality. Test on a self-adaptive exemplar by injecting divergences between its diagrams and its runtime model and measuring detection and false alarms against engineers' judgements.
Preconditions: a runtime model and rendered documentation views of the same system; engineers to validate flagged items.
Risks: weaker agreement on subjective criteria; permissive scoring; possible training exposure for public systems.</t>
  </si>
  <si>
    <t>A vision for automated architectural knowledge management: LLM-based and other extractors pull architectural elements, decisions and rationale from requirements, documentation, code and diagrams into a linked knowledge base; LLM-based checks detect mismatches between documented and implemented structures; an LLM agent monitors artefacts and keeps the base current, escalating critical conflicts to architects; and retrieval-augmented question answering gives access to the knowledge. Nothing is implemented or evaluated.</t>
  </si>
  <si>
    <t>(a) Input: heterogeneous and multimodal artefacts, from code to meeting recordings (p. 490).
(b) Reliability: hallucinated extractions and the difficulty of telling extraction errors from genuine or planned inconsistencies (p. 490).
(c) Acceptance: explainability and trust are preconditions; critical decisions stay with architects (pp. 489-490).
(d) Timeliness and cost: scale and context-window limits and knowledge-base performance for real-time checking (p. 490).
(e) Evidence: none yet; the paper is a plan (pp. 488-489).</t>
  </si>
  <si>
    <t>MAPE-K (Inferred): the monitoring agent is a Monitor-Analyse loop over development artefacts, with the knowledge base as Knowledge and resolution or escalation as a limited Plan and Execute; the managed element is the documentation, not the running system.
Rainbow (Inferred): conformance checking of implemented against documented structure resembles Rainbow's constraint checks over its architecture model.
Models@run.time (Inferred): a knowledge base kept current with every change is close to a runtime model of the architecture, though fed from artefacts rather than from the running system.</t>
  </si>
  <si>
    <t>MAPE-K feedback loop. Its agent continuously monitors artefacts, analyses them for inconsistencies against a shared knowledge base, and either resolves them or escalates to architects, which is the MAPE-K structure with Knowledge as the architecture knowledge base, applied to the documentation rather than to a running system. Rainbow fits only through conformance checks, and Models@run.time only if the base were fed from the running system.</t>
  </si>
  <si>
    <t>Feed the envisioned knowledge base also from the running system (deployment descriptors, call traces), so that the monitoring agent detects mismatches between documented, implemented and deployed architecture after each adaptation and escalates those that affect architectural decisions. Test on a self-adaptive exemplar by injecting divergences at each level and measuring detection, false alarms and the share of escalations architects accept.
Preconditions: extractors for code and documentation that work (none are evaluated yet); runtime traces mapped to documented components.
Risks: hallucinated extractions entering the base; errors mistaken for inconsistencies; nothing implemented so far.</t>
  </si>
  <si>
    <t>GPT-4o, prompted with an expert role, the notation rules and one worked example, generates UML component diagrams in PlantUML from the informal problem descriptions of 12 course exam traces. Against the professors' solutions, read through a graph formalisation, the diagrams were mostly well formed and covered the stated elements, but were simpler (2.17 fewer interfaces and 6.58 fewer connections on average), over-centralised, and missed elements implied by domain knowledge such as data and notification structures.</t>
  </si>
  <si>
    <t>(a) Input: a short informal description of a new system; no existing or running system is involved (pp. 293-294).
(b) Reliability: oversimplified, over-centralised structures; five of twelve diagrams contain isolated components; small local models went off format (pp. 293, 297-298).
(c) Acceptance: judged not ready for real-world use; a draft for engineers to refine (p. 298).
(d) Timeliness and cost: not reported; number of generations per trace not stated (p. 293).
(e) Evidence: 12 compact exam traces from one course, one model, one ground truth per trace, no statistics (pp. 293-294, 297).</t>
  </si>
  <si>
    <t>MAPE-K (Inferred): generating a component structure is Plan work; here it is done once from a specification, with no Monitor, Analyse or Execute.
Rainbow (Inferred): the graph formalisation and its well-formedness checks (connectivity, no component-to-component edges) resemble architecture-model constraints that could gate a generated structure.
Models@run.time (Inferred): the PlantUML diagram and its graph are a machine-readable component-and-interface model; here it describes a design, not a running system.</t>
  </si>
  <si>
    <t>Rainbow. Its graph model of components, interfaces and relations, and the syntactic checks on it, are the kind of explicit architecture model with constraints that Rainbow uses to accept or reject structures. MAPE-K fits only through a one-off Plan step, and Models@run.time only through the machine-readable model.</t>
  </si>
  <si>
    <t>When an adaptation needs a new component (a new sensor type or service), have the model draft the component and its interfaces as PlantUML against the current component graph of the running system, check the draft with the paper's syntactic indicators extended with architectural constraints (connectivity, no dangling required interfaces) before the planner or an architect adopts it, and compare the drafts with engineers' designs. Test on a self-adaptive exemplar with scripted requirement changes.
Preconditions: a component graph of the running system; indicators that capture implied elements such as data and notification structures.
Risks: oversimplified, centralised drafts; missed implicit elements; evidence so far from compact exam traces only.</t>
  </si>
  <si>
    <t>GPT-5.1, in a two-step prompt chain with a JSON schema, structured reasoning and a one-shot C4 example, recovers C4 System Context and Container diagrams from the agile work items of two company projects. Three practitioners judged the diagrams accurate; the diagrams mirrored the documented intent, so planned but unimplemented elements and one undocumented implementation exposed drift; and over ten runs per project node counts were fairly stable while edge counts varied more, with variation growing across the chain.</t>
  </si>
  <si>
    <t>(a) Input: the project backlog, not the code or the running system; the output is blind to undocumented implementations (pp. 4-5).
(b) Reliability: edge counts vary across identical runs (coefficients of variation up to 38.3%), and variation compounds from the first to the second step (pp. 5-6).
(c) Acceptance: a trust boundary; outputs are curated before external use, and detecting drift needs the practitioner's tacit knowledge (pp. 4, 6-7).
(d) Timeliness and cost: baselines in minutes rather than hours by the practitioners' estimate; tokens and cost not reported; long backlogs exceed context windows (pp. 4, 8).
(e) Evidence: two young projects of one company, three practitioners, one model, counts only for stability (pp. 3-4, 7-8).</t>
  </si>
  <si>
    <t>MAPE-K (Inferred): regenerating the documented architecture from the evolving backlog and comparing it with the implementation is a Monitor-Analyse step over development artefacts, with the practitioner doing the comparison and no Plan or Execute.
Rainbow (Inferred): the diagrams are an explicit component-and-connector model whose divergence from the implementation is found, but by people rather than by constraint checks.
Models@run.time (Inferred): an architecture model regenerated on demand from a changing source approaches a model kept current with the system, but its source is the documented intent, not the running system.</t>
  </si>
  <si>
    <t>Models@run.time. Its core is an architecture model regenerated whenever its source changes, with trace links from every element to the evidence behind it, and its main finding is that such a model mirrors its source faithfully, including what was planned but never built. That is the causal-connection question a runtime model faces; MAPE-K fits only as a Monitor-Analyse step done by people, and Rainbow only through the explicit model.</t>
  </si>
  <si>
    <t>Regenerate the C4 container view both from the backlog and from runtime evidence (deployment descriptors, call traces) after each release or adaptation, keep the element-to-evidence links, and flag elements present in one view and absent in the other as drift for the planner or an architect. Test on a self-adaptive exemplar with scripted feature changes and injected undocumented components: detection of each divergence type, false alarms, and run-to-run stability of edges.
Preconditions: runtime evidence mapped to containers; a convention for edges, which the prompts do not fix.
Risks: unstable relationships across runs; variation compounding across chained steps; evidence so far from one company.</t>
  </si>
  <si>
    <t>GPT-4o builds a provenance-aware knowledge graph of requirement-architecture relations (Satisfy, Not Satisfy, Require) from research papers and, in a human-on-the-loop agentic loop with template-constrained queries, compiles an evidence-backed trade-off table for centralized against decentralized automotive ECU architectures. Non-experts took 12-15 minutes against an expert's 75 and found new comparison points, but agreed with the expert's impact labels mainly when constrained to the expert's points (best 5/7 and 3/7).</t>
  </si>
  <si>
    <t>(a) Input: title, abstract and introduction of research papers, not the system or its operation (p. 116).
(b) Reliability: automatic graph construction introduces errors left to human verification; unconstrained runs matched the expert on at most one of three shared labels (pp. 116-117).
(c) Acceptance: the human makes the final decision and corrects the graph (p. 116).
(d) Timeliness and cost: minutes per analysis with a human in the loop; tokens and cost not reported (p. 117).
(e) Evidence: one decision, unstated participants and runs, no statistics (pp. 116-117).</t>
  </si>
  <si>
    <t>MAPE-K (Inferred): an analysis that weighs architectural alternatives against requirements is Plan work over Knowledge, here a knowledge graph of literature evidence; there is no Monitor or Execute.
Rainbow (Inferred): Satisfy and Not Satisfy links between architecture and requirement nodes, turned into +/0/- impacts, resemble the utility dimensions by which Rainbow ranks strategies.
Three-layer (Inferred): choosing between architectural alternatives under competing requirements is deliberative planning at goal management.</t>
  </si>
  <si>
    <t>Rainbow. Its trade-off table scores each alternative per requirement from explicit, traceable evidence, which is what Rainbow's utility-based selection among strategies needs, and the Satisfy and Not Satisfy relations are that evidence in a machine-readable form. MAPE-K fits only as a Plan step over Knowledge, and the three-layer view only through the deliberative choice.</t>
  </si>
  <si>
    <t>Keep a provenance-aware graph of requirement-architecture relations for a self-adaptive system's candidate adaptation strategies, fed from design documentation and from observed effects of past adaptations, and have the model compile a +/0/- trade-off table for the strategies applicable in the current situation, which an architect or a utility function uses to choose. Test on a self-adaptive exemplar against its hand-set utility preferences: agreement of the tables with expert judgements, and time per decision.
Preconditions: relations extracted from the system's own documentation and runtime history; a mapping from table labels to utilities.
Risks: partial agreement unless the comparison points are fixed; errors in automatic graph construction; minutes per analysis.</t>
  </si>
  <si>
    <t>LLM agents, guided by a UML-based blueprint and by JSON inventories of atomic ROS nodes and launch-file dependencies built before synthesis, recover component-level and system-level architecture models of a ROS 2 robotic system in PlantUML. On one repository with ten node classes and one launch file, component models matched the authors' reference exactly (F1 1.0) and the composed system model reached precision 1.0 and recall 0.95.</t>
  </si>
  <si>
    <t>(a) Input: source code and launch files, read statically; the running system's behaviour is not used (pp. 104-105, 112).
(b) Reliability: remaining misses on composition implied only by launch files and naming; the harder constructs (namespaces, nested launch files) were absent from the case (pp. 110, 112).
(c) Acceptance: no user or architect takes part; the reference model was built by the authors (p. 110).
(d) Timeliness and cost: not reported; the model is not named (pp. 106-110).
(e) Evidence: one repository, one run as far as reported, no baseline in the paper (pp. 110-112).</t>
  </si>
  <si>
    <t>MAPE-K (Inferred): recovering the current structure of the managed system is the Monitor and Analyse step that builds Knowledge; here it is done once, from repository artefacts.
Rainbow (Inferred): the blueprint's admissible elements and relations work like architectural style constraints that a recovered model must satisfy.
Models@run.time (Inferred): the system-level model captures launch-time node instances and composition, the structure a runtime model of a ROS 2 system would hold, but it is not kept causally connected.</t>
  </si>
  <si>
    <t>Models@run.time. Its output is an architecture model of the runtime composition of a robotic system (node instances, their connections and subsystems), recovered with traceability to evidence and checked against a metamodel-like blueprint; that is the model a Models@run.time approach keeps, though here it is built statically and once. MAPE-K fits only as the step that fills Knowledge, and Rainbow only through the blueprint's constraints.</t>
  </si>
  <si>
    <t>Rebuild the composed model after each reconfiguration of a ROS 2 system, adding runtime evidence (the live computation graph) to the launch-file inventory the paper uses, check it against the blueprint, and flag differences from the previous model to the adaptation manager. Test on a ROS 2 exemplar that reconfigures nodes at runtime, with namespaces and nested launch files: precision and recall of the updated model against the live graph, and time per update.
Preconditions: access to the live computation graph; a named, fixed model and settings.
Risks: misses on implicitly encoded composition; evidence so far from one simple launch configuration; cost and time not yet known.</t>
  </si>
  <si>
    <t>A position paper from Volvo Construction Equipment sets out four use cases of AI in architecture work (ADR generation, deriving concerns from requirements, mapping concerns to modules, component design) and evaluates the third: meta-llama-3-3-70b-instruct, prompted with five functional requirements of an articulated hauler, proposed which of 40 product-line reference-architecture modules should realise each, with mean accuracy 0.8 against allocations from past feature development.</t>
  </si>
  <si>
    <t>(a) Input: textual requirements and the module set of the reference architecture, at design time; no running system (pp. 120-121, 124).
(b) Reliability: two of five requirements mapped with accuracy 0.5; hallucinated suggestions need manual validation (pp. 123, 125).
(c) Acceptance: the model is a co-pilot; over-reliance and deskilling are named concerns (pp. 119, 123, 125).
(d) Timeliness and cost: not reported (p. 124).
(e) Evidence: five requirements, one model, accuracy not defined for several modules per requirement, runs and baseline not reported (pp. 124-125).</t>
  </si>
  <si>
    <t>MAPE-K (Inferred): deciding which modules a new requirement involves is Plan work over Knowledge held as the reference architecture and its module descriptions; there is no Monitor or Execute.
Rainbow (Inferred): allocating a requirement to modules resembles identifying which components a change must touch before a strategy is chosen, without Rainbow's utility-based selection.
Models@run.time (Inferred): the reference architecture with textual module descriptions is the kind of model a running system could query, but here it is used only at design time.
Dynamic product lines (Inferred): the task maps functions of a product line to the modules of its reference architecture, the feature-to-component mapping a dynamic product line binds at runtime.</t>
  </si>
  <si>
    <t>Dynamic software product lines. Its evaluated task maps product functions to the modules of a product-line reference architecture, which is the feature-to-component mapping that a dynamic product line resolves when features are bound at runtime. MAPE-K fits only as a Plan step over Knowledge, and Rainbow and Models@run.time only through the use of an architecture model.</t>
  </si>
  <si>
    <t>When a new or changed function is requested of a product-line system, have the model propose which modules of the reference architecture must realise or change for it, with quotations and justifications, and check the proposal against the product line's variability constraints before the change is bound. Test on a product-line exemplar with known feature-to-module mappings: precision and recall of the proposed module sets over repeated runs, and time per proposal.
Preconditions: textual module descriptions and a known reference mapping; a defined accuracy measure for requirements that involve several modules.
Risks: half-correct mappings on two of five requirements; evidence from five requirements and one model; cost and time not yet known.</t>
  </si>
  <si>
    <t>Quasar, built at Fraunhofer IESE for a digital marketplace of smart-city solutions, has locally hosted Qwen2 and Llama 3.1 rate the architecture documentation of open-source projects against 25 criteria. On a well-documented project its three runs were largely consistent and deviated from two architects' ratings by 27% on average; on a sparsely documented one the runs were weakly consistent, three statements got no rating, and the 43% deviation showed no apparent correlation.</t>
  </si>
  <si>
    <t>(a) Input: repository and wiki files filtered by keywords; no running system (pp. 11-12).
(b) Reliability: weak run-to-run consistency and no apparent correlation with the architects on sparse documentation (p. 14).
(c) Acceptance: meant to support experts; the reference is two architects' subjective ratings (pp. 10, 15).
(d) Timeliness and cost: 68 and 14 minutes per project, close to the architects' time; LLM cost and instability led the production service to limit LLM use (pp. 6, 13-14).
(e) Evidence: two unnamed projects, two architects, three runs, a deviation measure not defined (pp. 10-15).</t>
  </si>
  <si>
    <t>MAPE-K (Inferred): rating a system's architecture description against criteria is Analyse over Knowledge; its result, that the analysis tracks experts only when the description is complete, is about the quality of that Knowledge.
Rainbow (Inferred): the 25 criteria act as constraints checked against the architecture description, and weighted quality models aggregate the results much as utility functions do; no repair strategy follows.
Models@run.time (Inferred): the architecture description plays the part of the model; a runtime model would be the input whose completeness such checks could assess.</t>
  </si>
  <si>
    <t>MAPE-K feedback loop. Its main finding, that an LLM's judgement of an architecture description matches experts only when the description is complete and well structured, concerns the Knowledge that an LLM-based Analyse step reads: the analysis is only as reliable as the architectural knowledge it is given. Rainbow fits only through the criteria as constraints, and Models@run.time only through the description as a model.</t>
  </si>
  <si>
    <t>Before an LLM-based Analyse step reasons over a self-adaptive system's architecture model, have a model score that model's completeness against a criteria list (components, connectors, deployment, quality requirements, decisions), and hand the analysis to a human or a fallback when the score is low. Test on an exemplar whose runtime model is deliberately degraded step by step: the relation between the completeness score and the accuracy of the model's adaptation analyses, over repeated runs.
Preconditions: criteria adapted from documentation to runtime models; repeated runs to measure consistency.
Risks: weak consistency on sparse input; subjective reference ratings; evidence from two projects only.</t>
  </si>
  <si>
    <t>GPT-4.1-mini classifies 4,316 architecture decision records from 547 open-source projects by Kruchten's decision types, Zimmermann's concern categories and quality attributes, and, as a judge, checks five MADR sections. Against a 200-ADR human ground truth it agreed in 46-66% of cases across taxonomies and prompts, better than an embedding-based classifier; over the corpus it found mostly existence, design and technology decisions and considered options absent or misplaced in most records.</t>
  </si>
  <si>
    <t>(a) Input: the text of each decision record alone; the project context and the running system are not used (pp. 8, 12).
(b) Reliability: agreement with human labels of 46-66%, with persistent confusions between decision types (pp. 8-9, 12).
(c) Acceptance: no practitioners involved; labels come from two authors (pp. 7, 15).
(d) Timeliness and cost: not reported; dynamic few-shot adds latency and tokens (p. 9).
(e) Evidence: one open-source corpus up to 2020; agreement given only as a range; judge review without figures (pp. 6, 8-10, 14-15).</t>
  </si>
  <si>
    <t>MAPE-K (Inferred): decision records are architectural Knowledge; classifying them and checking that rationale and alternatives are recorded is maintenance of the knowledge a Plan step would draw on.
Rainbow (Inferred): the quality-attribute labels resemble the utility dimensions by which strategies are compared, and checks for considered options resemble the requirement that alternatives be explicit before selection.
Models@run.time (Inferred): not applicable beyond the analogy that a record of decisions could accompany a runtime model; no model of a running system is kept.</t>
  </si>
  <si>
    <t>MAPE-K feedback loop. Its findings are about the Knowledge that architectural reasoning relies on: an LLM can index decision records by type and concern and detect missing rationale and alternatives, but its labels are only partly reliable without project context. That is directly the problem of keeping a MAPE-K knowledge base of adaptation decisions usable. Rainbow fits only through quality attributes as utility dimensions, and Models@run.time does not apply.</t>
  </si>
  <si>
    <t>Record each runtime adaptation decision of a self-adaptive system as a decision record (context, drivers, options considered, outcome, consequences), have an LLM classify the records by decision type and quality concern and check that drivers and alternatives are present, and feed the classified records back as Knowledge for later planning and human review. Test on an exemplar with a log of adaptation decisions: agreement of labels and checks with human judgements, with and without system context in the prompt, and whether retrieving past classified records improves later adaptation plans.
Preconditions: a record format produced by the adaptation manager; system context available to the prompt; a labelled sample for calibration.
Risks: agreement of 46-66% in the source setting; confusion between decision types without context; evidence from open-source design-time records only.</t>
  </si>
  <si>
    <t>An LLM judge (GPT-4 through RAGAs) scores ArchSec.AI, a RAG-based assistant that recommends security architectural patterns from a curated corpus, on five design problems built from randomly selected patterns. Faithfulness and answer relevance averaged 0.70, context precision 0.00 and context recall 0.17: the assistant often proposed plausible alternatives to the expected patterns while failing to retrieve the relevant documents.</t>
  </si>
  <si>
    <t>(a) Input: a design problem written into a prompt template and chunks retrieved from the pattern corpus; no running system (p. 2).
(b) Reliability: retrieval missed the relevant documents for four of five questions; answers drew on information outside the retrieved context (pp. 2-3).
(c) Acceptance: no architect involved; an LLM judge stands in for experts (pp. 3-4).
(d) Timeliness and cost: not reported (p. 2).
(e) Evidence: five questions, one tool, one judge, an unnamed generating model, no test of the stated hypotheses (pp. 2-4).</t>
  </si>
  <si>
    <t>MAPE-K (Inferred): recommending a pattern for a stated quality problem is Plan work over Knowledge held as a pattern repository; there is no Monitor or Execute.
Rainbow (Inferred): choosing a security pattern for a quality problem from a repository mirrors Rainbow's choice of a strategy from its repository, and the study shows that the choice fails when the right entries are not retrieved.
Models@run.time (Inferred): not applicable; no model of a running system is kept.</t>
  </si>
  <si>
    <t>Rainbow. As in FS41, selecting a pattern for a stated quality problem from a curated repository is the analogue of Rainbow's strategy selection; this evaluation adds that the grounding only helps if retrieval surfaces the right entries, which here it mostly did not. MAPE-K fits only through Plan, and Models@run.time not at all.</t>
  </si>
  <si>
    <t>When an LLM selects an adaptation strategy from a repository of tactics for a detected quality violation, score each selection's retrieval with an LLM judge (context precision and recall against the strategy that the rules would pick) and fall back to rule-based selection when retrieval quality is low. Test on a self-adaptive exemplar with known correct strategies per violation: agreement of selections with the reference, retrieval scores, and how often the fallback triggers.
Preconditions: a repository of strategies with descriptions; reference strategies for evaluation; repeated runs.
Risks: retrieval failing as in the source study; judge bias; evidence from five design-time questions only.</t>
  </si>
  <si>
    <t>CIAO flattens a repository into one text file and has GPT-5 write, section by section, system-level architecture documentation following a template drawn from ISO/IEC/IEEE 42010, Views &amp; Beyond and C4, with PlantUML diagrams. Twenty-two participants rated the documentation of their own repositories as mostly valuable and accurate, best in code-grounded sections and worst in diagrams and deployment views; a document took about three minutes and $1.19.</t>
  </si>
  <si>
    <t>(a) Input: the whole filtered repository, flattened into one file and appended to every section prompt (p. 204); no running system or runtime data.
(b) Reliability: diagram errors (32 occurrences) and deployment issues (14); interpretive sections rated less accurate than code-grounded ones; only 11 of 22 would use the documentation as a reliable reference (pp. 208-210).
(c) Acceptance: participants judged their own systems and asked for human input and cross-checks with existing documentation (p. 209).
(d) Timeliness and cost: 1 min 50 s to 4 min 26 s and $0.35 to $2.48 per repository, means about 3 min and $1.19 (p. 209); model settings and number of runs not reported.
(e) Evidence: perceptions of 22 mostly academic participants, no baseline or ground truth, one model (pp. 205-206, 210).</t>
  </si>
  <si>
    <t>MAPE-K (Inferred): recovering an architecture description from code feeds Knowledge, as Monitor would; nothing is analysed, planned or executed.
Rainbow (Inferred): Rainbow needs a component-and-connector model of the running system; CIAO's containers and components sections are a candidate source, but they are prose and diagrams for people.
Models@run.time (Inferred): deriving the description from the system's own code and configuration is the system-to-model direction of a runtime model, without a metamodel or causal connection; the code-level section's mapping of components to code is the traceability such a connection needs.</t>
  </si>
  <si>
    <t>Models@run.time. As for FS21, the study derives an architecture representation from the system's own artefacts, the system-to-model half of a runtime model, and its finding that code-grounded sections are accurate while interpretive and deployment views are not shows where such a representation would need checking. MAPE-K fits only through Knowledge, and Rainbow's model would need a machine-readable form that the documentation lacks.</t>
  </si>
  <si>
    <t>After each adaptation of a self-adaptive system, regenerate its system-level architecture documentation with a CIAO-like pipeline from the changed code and configuration, and compare the containers, components and deployment sections with the runtime architecture model before engineers read them, flagging elements that the runtime model does not contain. Test on a self-adaptive exemplar such as SA-BSN, one of the 22 repositories CIAO was evaluated on: agreement of the regenerated sections with the runtime model after injected adaptations, regeneration time and cost against the adaptation interval, and engineers' ratings of accuracy.
Preconditions: a runtime architecture model to compare against; deployment and configuration artefacts that change with adaptations.
Risks: diagram and deployment errors, the weakest output in FS53; about three minutes per document, too slow for a fast loop; evidence from perceptions only.</t>
  </si>
  <si>
    <t>ChatGPT 4 Turbo, given only the project tree of a small iOS app built on the VIPER architecture, answers open-ended questions at six Bloom levels about its modules, data flows, deviations from VIPER, strengths and new feature modules. Graded by the authors, it did best on analysing, evaluating and creating (94-100%) and worst on recalling file roles (83%), which the authors attribute to having no code.</t>
  </si>
  <si>
    <t>(a) Input: the project tree and a statement that the app uses VIPER; no code or runtime data (p. 8).
(b) Reliability: one incorrect and several partially correct answers at the lower levels; data flows between components described poorly (pp. 8-9).
(c) Acceptance: no developer judged the answers; grading by the authors, without a second rater (p. 9).
(d) Timeliness and cost: not reported.
(e) Evidence: one small project, one model, 42 questions (43 in the text), one answer each as far as reported (pp. 8-9).</t>
  </si>
  <si>
    <t>MAPE-K (Inferred): detecting deviations from the intended architecture is Analyse over a structural model; nothing is monitored, planned or executed.
Rainbow (Inferred): checking a system against the rules of its architectural style is what Rainbow's constraint evaluation does on its runtime model; here the style is VIPER and the model is a file tree.
Models@run.time (Inferred): the file tree is a crude structural model of the system, read once; there is no causal connection.</t>
  </si>
  <si>
    <t>Rainbow. The study's strongest result, finding deviations from VIPER, is a style-conformance check, the job of Rainbow's architectural-style constraints over its model of the system; the weak recall of data flows shows the model would need the connectors, not just the components. MAPE-K fits only through Analyse, and the file tree is too thin a model for Models@run.time.</t>
  </si>
  <si>
    <t>In a style-based self-adaptive system, let an LLM check each proposed adaptation against the rules of the system's architectural style, given the runtime component-and-connector model rather than a file tree, and reject or flag adaptations it judges non-conforming before execution. Test on an exemplar with a documented style and injected violating and conforming adaptations: precision and recall of the flags against a rule-based checker, and the share of correct explanations as judged by two raters.
Preconditions: an explicit style with rules; a runtime model with connectors.
Risks: weak recall of data flows in FS54; answers graded by one rater; evidence from one small project and one model.</t>
  </si>
  <si>
    <t>MicroPAD sends a repository's infrastructure-as-code files, in chunks, with natural-language descriptions of 24 microservice patterns to GPT-4o mini, which reports the pattern instances present with evidence and a certainty level. Over 22 GitHub repositories and three runs, one researcher judged 83% of detections present (our count of Table I's high-certainty detections: 88 of 103), for about US$2 in total; detections varied between runs.</t>
  </si>
  <si>
    <t>(a) Input: IaC files (Dockerfiles, compose, Kubernetes, Terraform, shell and configuration files) filtered by extension or name; no running system (p. 163).
(b) Reliability: detections differ across three runs on the same input; 15 of 103 high-certainty detections wrong; recall not measured; much of the catalogue never detected (pp. 164-165).
(c) Acceptance: no practitioner involved yet; RQ3 plans an experiment (p. 163).
(d) Timeliness and cost: about US$2 for 66 runs; time not measured (pp. 163, 165).
(e) Evidence: one verifier, precision only, top-starred repositories, one model (pp. 163-164).</t>
  </si>
  <si>
    <t>MAPE-K (Inferred): reading deployment descriptors to find which patterns a system implements fills Knowledge, as Monitor would from configuration; nothing is analysed, planned or executed.
Rainbow (Inferred): Rainbow's model must say which styles and patterns a system uses, because the adaptation tactics available depend on them (scaling out needs instances per container behind a registry); detected pattern instances could populate that part of the model.
Models@run.time (Inferred): IaC is the artefact closest to the deployed configuration, so detection from it updates a model of the deployment, but offline and once.</t>
  </si>
  <si>
    <t>Rainbow. Which adaptation tactics a microservice system supports depends on the patterns it implements (service registry, instance per container, circuit breaker), which is the style knowledge Rainbow's strategies rely on; FS55 shows such patterns can be detected from deployment descriptors, but inconsistently and with recall unknown. MAPE-K fits only through Knowledge, and Models@run.time only as an offline, one-time update.</t>
  </si>
  <si>
    <t>Before enabling the adaptation tactics of a self-adaptive microservice system, detect from its infrastructure-as-code which deployment, discovery and resilience patterns it implements, and enable only the tactics the detected patterns support, for example scaling out only services deployed one instance per container behind a registry; re-run detection when the IaC changes and require agreement across several runs before a tactic is enabled. Test on a microservice exemplar with documented patterns: precision and recall of detections over repeated runs, and the share of enabled tactics that execute successfully.
Preconditions: IaC that reflects the deployment; a mapping from patterns to tactics.
Risks: run-to-run variation and 15 wrong high-certainty detections in FS55; recall unknown; one verifier.</t>
  </si>
  <si>
    <t>Six LLMs, two remote and four local, answer questions about the ensemble-based architectures of three DEECo applications in three DSLs, given the code through a file tool or inlined. With hints they understood components, ensembles, roles and membership conditions, also with anonymised names, but predictions of which ensembles form in a given state were mostly right only for the simplest application; tool access was often ignored and inlining hit context limits.</t>
  </si>
  <si>
    <t>(a) Input: application source code through a file-reading tool or inlined; the tool was often ignored or used partially, and inlining exceeded the 128,000-token context for large files (pp. 646-647).
(b) Reliability: ensemble-formation predictions correct mostly for the simplest application; inconsistent across models and applications (pp. 647-650).
(c) Acceptance: answers judged by the authors only; no developers involved (pp. 645-653).
(d) Timeliness and cost: not reported.
(e) Evidence: three applications from the authors' own work, results without counts, answers set aside when the tool was ignored or the context was exceeded (pp. 645-650).</t>
  </si>
  <si>
    <t>MAPE-K (Inferred): predicting which ensembles form in a state is Analyse over the architecture specification; the study adds that the specification must fit the model's context, a constraint on Knowledge.
Rainbow (Inferred): membership conditions resemble Rainbow's style constraints over an architecture model; the models read them well but could not apply them reliably to complex states.
Models@run.time (Inferred): the DSL specification is the model from which the runtime forms ensembles; the study tests whether a model can read it, with or without its code, but there is no connection to a running system.</t>
  </si>
  <si>
    <t>Models@run.time. As for FS28, the DSL specification acts as the runtime model from which DEECo forms ensembles; FS56 adds that whether a language model can reason over it depends on how it is given (tool access was ignored, inlining hit the context window) and on its notation, which a loop using such a model at runtime would have to settle first. MAPE-K fits only through Analyse, Rainbow through its constraints.</t>
  </si>
  <si>
    <t>Before using a language model inside the adaptation manager of an ensemble-based collective adaptive system, qualify each candidate model and context strategy offline: inline the ensemble specification (not tool access), ask the model to predict ensemble formation for a set of boundary states, compare with the runtime's own resolution, and admit only model-strategy pairs that reach a set agreement; repeat the qualification whenever the specification changes. Test on an ML-DEECo exemplar: agreement per model and strategy, and how agreement falls as the number of ensemble types grows.
Preconditions: a runtime that can resolve ensembles for a given state; a specification that fits the context window.
Risks: predictions correct mostly for the simplest application in FS56; answers set aside without counts; reliance on comments and identifiers.</t>
  </si>
  <si>
    <t>ChatGPT-4, prompted with role personas, recreates a digital diabetes-programme messaging system its team had already built; in one step it turns its own requirements and the stated constraints (AWS, microservices, REDCap, Twilio) into an architectural diagram of event-triggered functions and data stores. Eleven evaluators rated outputs against the team's own, but the architecture was rated together with code, mostly N/A, and is reported only as positive overall.</t>
  </si>
  <si>
    <t>(a) Input: requirements generated by the model in an earlier phase, plus named platform and integration constraints; prompters who knew the original design steered the outputs (pp. 7-9, 12).
(b) Reliability: design choices without evidence for their rationale, omissions until prompted, external-service boxes left unlabelled in the generated diagram (pp. 9, 11).
(c) Acceptance: experts validated every phase before the next; only 2 of 11 evaluators could judge the architecture (pp. 10-11).
(d) Timeliness and cost: five days against over 200 human hours for the whole recreation; architecture time and cost not separated (p. 11).
(e) Evidence: one case, side-by-side diagrams without comparison, pooled and narrative ratings, no blinding (pp. 9-12).</t>
  </si>
  <si>
    <t>MAPE-K (Inferred): generating a target architecture from requirements and constraints, with a human approving before the next phase, resembles Plan with an approval gate; there is no Monitor, Analyse or Execute.
Rainbow (Inferred): the named platform and integrations act like style constraints the generated architecture should satisfy; the study does not check them, and the diagram leaves the external services unlabelled.
Models@run.time (Inferred): the team's diagram documents a running event-driven system of functions triggered by storage and scheduler events; the generated diagram is a design-time model with no link to it.</t>
  </si>
  <si>
    <t>MAPE-K feedback loop. The only architectural step is a plan produced from requirements and constraints and approved by humans before use, which maps onto MAPE-K's Plan with an approval gate; FS57 has no runtime connection, so Models@run.time and Rainbow fit only by analogy.</t>
  </si>
  <si>
    <t>When the requirements of an event-driven serverless system change, have a language model propose architecture changes (new functions, triggers, stores or integrations) constrained by the platform and a list of mandatory integrations, check each proposal automatically against the deployed infrastructure description and the integration list, and pass only consistent proposals to an architect for approval. Test across a series of requirement changes on a messaging system like PAMS: share of proposals violating a constraint before and after the check, and agreement with the changes the team actually made.
Preconditions: a machine-readable description of the deployed infrastructure; an explicit list of mandatory integrations.
Risks: FS57's diagram was coarser than the team's and left named integrations unlabelled; one case, with ratings that do not separate the architecture.</t>
  </si>
  <si>
    <t>Seven novice students used ChatGPT (GPT-3.5 and GPT-4) as a development bot on three real projects for three months; in exit surveys most agreed it gave clearer, scalable architectures, aligned architectural decisions with constraints and helped represent architectures, but they were divided on design oversimplification and the neglect of architectural expertise. No conversations or architectures are reported.</t>
  </si>
  <si>
    <t>(a) Input: whatever the students gave ChatGPT; prompts and context are not reported (pp. 3, 5).
(b) Reliability: doubts about output quality and integration; possible unhelpful designs from partial understanding of context (pp. 4-5, 7).
(c) Acceptance: perceptions of seven novices; no architect or client judged the architectures (pp. 2-5).
(d) Timeliness and cost: not reported.
(e) Evidence: self-reported agreement counts from a figure too small to check, inconsistent question counts, no artefacts (pp. 2-6).</t>
  </si>
  <si>
    <t>MAPE-K (Inferred): students used the model as an adviser while they decided; at most it informs a human Plan, and nothing is monitored or executed.
Rainbow (Inferred): agreement that decisions were aligned with project constraints echoes constraint checking, but the constraints are informal and the alignment is self-reported.
Models@run.time (Inferred): no model of a running system is involved.
Three-layer (Inferred): designing new systems with a bot's advice is goal-level deliberation done by people.</t>
  </si>
  <si>
    <t>Three-layer architecture for self-managed systems. As for FS26, human-led design of new systems with a model's advice is goal-level deliberation, with people deciding; the study gives no runtime connection, so MAPE-K fits only as advice to a human Plan, and Rainbow and Models@run.time do not apply.</t>
  </si>
  <si>
    <t>When a self-adaptive system escalates a structural change to its developers, provide a model-based assistant that checks the proposed change against the system's stated architectural constraints and explains any conflicts, and record whether developers accept, adapt or reject each suggestion. Test with novice and experienced developers on an exemplar: share of constraint conflicts caught, acceptance of unhelpful suggestions, and time to decision, with and without the assistant.
Preconditions: explicit architectural constraints; an escalation path to people.
Risks: FS58's evidence is self-reported by seven novices with no artefacts; students were divided on oversimplification and the neglect of architectural expertise.</t>
  </si>
  <si>
    <t>TTool-AI has GPT-3.5 Turbo generate SysML block diagrams and state machines from natural-language specifications, with injected knowledge of the expected format and SysML constraints and an automated feedback loop that returns errors to the model. On three systems its block diagrams were graded 81/100 on average against 70 for about 15 master's students, but the authors find it least effective on intricate systems.</t>
  </si>
  <si>
    <t>(a) Input: a natural-language specification plus injected knowledge pairs; long knowledge was poorly assimilated, so the chat is reset and only the relevant knowledge reinjected (pp. 29-30, 34).
(b) Reliability: random and sometimes irrelevant answers; after ten iterations a state machine still had a useless guard and a signal with the wrong number of attributes, and a generated block holds the attribute 'true = false' (pp. 29, 33).
(c) Acceptance: the feedback loop checks format and SysML constraints only; whether the design meets the specification is left to grading and to the engineer refining the draft (pp. 30, 35-36).
(d) Timeliness and cost: 40 s per block diagram and 178 s per set of state machines on average; cost not reported (p. 37).
(e) Evidence: three systems, about 15 students, graders not named, runs and settings not stated, student times apparently the allotment (pp. 35-37).</t>
  </si>
  <si>
    <t>MAPE-K (Inferred): the feedback loop that checks each answer against format and SysML constraints and asks again until it passes is an inner plan-and-check cycle at design time; nothing is monitored.
Rainbow (Inferred): SysML constraints checked on every generated model resemble Rainbow's architectural constraints, used here to repair generated designs rather than running systems.
Models@run.time (Inferred): the generated SysML model can be simulated and verified in TTool, but it describes a system to be built, with no link to a running one.</t>
  </si>
  <si>
    <t>Rainbow. As for FS42, generated structures are admitted only after checks against explicit SysML constraints over a formal model, with failed checks returned to the model for repair, which is how Rainbow checks structures against its constraints. MAPE-K fits only through a design-time Plan, and Models@run.time only through the simulable model.</t>
  </si>
  <si>
    <t>When a self-adaptive system needs a new or changed component, have a language model propose the SysML block and its state machine from a description of the change, check each proposal against the architecture's syntax and constraints in an automated feedback loop like TTool-AI's, simulate it, and pass only proposals that verify to an engineer. Test on exemplars of increasing size: share of proposals that pass the checks within a set number of iterations, grades against engineers' own designs, and time per proposal.
Preconditions: a formal architecture model with checkable constraints and a simulator; specifications that fit the model's context.
Risks: FS59 is least effective on intricate systems; a state machine kept a useless guard after ten iterations and a generated block held a meaningless attribute; graders, runs and settings are not stated.</t>
  </si>
  <si>
    <t>An extension of TTool-AI generates SysML use case and block diagrams under formal internal consistency rules, has GPT-4 detect inconsistencies within and between the two diagrams, and regenerates them to correct those found. On three systems, 69 relevant inconsistencies were detected in 24 diagram checks, with 6 erroneous detections, and 87% were corrected.</t>
  </si>
  <si>
    <t>(a) Input: diagrams in a condensed TTool export that omits the block type, plus the specification; rules placed in the request narrowed the model's attention to them (pp. 5-7, 9-10).
(b) Reliability: stochastic generation over several queries introduces inconsistencies; 6 of 75 detections were erroneous; generated state machines often fail the syntax checker (pp. 1, 9-10).
(c) Acceptance: engineers review the diagrams and set aside erroneous detections; correction is not fully automatic, and the effect of erroneous detections is not quantified (pp. 5-6, 9-10).
(d) Timeliness and cost: not reported.
(e) Evidence: three systems with relatively simple diagrams, one pair of diagram types, inconsistencies classified by the authors (pp. 7-10).</t>
  </si>
  <si>
    <t>MAPE-K (Inferred): detecting inconsistencies (Analyse) and regenerating the diagrams (Plan, with the result applied to the model) form a loop over design models with the engineer as a gate; nothing is monitored at runtime.
Rainbow (Inferred): cross-diagram rules checked over formal SysML models, with violations triggering a repair, follow Rainbow's constraint-violation and repair cycle, at design time.
Models@run.time (Inferred): consistency between an analysis view and a design view is kept on design models; a runtime model would need the same cross-view checks, but none is connected.</t>
  </si>
  <si>
    <t>Rainbow. As for FS20, an inconsistency found against explicit rules over formal models triggers a generated repair of the model, Rainbow's cycle at design time. MAPE-K fits only through Analyse and Plan, and Models@run.time only through the formal models.</t>
  </si>
  <si>
    <t>When an adaptation changes the structural view of a self-adaptive system's architecture model, have a language model check the changed view against the system's use case or goal view with explicit cross-view rules, let an engineer set aside erroneous detections, and regenerate only the inconsistent part. Test on an exemplar over a series of adaptations: inconsistencies detected and corrected, erroneous detections, and how these change as the model grows.
Preconditions: formal views with explicit cross-view rules; a model export that keeps element types.
Risks: FS60's diagrams were relatively simple, 6 of 75 detections were erroneous, correction was partly manual, and only one pair of diagram types was evaluated.</t>
  </si>
  <si>
    <t>GPT-4-turbo generated a three-tier UML deployment diagram for a textbook car rental system from a prompt that already named its nodes, components, artefacts and communications, alongside class, use case and sequence diagrams. The authors' rule check found all 18 required elements and 21 of 26 constraints; 121 students rated it below the textbook's diagram on completeness and correctness, though by less than the class and use case diagrams.</t>
  </si>
  <si>
    <t>(a) Input: a prompt naming every node, component, artefact and communication path; listed follow-up instructions are not visible in the result (pp. 24-25).
(b) Reliability: UML stereotypes and «manifest» missing; relationships and communication paths scored lower than nodes and artefacts; no self-correction (pp. 15, 18, 25-26).
(c) Acceptance: prompts are admitted at thresholds of 0.5 for completeness and constraint satisfaction; students rated the generated diagram below the textbook's (pp. 5-12).
(d) Timeliness and cost: not reported.
(e) Evidence: one system and one deployment diagram, student ratings pooled per element, and rule-based and student completeness pointing in opposite directions (pp. 10-12, 26).</t>
  </si>
  <si>
    <t>MAPE-K (Inferred): rendering a deployment already prescribed in the prompt is at most a Plan step drawn as a diagram; there is no Monitor or Execute.
Rainbow (Inferred): the rule-based constraint-satisfaction check over the generated view resembles style constraints checked over an architecture model, though applied afterwards and by the authors.
Models@run.time (Inferred): a deployment view of nodes, replicas, artefacts and communication paths is the structure a runtime model of a deployed system holds; here it is generated from text, with no link to a running system.</t>
  </si>
  <si>
    <t>Models@run.time. The only architectural output is a deployment view, the view closest to a runtime model of a deployed system, with replicated servers and communication paths; FS61 produces it from text without any causal link. Rainbow fits only through the after-the-fact constraint check, and MAPE-K only as a Plan rendered from a prescribed design.</t>
  </si>
  <si>
    <t>When a deployed system is reconfigured (a server replicated or removed), have a language model update the UML deployment view from the change and the current view, check the result with rule-based completeness and constraint-satisfaction checks like FS61's against the deployment descriptor, and pass only views above set thresholds to an architect. Test across a series of reconfigurations of a three-tier exemplar: completeness and constraint satisfaction against the descriptor, and agreement of the updated view with the deployed system.
Preconditions: a machine-readable deployment descriptor; explicit UML constraints for the view.
Risks: FS61's prompt named every element beforehand, so its 18 of 18 says little about finding structure; stereotypes and «manifest» were missing; students rated the generated view below the textbook's.</t>
  </si>
  <si>
    <t>TTool-AI, the journal version of FS59, has an LLM generate SysML requirements, use case diagrams, block diagrams and state machines from specifications, and update block diagrams from textual change requests through generated mutation scripts, using knowledge injection, sliced queries and a checking feedback loop. With GPT-4o its block diagrams for a connected device matched those of master's students (9.3 against 9.2 out of 10); model mutation is shown on an example but not evaluated.</t>
  </si>
  <si>
    <t>(a) Input: a textual specification or change request plus injected knowledge of TTool's profiles, answer formats and the mutation language; without that knowledge the model invented syntax (pp. 5-7, 12).
(b) Reliability: mismatched signal and attribute names, an omitted actor, reversed include relationships and a state-machine syntax error (pp. 9-11, 16).
(c) Acceptance: the feedback loop accepts answers that pass structural and constraint checks or compile; judging quality is left to the user (pp. 7, 13-14, 16).
(d) Timeliness and cost: about a minute per block diagram and about three minutes for up to eight state machines; cost not reported (pp. 15-16).
(e) Evidence: two new specifications, block diagrams for only one, five diagrams per type, graders and runs not stated, estimated student times, and mutation not evaluated (pp. 14-17).</t>
  </si>
  <si>
    <t>MAPE-K (Inferred): a change request turned into a checked mutation script and applied to the model resembles Plan and Execute on an architecture model, with the user's request standing in for Monitor and Analyse.
Rainbow (Inferred): mutation scripts compiled and checked against the model before they are applied resemble Rainbow's repair operators over an architecture model with constraints, though triggered by a request rather than a detected violation.
Models@run.time (Inferred): the mutation language changes the SysML model programmatically, as an adaptation layer changes a runtime model; here the model describes a system under design, with no causal link.</t>
  </si>
  <si>
    <t>Rainbow. As for FS59, generated changes are admitted only after checks against the model's syntax and constraints, and the mutation scripts act like Rainbow's repair operators on an explicit architecture model; the trigger is a user's request, not a detected violation. MAPE-K fits through Plan and Execute on the model, and Models@run.time only by analogy.</t>
  </si>
  <si>
    <t>When a self-adaptive system's architecture has to change, state the change in natural language, have a language model translate it into a mutation script over the formal architecture model, compile and check the script and the mutated model against the architecture's constraints and by model checking, and apply it only when both pass and an engineer approves. Test on an exemplar with a set of change requests: share of requests turned into correct mutations within a set number of iterations, constraint violations caught, and time per change.
Preconditions: a mutation language over a formal architecture model; checkable constraints and properties.
Risks: FS62 shows mutation on one example without evaluation; signal and attribute names often mismatch; state machines remain weaker than structure.</t>
  </si>
  <si>
    <t>ChatGPT answers 33 questions about the service and interaction views of the TrainTicket microservice system from source code, from a persistence-aware component call graph reconstructed by static analysis, or from both. From code alone the mean F1 was 0.794 with high variance; the reconstructed graph fitted the context window where the code did not, but no knowledge base was better at 0.05.</t>
  </si>
  <si>
    <t>(a) Input: the controllers' and services' code and a reconstructed call graph in natural language; for 18 of 33 questions the code did not fit the 16k-token window (pp. 14, 17).
(b) Reliability: hallucinated methods, endpoints and connections, brittle prompts and omitted parts of questions (pp. 17-18, 20).
(c) Acceptance: answers were judged against answers taken from the code; no check is applied in use (p. 15).
(d) Timeliness and cost: not reported.
(e) Evidence: one benchmark, 33 questions written by the authors, one model, and no difference between knowledge bases significant at 0.05 (pp. 9-17).</t>
  </si>
  <si>
    <t>MAPE-K (Inferred): answering questions about service dependencies from a reconstructed model is Analyse over Knowledge; nothing is monitored at runtime or executed.
Rainbow (Inferred): a reconstructed model of services, calls and data operations is the kind of architecture model Rainbow keeps through its gauges; here it is built statically from code, not from the running system.
Models@run.time (Inferred): the call graph is a model derived from the system's own artefacts, the system-to-model half of a runtime model, but without a causal link.</t>
  </si>
  <si>
    <t>Models@run.time. As for FS15, its contribution rests on an architecture model derived from the system's own artefacts, here a persistence-aware call graph, used as the knowledge a model reasons over. Rainbow needs such a model but adds logic the study lacks, and MAPE-K fits only through Analyse and Knowledge.</t>
  </si>
  <si>
    <t>In a self-adaptive microservice system, keep the persistence-aware call graph up to date from the deployed code and runtime traces, and let a language model answer the adaptation manager's questions about dependencies and the impact of a service outage from that graph rather than from code, checking each answer against the graph before use. Test on TrainTicket with injected outages: F1 of dependency and impact answers against the graph, answers with hallucinated connections, and tokens per answer.
Preconditions: automatic reconstruction of the service graph; a way to check answers against it.
Risks: FS63's answers varied widely and included hallucinated connections; one benchmark and one model; no significant gain from the reconstructed graph at 0.05.</t>
  </si>
  <si>
    <t>ChatGPT (GPT-3.5) generated the documentation of a waterfall student project, including the System Design Document's subsystem division and software/hardware mapping, which three authors compared with the project's own. The subsystem division was first semantically wrong and needed many prompts and corrections, while the software/hardware mapping was right with little effort.</t>
  </si>
  <si>
    <t>(a) Input: the problem statement and earlier artefacts in one chat with a role prompt; prompt structures were pre-tested by a working group (p. 3).
(b) Reliability: a semantically incorrect first subsystem division, switched actors and wrong class-diagram relationships (p. 4).
(c) Acceptance: three authors iterated until each artefact was comparable to the oracle project's (pp. 3-4).
(d) Timeliness and cost: not reported beyond prompt counts.
(e) Evidence: one supervised student project, effort ratings only, and no artefacts shown (pp. 2-5).</t>
  </si>
  <si>
    <t>MAPE-K (Inferred): producing a subsystem decomposition and a software/hardware mapping from a problem statement is a design-time Plan, refined through human feedback; there is no Monitor or Execute.
Rainbow (Inferred): the software/hardware mapping is a deployment view against which placement constraints could be checked; nothing is checked here.
Models@run.time (Inferred): a generated deployment mapping could seed a runtime model of where components run, but no running system is involved.</t>
  </si>
  <si>
    <t>MAPE-K feedback loop. As for FS57, the architectural steps are plans (a decomposition and a mapping) produced from requirements and refined through human feedback until accepted, which maps onto MAPE-K's Plan with a human gate; Rainbow and Models@run.time fit only by analogy.</t>
  </si>
  <si>
    <t>When a self-adaptive system's deployment must change (a node fails or load shifts), have a language model propose an updated software/hardware mapping from the current mapping, the design goals and the change, check it against placement and boundary-condition constraints, and pass only consistent proposals to an operator. Test on an exemplar with injected node failures: share of proposals violating constraints, agreement with operators' remappings, and prompts needed.
Preconditions: a machine-readable mapping and constraints; explicit design goals.
Risks: FS64's evidence is one student project with effort ratings only; its first subsystem division was semantically wrong.</t>
  </si>
  <si>
    <t>A vision paper on GenAI for serverless systems reports that GPT-4, prompted in four formats, selected appropriate architectures for three serverless applications and generated their code and deployment, though prompt format and granularity changed correctness and service keys were hard-coded. It proposes GenAI support for every development phase, including pattern selection, with research questions; no outputs or data are shown.</t>
  </si>
  <si>
    <t>(a) Input: requirements as plain text, structured text, JSON configuration or code templates; plain text struggled with complex scenarios (p. 81).
(b) Reliability: hard-coded service keys; possible hallucinated or deprecated services and unneeded requirements (pp. 81-82).
(c) Acceptance: not described; correctness judged by the authors without stated criteria (p. 81).
(d) Timeliness and cost: not reported.
(e) Evidence: three scenarios, observations only, no data (p. 81).</t>
  </si>
  <si>
    <t>MAPE-K (Inferred): selecting a serverless pattern from requirements is a design-time Plan; the proposed demand prediction for pre-warming would be Analyse and Plan at runtime, but it concerns resources, not the architecture.
Rainbow (Inferred): choosing among known patterns by their strengths and weaknesses resembles Rainbow's choice among predefined strategies, though no utility is defined.
Models@run.time (Inferred): the functions, events and bindings the model would define form a model of the deployed serverless system; no runtime link is proposed.</t>
  </si>
  <si>
    <t>Rainbow. Selecting among a known catalogue of patterns by their fit to the requirements is closest to Rainbow's choice among predefined strategies; MAPE-K fits only through a design-time Plan, and Models@run.time only by analogy.</t>
  </si>
  <si>
    <t>When a serverless application's workload or quality requirements change, have a language model propose a switch among predefined serverless patterns (for instance to fan-out and fan-in), generate the changed function and trigger configuration, and deploy it to a staging environment where performance and security checks, including for hard-coded secrets, must pass before an operator approves. Test on an exemplar with shifting workloads: share of proposals that pass, latency and cost against the current pattern, and failures caught by the checks.
Preconditions: a catalogue of serverless patterns with known trade-offs; automated staging checks.
Risks: FS65 shows no outputs or data; plain-text prompts failed on complex scenarios; generated code hard-coded service keys.</t>
  </si>
  <si>
    <t>The journal version of FS60 has an LLM detect inconsistencies within and between SysML use case and block diagrams, regenerates the diagrams through TTool-AI to correct them, and adds a method without an LLM that checks a design model's logical dependencies against a reference use case diagram through dependency graphs. On FS60's three systems, 69 relevant inconsistencies were detected with 6 erroneous detections and 85.5% corrected; on one system the graph method found the dependency inconsistencies the authors expected, including ones the LLM missed.</t>
  </si>
  <si>
    <t>(a) Input: a concise list-based export of the diagrams plus the specification; block types and tags are not exported, and rules placed in the request narrowed the model's attention to them (pp. 22, 25, 32).
(b) Reliability: false positives and false negatives; the model misread logical dependencies along two-edge paths; not all inconsistencies were corrected in one round (pp. 28, 31-33).
(c) Acceptance: the engineer reviews generated diagrams, chooses which inconsistencies to correct and sets aside erroneous ones; the graph method depends on the engineer's tags (pp. 20, 22-23, 28, 34).
(d) Timeliness and cost: not measured; energy use, cost and context size are named as limits, with large models to be split (pp. 33-35).
(e) Evidence: FS60's three systems reused, counts classified by the authors, no false negatives measured; the graph method tested on three author-designed variants of one system (pp. 32-35).</t>
  </si>
  <si>
    <t>MAPE-K (Inferred): detection (Analyse) and regeneration (Plan, with the result applied to the model) form a loop over design models with the engineer as a gate, and the graph comparison is a second Analyse; nothing is monitored at runtime.
Rainbow (Inferred): formal cross-view rules and dependency checks over an explicit model, with violations triggering a generated repair, follow Rainbow's constraint-violation and repair cycle, at design time.
Models@run.time (Inferred): the dependency graph derived from the design model, with a proven correspondence, is the kind of analysable model a runtime model offers; here it is derived from a design model, and the planned continuous checks stay within design.</t>
  </si>
  <si>
    <t>Rainbow. As for FS60, inconsistencies found against explicit rules over formal models trigger a generated repair of the model, Rainbow's cycle at design time; FS66 strengthens the constraint side with a rule-based check of logical dependencies that needs no LLM. MAPE-K fits only through Analyse and Plan, and Models@run.time only through the formal models.</t>
  </si>
  <si>
    <t>When an adaptation changes the design model of a self-adaptive system's architecture, check the changed model against its use case or goal view in two ways: a language model, run once with and once without explicit cross-view rules, for naming and semantic mismatches, and a dependency-graph comparison for logical dependencies along paths; let an engineer set aside erroneous detections and regenerate only the inconsistent part. Test on an exemplar over a series of adaptations with seeded inconsistencies: detections by each method, false positives and false negatives, and corrections per round.
Preconditions: formal views with explicit cross-view rules; tags linking design elements to use cases or goals; an export that keeps element types and tags.
Risks: FS66's LLM evaluation reuses FS60's three relatively simple systems; the model misread dependencies along two-edge paths; the graph method was tested only on three author-designed variants of one system and depends on the engineer's tags.</t>
  </si>
  <si>
    <t>ChatGPT is given the zipped source code, or code snippets, of open-source systems and asked to list the architectural patterns and tactics they implement, and its answers are compared with the rule-based tool Archie. For Apache Flink, the only system reported, it named different patterns from Archie and found 6 tactics against Archie's 18, including three tactics Archie missed, such as a circuit breaker, but with many false positives.</t>
  </si>
  <si>
    <t>(a) Liveness: a one-off reading of code snapshots (pp. 4364-4365); nothing follows the system as it changes or runs.
(b) Evidence: only raw code, as an archive or snippets the model asks for, with no catalogue of patterns and tactics or architectural knowledge (pp. 4364-4365).
(c) Acceptance: true and false positives were judged by the authors without a stated reference set for each system, and 16 of 22 reported tactics were judged wrong for Flink (pp. 4367-4368).
(d) Reproducibility: the ChatGPT version, settings and runs are not given, and results for four of the five systems are not reported (pp. 4364-4368).
(e) Timeliness and cost: not reported.</t>
  </si>
  <si>
    <t>MAPE-K (Inferred): recovering which patterns and tactics a system implements builds the Knowledge an Analyse step would reason over, but it is done once from code, with no Monitor, Plan or Execute.
Rainbow (Inferred): recovered tactics such as heartbeat, retry or circuit breaker are the adaptation-relevant elements a Rainbow architecture model would represent, but no model is built and no constraint is evaluated.
Models@run.time (Inferred): the recovered patterns and tactics could seed a runtime model, but the study produces a table, not a model kept in step with the system.</t>
  </si>
  <si>
    <t>Models@run.time. Its output, a list of the patterns and tactics present in the code, is the material a runtime architecture model of a self-adaptive system needs at start-up, especially its fault-tolerance tactics; MAPE-K and Rainbow would both need that model before they could analyse or adapt.</t>
  </si>
  <si>
    <t>Before deploying a self-adaptive system, an LLM lists the fault-tolerance and adaptation tactics (heartbeat, retry, circuit breaker, redundancy) present in its code, and the list is checked by a rule-based tactic detector and by the developers before it seeds the system's runtime architecture model. Test on a self-adaptive exemplar with known tactics: precision and recall of the LLM, the rule-based tool and their union against the known set, and the share of false tactics that would enter the model unchecked.
Preconditions: a reference set of tactics for the exemplar; a named model version and fixed prompts; snippets or retrieval rather than a whole archive.
Risks: in the original, most reported tactics were judged wrong and traditional tactics were missed; only one system's results were reported; the reference set was the authors' judgement, with domain experts said to have been consulted on the patterns and tactics considered.</t>
  </si>
  <si>
    <t>Issues are classified, from their title and description at creation, as likely or not to introduce or expand an architectural smell (dependency cycle or hub-like component): LLM embeddings with classical classifiers, a fine-tuned RoBERTa and a zero-shot GPT-5-mini are trained or prompted on issues linked to smell growth in three GitLab projects. The best configuration found about 71-74% of smell-inducing issues at precision .24-.41; the zero-shot model barely beat chance, and models did not transfer across projects.</t>
  </si>
  <si>
    <t>(a) Liveness: predictions are meant to be made as issues are created during development (p. 46) but are evaluated retrospectively over release histories (p. 49); nothing observes the running system.
(b) Evidence: only the issue title and description, since adding pre-implementation comments changed little; the labels are smells that static detectors find in component dependency graphs (pp. 48-51).
(c) Acceptance: with precision .24-.41, most warnings are false alarms, and the authors offer the predictor as a lightweight filter rather than a verdict (pp. 51, 52).
(d) Transfer: trained on other projects, the best configuration lost up to .388 in F1, so each system needs its own labelled history (pp. 51-52).
(e) Timeliness and cost: not reported; encoders are only called inexpensive (p. 48).</t>
  </si>
  <si>
    <t>MAPE-K (Inferred): judging whether a planned change will degrade the architecture is an Analyse step over proposed changes, with the labelled history of smell-inducing issues as Knowledge; there is no Monitor of a running system and no Plan or Execute.
Rainbow (Inferred): dependency cycles and hub-like components are architecture-level constraint violations of the kind Rainbow evaluates, but they are computed offline from code, and no repair strategy follows a warning.
Models@run.time (Inferred): the detectors recover a component dependency graph for each release, an architecture model, but it is not kept current at runtime and the predictor never sees it.</t>
  </si>
  <si>
    <t>MAPE-K feedback loop. Its task, screening a planned change for architectural damage before it is made, is an Analyse step that precedes a loop's Plan and Execute, and its knowledge is a labelled history of past changes. Rainbow's constraint evaluation would need the architecture model the predictor does not use, and Models@run.time names that missing model.</t>
  </si>
  <si>
    <t>Before a self-adaptive system executes a structural adaptation (adding a component, rewiring dependencies), a classifier trained on the system's own history of adaptations that introduced dependency cycles or hub-like components flags plans likely to degrade the architecture, and flagged plans are checked against the resulting dependency graph before execution. Test on a self-adaptive exemplar with logged adaptations: precision and recall of flags against smells detected after execution, against checking the dependency graph directly, and transfer to a second exemplar.
Preconditions: a labelled history of adaptation plans linked to smell growth; plans described in text or a structured form; a smell detector on the architecture after each adaptation.
Risks: low precision in the original, so most flags would be false; poor transfer between systems; only two smell types; zero-shot LLMs did not work without project-specific training.</t>
  </si>
  <si>
    <t>Two LLM agents watch an organisation's repositories: one summarises every commit into memory, the other periodically groups commits into initiatives across repositories, matches them to design documents and epics, and checks them against TDDs and ADRs, flagging architectural drift as pull-request comments before merge. Over eight weeks across 120+ microservices it flagged 18 drift instances, 83% confirmed by trace rules and architects, but recall was not measured and the model is not named.</t>
  </si>
  <si>
    <t>(a) Liveness: context is captured on every push and conformance is checked in a synthesis run two to three times a week, with flags posted before merge (pp. 1332-1333); it follows code changes, not the running system.
(b) Evidence: commits, diffs, Jira epics and prose TDDs and ADRs; validation works for concrete, rule-like decisions and less for subjective ones (p. 1335).
(c) Acceptance: a flag was counted as a true positive when an automated trace-rule check and a review by architects agreed; 83% of 18 were, and false negatives are not measured (pp. 1334-1335).
(d) Transparency: the model, prompts and settings are not given, so the behaviour cannot be reproduced or compared (pp. 1333-1335).
(e) Timeliness and cost: 12 minutes on average from commit to flag (p. 1335), not reconciled with a synthesis agent run two to three times a week (p. 1333); cost not reported.</t>
  </si>
  <si>
    <t>MAPE-K (Partial): the per-commit agent monitors changes, the tiered memory and design documents are Knowledge, and the synthesis agent analyses conformance against the ADRs and TDDs; planning and execution stop at a pull-request comment, and people act on it.
Rainbow (Partial): ADR rules such as 'all inter-service communication must use the event bus' work as architectural constraints evaluated continuously, a violation being flagged, but they are checked against code changes rather than an architecture model, and no repair strategy is applied.
Models@run.time (Inferred): there is no explicit architecture model; the memory holds summaries of commits and initiatives, and a structural model kept in step with the code would make drift checks depend less on prose.</t>
  </si>
  <si>
    <t>MAPE-K feedback loop. It already runs the Monitor, Knowledge and Analyse parts of a loop continuously, from every change to a conformance judgement, and hands the Plan and Execute to people. Rainbow's constraint evaluation fits its ADR rules but would need an architecture model the system does not keep.</t>
  </si>
  <si>
    <t>In a self-adaptive system whose adaptation rules are recorded as ADR-like decisions (which tactics may be applied, which services must communicate through the event bus), an agent checks each executed adaptation and the code or configuration change it made against those rules and flags drift to operators. Test on an exemplar with injected rule-violating adaptations: precision and recall of flags, time from adaptation to flag, and accuracy for concrete against abstract rules.
Preconditions: rules stated concretely; adaptations logged with the changes they make; a named model with fixed prompts.
Risks: subjective rules were poorly checked in the original; its recall is unknown; grouping depended on commit conventions; the model and cost were not reported.</t>
  </si>
  <si>
    <t>Models turn written requirements into architecture, the transition most often targeted (FS02: 40% of sources; generation is the purpose of 19%). Service boundaries are derived from user stories and use cases (FS01); microservice architectures are generated from a monolith's documentation (FS04) and reference architectures from requirements (FS07). Following Attribute-Driven Design, a model designs complete, documented architectures from prioritised drivers, comparable to a proven solution and rated positively by four architects (average of 4 or more for four of seven drivers) (FS08). A vision paper specifies four agents that design an architecture from a requirements specification, from architecturally significant requirements through decisions and conceptual views to UML diagrams, with an evaluator agent checking the result against the specification (FS14). A Socratic mentor on a small open model leads first-year students through seven steps from a project description and requirements to components, relationships and a textual architecture (FS24). Three LLMs generate high-level UML component architectures from the textual descriptions of two open-source systems; o3 and Gemini recover most components, and a second model refining the first model's draft raises accuracy (FS25). In a lab study of 18 pairs of software professionals, three pairs had GPT-3.5 Turbo produce their whole design document, two of them as overviews of the core architectural components and their interactions, and others had it draft parts such as a deployment diagram (FS26). From the textual requirements of two small systems, a model proposed microservices, their responsibilities and interactions, matching 11 of 14 reference services zero-shot and all 14 with one example (FS30). Asked for a client-server, three-tier, MVC or microservice architecture from requirements, most models applied the simpler patterns, but only larger ones kept the data ownership and boundaries of microservices (FS33). Three models generating microservices and links from the same requirements agreed on the core services but missed the same low-salience one and diverged on links, with average link F1 of 0.62-0.74 (FS36). An agent in an industrial design framework consolidates requirements and generates an architecture-as-code specification rendered as a UML class diagram, shown only in one screen capture (FS38). In an evolutionary loop with formal checks, candidate decompositions generated from user stories became structurally valid in 99.5% of cases after five generations, against 74.5% at the start (FS42). Component diagrams generated from informal exam specifications were mostly well formed and matched the stated elements, but had on average 2.17 fewer interfaces and 6.58 fewer connections than the professors' solutions and missed elements implied by domain knowledge (FS45). Prompted with a functional requirement, Llama 3.3 70B proposed which of the 40 modules of an industrial product-line reference architecture should realise it, with accuracy 1.0 for three of five requirements and 0.5 for two (mean 0.8) against allocations from past feature development (FS49). Asked to propose new features for an iOS app as modules of its VIPER architecture, given only the project tree, a model answered all seven creating questions correctly as graded by the authors (FS54). For a digital health messaging system, ChatGPT-4 given its own requirements and named platform and integration constraints produced a microservice architecture on AWS, shown beside the team's own diagram without an element-by-element comparison (FS57). Novice students who used ChatGPT on the architecture of three real projects mostly agreed that it led to clearer, scalable architectures (5 of 7), although no architecture is shown (FS58). TTool-AI has GPT-3.5 Turbo generate SysML block diagrams and block state machines from natural-language specifications of embedded systems; on three systems its block diagrams were graded 81/100 on average against 70 for about 15 master's students (FS59), and its extension generates use case and block diagrams under formal internal consistency rules (FS60). From a prompt that already names the nodes, components, artefacts and communications of a textbook system, GPT-4-turbo generated a three-tier UML deployment diagram with all 18 required elements but 21 of 26 constraints, which students rated below the textbook's diagram (FS61). Its journal version adds a GPT-4o evaluation in which block diagrams for a connected device were graded 9.3/10 against 9.2 for students, and model mutation, which updates a block diagram from a textual change request through a generated mutation script, shown on an example but not evaluated (FS62). In a waterfall student project, ChatGPT's first subsystem division was semantically incorrect and needed many prompts, more detail and PlantUML to match the project's own, while its software/hardware mapping was right with at most two prompts (FS64). A vision paper proposes that GenAI translate a chosen serverless pattern into the application's functions, events and resources (FS65). The journal version of FS60 corrects detected inconsistencies by regenerating both diagrams through TTool-AI, fixing 59 of 69 (85.5%) on the same three systems (FS66).</t>
  </si>
  <si>
    <t>Runtime goal change and acceptance. Generation is one-off, from requirements written at design time, while the goals of a self-adaptive system shift at runtime. Generated architectures are rarely validated (FS02: 93% of sources), and FS04 describes its outputs without any acceptance threshold; where a design is validated, it takes a proven reference solution or architects spending 8-10 hours each (FS08), which a runtime loop cannot wait for. The one study that works on a running system selects among predefined patterns instead of generating architecture (FS09). FS14's agents iterate until their own evaluator agent confirms the design, an acceptance check inside the generator with no check outside it.</t>
  </si>
  <si>
    <t>MAPE-K: Plan, at design time, with no Monitor input.
Models@run.time: a generated architecture could seed the runtime model, but none is kept.
Awareness requirements: a failing monitored requirement is the natural trigger for regenerating part of the architecture.
Three-layer: generating an architecture from prioritised goals is deliberative planning, the work of goal management (FS08's ADD iterations).</t>
  </si>
  <si>
    <t>When a monitored requirement fails, a language model regenerates the affected part of the architecture in an ADD-like iteration whose drivers are the failing scenarios (FS08), and the result is checked against architectural constraints before use; FS14 specifies an evaluator agent that traces a mismatch with the requirements to the agent responsible and returns it for refinement. Testable by comparing regenerated fragments with an architect's own for the same change; FS25 finds that a second model refining the first model's draft improves the result, the drafting model mattering most.
Preconditions: requirements that can be monitored; a validation step.
Risks: ambiguous input degrades generation (FS01), and vague input gave generic suggestions (FS24); an iteration takes minutes (about 20 in FS08), far slower than parameter adaptation; the proposed style can change between runs (FS08); zero-shot generation added plausible services and links the requirements did not ask for (FS30), and across three models most spurious links attached to infrastructure hubs (FS36); generated component diagrams were oversimplified and over-centralised around one large component, and often lacked data and notification structures (FS45).</t>
  </si>
  <si>
    <t>FS01, FS02, FS04 (Inferred), FS07, FS08 (Inferred), FS14 (Inferred), FS24 (Inferred), FS25 (Inferred), FS26, FS30 (Inferred), FS33, FS36 (Inferred), FS38, FS42, FS45, FS49, FS54, FS57, FS58, FS59, FS60, FS61, FS62, FS64, FS65, FS66</t>
  </si>
  <si>
    <t>Decision support is the most frequent purpose (FS02: 38% of sources); models recommend patterns, decompositions and configurations (FS01). Six models recommend patterns and tools for described systems, and the lists are more complete when the model only answers a decision tree's questions (FS06). Following ADD, a model selects design concepts (patterns, tactics, frameworks) for each iteration's drivers, records the rationale and discarded alternatives, and instantiates them (FS08). At runtime, LLM agents choose after every round which of three predefined architectural patterns to activate, with a rationale (FS09). Practitioners' uses of AI in decision making include suggesting decision criteria and quality attribute scenarios, picking the decisions that matter from the backlog and exploring options with their pros and cons (FS12). Given a decision already taken, models justify it by weighing its advantages and disadvantages; without a prompt that asks for them, only 16% of their rationales analyse weaknesses (FS13). In a proposed multi-agent design, a modeler agent prioritises non-functional requirements and selects the technology stack, styles and patterns, drawing on mined knowledge of their trade-offs (FS14). Given a violation of a reference architecture, two models recommend a resolution, such as a legal connection or the reference component to implement, one of several valid ones for the architect to choose (FS20). A student mentor suggests components not stated in the requirements, such as authentication or monitoring, and asks whether they would be sensible, giving reasons (FS24). Generating architectures, o3 and Gemini introduced an API gateway in 10 of their 12 diagrams and only o3 with chain-of-thought adopted the benchmark's event bus, while Llama applied no style (FS25). Three pairs of professionals tried to delegate a design decision to the model; asked for a backend architecture, it laid out the trade-offs of a monolithic and a serverless option and left the choice to the designers (FS26). GPT-4o generated four design-concept alternatives with pros and cons for each of 14 quality-attribute problems, all judged appropriate; four LLMs mostly agreed on the choice, but 23 human architects chose far more diversely and often asked for more information (FS27). When a pattern is prescribed rather than chosen, implementation-oriented requirements led models to produce a three-tier structure although MVC was requested (FS33). At runtime, a model inside the adaptation manager of a collective adaptive system decides each period which components join which ensembles, from prompts generated from the architecture specification and the current state; a reasoning model came close to a hand-coded rule-based manager without being given a strategy (FS34). Asked for security patterns for five design problems, two general models mostly invented patterns and references, while a tool grounded in a curated pattern corpus found the expected pattern each time (FS41). Scored by an LLM judge, the same group's RAG-based assistant reached 0.70 for faithfulness and answer relevance but 0.00 for context precision on five pattern-recommendation questions, often proposing alternatives to the expected patterns (FS52). An LLM exploring a knowledge graph of requirement-architecture relations compiled evidence-backed trade-off tables for centralized and decentralized ECU architectures in 12-15 minutes against an expert's 75, but matched the expert's impact labels on at most one of three shared points unless constrained to the expert's points (FS47). Critiquing the strengths and limitations of an app's VIPER architecture, a model was graded correct on seven of eight questions and partially correct on one (FS54). All seven students in FS58 agreed that ChatGPT aligned architectural decisions with their projects' constraints. In a preliminary experiment, GPT-4 is reported to have selected an appropriate serverless architecture from the requirements of three applications, though no design is shown, and the authors propose pattern selection by GenAI from the patterns' known trade-offs (FS65).</t>
  </si>
  <si>
    <t>Autonomy and trade-off reasoning. A human stays in the interaction (FS02: 85%) and trade-off analysis is rare (FS02), appearing in generated rationale when a template or a trade-off agent asks for it (FS13); FS08 does not ask the model for it, and trade-offs not stated in the drivers were decided suboptimally or skipped. Where agents choose alone at runtime, agents that each judged one pattern in isolation made the worst trade-offs, because combined patterns interfere (FS09). A model deciding alone at runtime became lazy on larger problems, sending drones to only a few fields (FS34). Choosing among adaptation options under competing goals is a trade-off decision. Models also carry a style prior: microservices in 22 of 24 guided runs (FS06), and a style that changes between rounds and models (FS08).</t>
  </si>
  <si>
    <t>MAPE-K: Plan; the human who accepts the recommendation holds the authority Execute would need.
Rainbow: strategy selection in the adaptation engine is what a recommender would support; FS09 lets agents make that selection, with voting or debate as the decision procedure.
Three-layer: deliberative decision support belongs in goal management.
Dynamic product lines: a decision structure over predefined variants bounds what the model can choose (FS06); FS09's agents choose among predefined pattern variants at runtime.</t>
  </si>
  <si>
    <t>A language model ranks a predefined set of adaptation strategies with a rationale, and a utility function or decision procedure makes the final selection. Testable against purely utility-based selection on a self-adaptive exemplar; FS06 supports keeping the final choice outside the model, as does FS26, where the model laid out trade-offs and left the choice to the designers, and FS27, where models converged on answers that experts did not share, and FS09 shows agents choosing among predefined patterns at runtime, with majority voting or debate as the procedure and a rule-based policy as a strong baseline, and FS34 shows a model deciding directly at runtime from a strategy stated in natural language, with its answer checked against the specification's constraints before it is applied.
Preconditions: a predefined strategy set and a utility function.
Risks: weak trade-off reasoning (FS02, FS08), with disadvantages skipped unless the prompt asks for them (FS13); interactions between options missed when each is judged alone (FS09); hallucinated rationales; an inherited or unstable style prior (FS06, FS08); requirement wording that overrides the requested pattern (FS33).</t>
  </si>
  <si>
    <t>FS01, FS02 (Partial), FS06 (Inferred), FS08, FS09 (Partial), FS12, FS13 (Inferred), FS14, FS20, FS24, FS25, FS26 (Inferred), FS27 (Inferred), FS33 (Inferred), FS34 (Partial), FS41, FS47, FS52, FS54, FS58, FS65</t>
  </si>
  <si>
    <t>Documentation is among the main uses (FS02) and structured decision documentation a growing one (FS01). Primary studies generate module names and summaries (FS03), service responsibilities (FS04), decision records from commits (FS05) and decision records for reference architectures (FS07). FS08's model keeps a single architecture document current across design iterations and records its design decisions with their rationale (41 and 92 decisions in its two ADD designs). At runtime, every decision comes with a model-written rationale, and the voting and debate strategies log the agents' votes and arguments (FS09). Cooperating agents recover decisions from a code repository and write ADRs, which blind raters preferred to single-prompt ADRs (FS10). A preregistered study specifies C4-level component views in PlantUML, aligned with arc42, with every element traced to its evidence (FS11), and practitioners name ADR creation from keywords and the recovery of decisions from code as uses of AI (FS12). Five models write the rationale of 100 given decisions from the problem and the decision, finding most of the experts' arguments (recall 0.63-0.72) among many more of their own (precision 0.24-0.28), most of the extra ones judged helpful (FS13). A proposed agent framework records the architectural decisions it makes as part of the final design, beside its views and diagrams (FS14). An LLM names recovered modules and describes their functionality from its own file summaries (FS17). Asked about the rationale of an existing system's decisions, seven models recalled it from their embedded knowledge with low precision, DeepSeek and GPT-4o mini doing best (FS18). A model rating architecture diagrams with their descriptions suggests improvements to the documentation, such as adding the components the text describes or standardising symbols (FS19), and the same authors' later study gives such suggestions for the diagrams of four tool papers (FS37); FS43 structures the feedback as a score and justification for each of 15 guideline checks. Architecture views (component and sequence diagrams, or notation-agnostic ones) are generated from summaries of the source code of 340 open-source repositories, to counter documentation that is rarely updated (FS21). A benchmark platform specifies ADR generation from a decision's context, scored by text similarity against the recorded ADR, as one of its tasks (FS22). Generating the next ADR of a repository from its title and earlier ADRs, four models did better with any decision history than without, and the last three to five records served as well as the whole history (FS32). A multi-agent workflow extracts the decisions discussed in design meetings from raw transcripts and drafts ADRs, covering about 18 of 23 decisions senior architects identified (FS35). FS38 keeps requirements, architecture models and ADRs as versioned artefacts linked by authorship, phase and dependency, so that rationale is not lost between design iterations. FS44 envisions LLM-based extractors that pull architectural elements, decisions and rationale from requirements, documentation, code and diagrams into one linked knowledge base. FS46 regenerates C4 diagrams on demand from the project backlog, each element linked back to its source tickets, as documentation that keeps pace with development. FS47 keeps a provenance chain from source documents through knowledge-graph nodes to each cell of a trade-off table. FS48 recovers traceable architecture models of a ROS 2 system whose composition is otherwise only implicit in code and launch files. FS53 writes system-level architecture documentation for a whole repository, section by section, following a template drawn from ISO/IEC/IEEE 42010, Views &amp; Beyond and C4, including the quality attributes and the rationale inferred from observable design choices. FS55 treats the microservice patterns a system implements as architecture knowledge worth documenting and detects them automatically to reduce the cost of recording it. FS64 frames the generated System Design Document as documentation support; design goals came quickly but their priorities took more prompts.</t>
  </si>
  <si>
    <t>Accountability at runtime. Records are written for people, after the fact, and need human checking (FS02); an adapting system takes decisions that also need a record. From the change alone, models say what changed but mostly not why (FS05); a model that records decisions while it makes them also records their rationale and discarded alternatives (FS08), but in a design document with no link to a running system. Of the two runtime studies, one logs a rationale with every decision but never checks it (FS09), and the other uses only the answer part of each response (FS34); FS10 checks drafted ADRs with a validator agent before they are saved, but after the fact and from code; FS13 writes rationale from the problem and the decision, which is what a loop has when it plans, but for decisions others took, with a reviewer agent cutting misleading arguments.</t>
  </si>
  <si>
    <t>MAPE-K: Knowledge, holding the rationale of each adaptation.
Models@run.time: rationale attached to each change of the runtime model as its history; FS08's living architecture document, refined across iterations, is the design-time counterpart.
Three-layer: the reason for a change sits in goal management, not in the change itself (FS05).</t>
  </si>
  <si>
    <t>Each adaptation is logged as a decision record written from the Analyse result and the goal it serves, not from the executed change alone, and linked to the runtime model version it changed; FS08's decisions linked to drivers show the form such a record can take, FS09 already logs a rationale with each runtime decision, and FS10's generator-validator pair is one way to check such a record before it is stored; FS32's finding that the last three to five records suffice as context sets how much history such a generator needs; FS13's analyse, review and trade-off agents show how a model can argue for and against the decision. Testable by whether engineers can reconstruct why an adaptation happened, scored with FS05's rubric or FS13's argument categories (insightful, helpful, uncertain, misleading).
Risks: a plausible but wrong rationale (1.6-3.2% misleading and 4.1-4.9% uncertain arguments in FS13); verbose, implementation-level records (FS05); rationales that are produced but never evaluated (FS09); tentative ideas recorded as accepted decisions, and details imported from retrieved records of other projects (FS35).</t>
  </si>
  <si>
    <t>FS01, FS02, FS03, FS04, FS05 (Inferred), FS07, FS08 (Inferred), FS09 (Partial), FS10 (Inferred), FS11, FS12, FS13 (Inferred), FS14, FS17, FS18, FS19, FS21, FS22, FS32 (Partial), FS35 (Inferred), FS37, FS38, FS43, FS44, FS46, FS47, FS48, FS53, FS55, FS64</t>
  </si>
  <si>
    <t>Models analyse existing architectures: reconstruction (FS02: 19% of sources), code-to-architecture (13%), smell refactoring and conformance-violation resolution (FS02), and monolith decomposition from code and behaviour (FS01). Primary studies refine recovered module views checked against dependency cohesion (FS03), lift commits to design decisions (FS05) and check given architectures against requirements (FS07). Extractor agents summarise a repository and a validator agent checks the summary against the code (FS10), a preregistered pipeline is to recover a component hierarchy bottom-up with a reasoning, assembling and validating agent loop (FS11), and an LLM reviews an existing ADR against five quality criteria (FS12). At runtime, agents evaluate the current configuration of a federated-learning system against the metrics of recent rounds before each decision (FS09). A proposed evaluator agent is to check generated class, sequence and deployment diagrams against the requirements, trace each mismatch to its root cause (a misread requirement, a design error, a misallocated resource) and suggest a refinement (FS14). Component names extracted from architecture documentation or package structure serve as a simple architecture model for trace-link recovery between documentation and code, as good as a manual model with the best models, although components the documentation never describes are missed (FS15). Four open models check whether code complies with the decisions in architecture decision records, one detecting and three validating: the best exceed 90% accuracy on a validated sample, but infrastructure, deployment and intent-oriented decisions are misjudged (FS16). An LLM infers a system's architectural patterns and components from file summaries and a pattern knowledge base, and the components anchor a clustering that beats seven recovery baselines on 15 projects (FS17). Seven models answering engineers' questions about the components, quality solutions and rationale of Hadoop HDFS from their own knowledge all gave many false positives, with recall above precision (FS18). ChatGPT-4o assessing the architecture diagrams of four open-source projects against their textual descriptions flagged mismatches and omitted components, but took deliberate omissions for errors (FS19). Applied by the same authors to the diagrams of four tool papers, it matched an expert's view on 8 of 20 criterion judgements, partly on 6 and not on 6, and never rated a criterion as failing (FS37). Two multimodal models scoring six microservice diagrams on 15 guideline checks reached F1 0.761 and kappa 0.308 against engineers' reference scores, agreeing best on completeness and worst on clarity (FS43). Given a violation found by a model-driven conformance checker, Gemini 1.5 and ChatGPT-4o proposed corrected versions of 16 mutated IoT architectures, correct in 90% and 70% of 20 suggestions (FS20). Generating architecture views from hierarchical code summaries of 340 repositories, a custom multi-agent approach did best, but every approach produced code-level rather than architectural granularity (FS21). The same benchmark platform hosts trace-link recovery between architecture documentation and code on the ArDoCo projects, scored by precision, recall and F1 (FS22). Given the computation graphs of three running ROS2 systems as JSON, nine LLMs answered factual questions about their nodes, topics, services and communication paths with 98% mean accuracy, the errors concentrated on implicit paths in the largest system (FS23). GPT-4 Turbo, reading the specifications and code of ensemble-based component architectures in three DSLs, identified components and ensembles and predicted which ensembles form in a given state, mostly correctly once told how ensembles are defined, but not for a Scala-based DSL (FS28). Four models decomposed four monolithic Java systems into microservices in a single shot, from a repository summary, five architectural views they generated and a static dependency graph (FS29). FS31 proposes that a model generate the formal architecture model of an ML/RL-based system from its code and schematics, as Python code against a metamodel, and check it for conformance to catalogued design decisions, replacing hand-coded detectors; neither is evaluated. Asked to compute microservice metrics (data ownership, coupling, interface complexity) from diagrams they had just generated, nearly all models were right less than half the time (FS33). FS38 specifies consistency, violation and change-impact checks for its agent, but its prototype checks no more than what diagram parsing enables. FS39 has a model recover component hierarchies of three C systems by querying a knowledge graph of the code, allocating functions and reassigning coupling candidates; the results map onto documented and gold-standard architectures in part, with several documented components split across recovered ones. The authors of FS28 test workflow architectures written in an ADL with parametrised question patterns: two OpenAI models answered structure and behaviour questions mostly correctly (means 0.83-1.00 over five runs), but scored 0.28-0.51 on functionality questions (FS40). A vision paper proposes LLM-based detection of mismatches between documented and implemented structures and of contradicting decisions across artefacts (FS44). Recovering C4 context and container views from agile work items instead of code, practitioners judged the diagrams accurate, and the diagrams mirrored the documented intent, so that three planned but unimplemented elements and one undocumented implementation exposed drift (FS46). Blueprint-guided LLM agents recovered the component and system models of a ROS 2 robotic system with F1 1.0 at component level and 0.98 at system level against the authors' reference model (FS48). Rating architecture documentation against 25 criteria, locally hosted models deviated from two architects by 27% on average for a well-documented project and by 43%, with no apparent correlation, for a sparsely documented one (FS50). Classifying architecture decision records by decision taxonomies, an LLM agreed with human labels in 46-66% of cases, better than an embedding-based classifier, and as a judge it found the considered-options section absent or misplaced in most records (FS51). Recovering a repository's context, containers, components, code mapping and deployment from its flattened code and configuration, an LLM's documentation was rated most accurate in its code-grounded sections and least in interpretive views such as use cases (FS53). Given only an iOS app's project tree, a model answered all five analysing questions on patterns, deviations and bottlenecks in its VIPER architecture correctly but was weaker at recalling file roles and describing data flows between layers (FS54). Detecting instances of 24 microservice patterns from repositories' infrastructure-as-code files, a model's detections were judged present in 83% of cases by one researcher, mostly deployment and discovery patterns, with much of the catalogue never detected and recall not measured (FS55). Extending FS28 to six remote and local models, all understood the definitions of ensemble-based architectures when hinted, but predictions of ensemble formation were mostly right only for the simplest application (FS56). Given a SysML block diagram, a use case diagram and cross-diagram rules, GPT-4 listed 69 relevant inconsistencies in 24 diagram checks, with 6 erroneous detections, and regenerating the diagrams with the list corrected 87% of them (FS60). Given source code, a reconstructed call graph or both, ChatGPT answered questions about the service and interaction views of the TrainTicket microservice system with a mean F1 of 0.794 from code alone; questions spanning several microservices were hardest, and the reconstructed graph fitted the context window where the code did not (FS63). Its journal version reports the same detections on the same systems with 85.5% corrected, and adds a dependency-graph method without an LLM that found the logical-dependency inconsistencies the authors expected in their incomplete and faulty design variants, where the model, even GPT-5.1, misread dependencies along two-edge paths (FS66). FS68 predicts from an issue's title and description, before implementation, whether resolving it will introduce or expand a dependency cycle or hub-like component, and FS69's agents check development initiatives grouped from commits across repositories against technical design documents and ADR-prescribed patterns, flagging drift on pull requests before merge. FS67 has ChatGPT list the architectural patterns and tactics in the zipped source code of open-source systems and compares it with the rule-based Archie: for Apache Flink it named different patterns and found 6 tactics against Archie's 18.</t>
  </si>
  <si>
    <t>Liveness. Apart from one study, all of it runs offline on a snapshot of code and artefacts (FS03: static dependencies, one run). FS09 evaluates the running system every round, but only its configuration flags and metrics, not its structure; nothing keeps a structural model current as the system runs. FS23 takes the structure from running systems, as their ROS2 computation graphs, but once, as a snapshot.</t>
  </si>
  <si>
    <t>MAPE-K: Analyse, and Monitor if recovery is repeated; FS09's agents do Analyse every round.
Rainbow: conformance checking with a proposed repair is a constraint check followed by a strategy (FS02, two sources); FS20 has a language model generate the repair for a violation a rule-based checker found.
Models@run.time: recovery maintains the model from the system; FS03 already re-summarises only changed modules.
FORMS: the recovered hierarchy is a reflection model (FS03).</t>
  </si>
  <si>
    <t>Run LLM-based recovery and conformance checking on every change, or on runtime traces, so that the architecture model stays current and violations are flagged as they appear. Testable by the detection rate of injected violations on an evolving open-source system; FS16 checks code against recorded decisions in this way, once and offline, and FS20 adds model-generated repairs for the violations a model-driven checker finds, approved by the architect.
Preconditions: code-architecture traceability (FS02), which LLM-extracted component names can supply (FS15); change events and dynamic dependencies (FS03).
Risks: accuracy is bounded by the input recovery tool (FS03); in checks of code against recorded decisions, infrastructure and deployment decisions, which adaptations touch most, were the most misjudged (FS16); a full LLM-guided recovery takes about 3.3 s per source file with a local model (FS17); a model checking a diagram against its description misread deliberate omissions and the intended audience (FS19), and reported elements that are in the diagram as missing (FS37); repairs of conformance violations can introduce new ones (FS20); views recovered from code summaries stayed at code-level granularity and missed much of the ground truth (FS21); understanding depends on the notation, and a less common architecture DSL led a model to invent ensembles (FS28); service decompositions by models diverged from the reference service boundaries more than those of decomposition tools did, though with fewer cyclic dependencies (FS29); metrics a model reports about its own architecture may be taken from general documentation rather than the diagram, so they must be computed externally (FS33); recovery by querying a code knowledge graph took up to nearly four hours per system and split documented components across several recovered ones (FS39); a recovery from tickets inherits the backlog's organisation, splitting containers along team competencies, and is blind to what the tickets omit (FS46).</t>
  </si>
  <si>
    <t>FS01, FS02 (Partial), FS03 (Partial), FS05, FS07, FS09 (Partial), FS10, FS11, FS12, FS14, FS15 (Partial), FS16 (Partial), FS17 (Partial), FS18, FS19 (Inferred), FS20 (Partial), FS21 (Partial), FS22, FS23 (Partial), FS28 (Inferred), FS29 (Partial), FS31, FS33 (Inferred), FS37 (Inferred), FS38, FS39 (Partial), FS40, FS43 (Inferred), FS44, FS46, FS48, FS50, FS51, FS53, FS54, FS55, FS56, FS60, FS63, FS66, FS67, FS68, FS69</t>
  </si>
  <si>
    <t>Mostly an assistant: 85% of sources involve human interaction and autonomous decisions are not yet prevalent (FS02; also FS01); models are exploratory partners rather than decision-makers (FS04) or write first drafts that a person completes (FS05). FS03 runs unattended, keeping a model change only when dependency evidence or a second prompt confirms it; FS06 puts the model in the human's seat of a decision method; FS07 casts it as a tutor that withholds solutions; FS08 makes it a co-architect whose workflow pauses for human review after each step, although its reported runs went through without feedback. FS09's agents decide alone at runtime: their configuration is applied in the next round with no human approval. FS10's architect configures and monitors an agent workflow and can intervene, although its study runs had no intervention; FS11 plans an architect acting as an oracle for at most ten queries per run, and FS12 keeps the architect in the loop to specify inputs and validate outputs, relieved only of writing prompts. Practitioners see a model writing design rationale as an efficient assistant rather than a trustworthy expert, and none would trust its output without validation (FS13). A vision paper casts agents as replacements for the architect's roles in a fully automated design process, with people only as stakeholders clarifying requirements and as sources of elicited knowledge (FS14). FS15's model is one automated step in a traceability pipeline, its output parsed by rules and passed on with no human check. FS16's detector and validator models run unattended, but the authors treat their findings as early warnings for architects, not final decisions. FS17's recovery pipeline runs without human intervention, and its LLM-written component descriptions matched or slightly exceeded hand-written ones as guidance. FS18 recommends LLM answers about an existing architecture only as initial documentation, to be filtered and verified. FS19 treats a model's assessment of architecture diagrams as initial feedback for architecture reviews, with an expert's judgement as ground truth; FS37 calls the model a complementary, not authoritative, evaluator whose outputs are hypotheses for expert review, and FS43 a first-pass assessor for review triage rather than certification. FS20's models only recommend repairs of conformance violations; the architect approves each before it is integrated. FS21's view generators run unattended over each repository, but the authors see their output as starting points that still need human expertise. FS23 casts the models as assistants helping ROS2 architects understand their systems and suggests consulting several models. FS24's mentor follows a Socratic method, guiding students with questions while they design. FS25 sees LLMs as assistants that draft an initial component map, with architects validating coverage, pruning and steering the style. Pairs of professionals gave the model one of four roles (none, information source, generator of artifacts, producer of the whole design) and in every role scrutinised and adapted its output (FS26). FS27 casts the model as a sounding board that helps the architect scan the horizon of alternatives, with the decision left to people. FS28 aims at models that help engineers create and refine ensemble-based architectures and first tests whether they understand them. FS29 sees models as design partners whose decompositions are alternatives for architects to review, rather than as one-shot migration automation, although its own pipeline runs without a human. FS30 positions the model as a decision-support tool that gives architects a rapid starting point for decomposition, which they then refine. FS31 wants AI to replace manual architecting methods as automated pipeline stages, with a human in the loop only for pipeline generation. FS32 sees models as drafting assistants that relieve architects of writing ADRs and fill gaps in incomplete collections. FS33 tests whether models can apply requested patterns before they are trusted with more autonomous design, and suggests locally hosted models for confidential requirements. FS34 makes the model a decision-making part of the adaptation manager at runtime, leaving the human only the specification and, optionally, a strategy in natural language. FS35 presents its workflow as a documentation assistant whose ADRs are reviewable drafts, shifting the effort from writing records to reviewing them. FS36 sees generated microservice designs as drafts, with weakly supported services and links surfaced for the architect to confirm. FS38 lets its agent propose but never commit decisions, routing every artefact through a human validation gate. FS39 runs recovery without an engineer, steered only by a user-specified goal such as a desired style. FS41 plans a pattern-recommendation assistant for architects with less expertise. FS42 uses the model as a variation operator whose candidates a formal kernel filters, with a human-in-the-loop workbench left to future work. FS44 plans an agent that fixes minor inconsistencies itself but escalates critical ones and asks before removing or merging knowledge. FS45 offers generated component diagrams as drafts for engineers to refine, judging the approach not yet ready for real use. FS46 treats recovered diagrams as baselines usable internally but curated by people before they cross a trust boundary to external use. FS47 puts the human on the loop: the model drives the trade-off analysis while the user can pause it, verify evidence, correct the graph and make the decision. FS49 places the model as a co-pilot whose proposals are used to map concerns to modules and to design components. FS50 gives experts a first, lightweight quality check of submitted solutions and feedback to their developers and architects. FS53 casts the model as a meticulous software architect that drafts documentation for developers to review. FS54 concludes that architects keep a critical role and that LLMs are tools rather than replacements. FS56 sees models as aids for designing ensemble-based architectures but not to be trusted on the behaviour of complex ones. FS57 used ChatGPT-4 as a support tool, not a source of truth, switching it between researcher, architect and developer personas and having experts validate each phase's output. FS58 used ChatGPT as a development bot for novice students across all phases and calls for a balanced reliance on it. TTool-AI produces preliminary designs that the user takes over and refines once its automatic loop ends (FS59); in its extension engineers review each generated diagram and set aside erroneous inconsistencies before correction (FS60). FS61's model is a one-shot generator whose output students only evaluated, and its authors propose LLM scaffolding followed by human review. FS62's journal version keeps the user responsible for refining its drafts, and FS63 presents ChatGPT as an interactive documentation assistant answering developers' questions about a microservice system. FS64 used ChatGPT as a documentation assistant whose outputs the authors refined through feedback until compliant. FS66 has the engineer choose which detected inconsistencies to correct and calls user involvement essential because of false positives. FS68 places its predictor in the issue tracker as an early-warning filter whose warnings developers weigh, and FS69 runs unattended agents whose drift flags reach developers as pull-request comments and architects through a query interface. FS67 casts ChatGPT as a complement to specialised rule-based tools rather than a replacement.</t>
  </si>
  <si>
    <t>Autonomy and its guards. A self-adaptive system acts without a human at runtime. Unattended operation is reported for FS03's offline refinement, guarded by an acceptance rule, for FS08's design runs, in which the most domain-experienced evaluator disagreed with the model's structuring decision, for FS09's runtime decisions, guarded only by prompt rules and a fallback when agents disagree, for FS34's runtime decisions, checked against system constraints with one retry, and for FS10's ADR generation, guarded by validator agents.</t>
  </si>
  <si>
    <t>MAPE-K: the autonomic manager's degree of autonomy, with the human as an approval gate before Execute.
Rainbow: the gate would sit before the adaptation executor.
Three-layer: the human at goal management, automation in the layers below.</t>
  </si>
  <si>
    <t>Graded autonomy: the model acts alone on low-risk, reversible tactics, as FS09's agents do with pattern switches, and escalates structural changes to a human, the kind of decision FS08 found to need expert review. Testable by the escalation rate and the error rate of the changes made without one.
Precondition: a risk classification of adaptation actions.
Risks: over-trust in model output (FS02); no study checks the quality of unattended decisions one by one: FS09 judges them only through system metrics, and FS34 checks each only for validity against the specification's constraints.</t>
  </si>
  <si>
    <t>FS01, FS02 (Direct), FS03 (Partial), FS04, FS05, FS06, FS07, FS08 (Inferred), FS09 (Partial), FS10, FS11, FS12, FS13, FS14, FS15, FS16, FS17, FS18, FS19, FS20, FS21, FS23, FS24, FS25, FS26, FS27, FS28, FS29, FS30, FS31, FS32, FS33, FS34 (Partial), FS35, FS36, FS37, FS38, FS39, FS41, FS42, FS43, FS44, FS45, FS46, FS47, FS49, FS50, FS53, FS54, FS56, FS57, FS58, FS59, FS60, FS61, FS62, FS63, FS64, FS66, FS67, FS68, FS69</t>
  </si>
  <si>
    <t>Most benefits are claimed rather than measured: less effort and more modular designs (FS01), help to architects (FS02), lower documentation effort (FS05), reasonable suggestions from minimal prompts (FS06), relief for teachers (FS07), with FS04 stating benefits only as possibilities. FS03 measures accuracy gains on all 90 inputs, and FS08 reports design iterations of about 20 minutes and documentation that one evaluator judged deeper and more traceable than most met in practice. FS09 is the first to measure a benefit of adaptation: runtime pattern selection raised accuracy in image classification (F1 of 0.84-0.85 against about 0.79 for the best baseline) and cut training and communication time in text classification. In a blind user study, agentic ADRs were rated higher than single-prompt ADRs on every criterion (overall 3.8-3.9 against 3.3 of 5) (FS10), and early results of an ADR-review prompt are called mostly positive, without figures (FS12). Models found most of the experts' arguments for a decision (recall 0.63-0.72) and added helpful ones the experts had not given, including disadvantages, and practitioners saw uses in comparing designs, understanding unfamiliar or undocumented architectures and guiding evolution (FS13). FS14 claims efficiency, scalability and consistency for automated design and expects interaction among agents to be more reliable than zero-shot prompting, without evidence. With component names extracted by GPT-4o from documentation, trace-link recovery came within 0.01 weighted F1 of recovery with a manual architecture model (0.86 against 0.87) and significantly beat every approach without one (FS15). In checking code against recorded decisions, the best models were right on over 90% of 305 validated decisions, mostly decisions clearly visible in code (FS16). LLM-guided recovery improved on the average of seven baselines by 41 MoJoFM and 42 ARI points across 15 projects, and on the second-best method by 8 and 13 (FS17). For components and connectors most of seven models performed alike, and for quality solutions and rationale a distilled 70B model beat larger ones (FS18). A model assessing four architecture diagrams detected inconsistencies and missing elements, and by our count of its Table 1 an expert agreed fully with 14 of its 20 ratings (FS19); in the same authors' later study the model was most stable on consistency and clarity and useful for surface checks such as inconsistent labelling (FS37); another group found models most reliable for checklist-like inspection of what a diagram contains, and engineers preferred justifications produced from the rendered image (FS43). Repairing violations of a reference architecture, Gemini 1.5 was right in 90% of 20 cases and ChatGPT-4o in 70%, with missing connection targets the easiest to fix (FS20). The best view generator, a custom multi-agent approach, kept clarity failures to 22.6% of views, control-flow and data-flow views were the most reliable, and even imperfect views are seen as starting points for understanding unfamiliar or legacy systems (FS21). Answering questions about ROS2 computation graphs, nine models averaged 98% accuracy and the best answered all 1,230 correctly (FS23). Students found a Socratic mentor helpful for understanding and structuring a design, but their architectures were not rated significantly better than those designed without it (median 15 against 14.5 of 22) (FS24). Chaining a refining model after a drafting model raised the F1 of generated architectures against the documented ones from 19-72% in single passes to means of 66-86% (FS25). Professionals designing with a model reported more confidence, a sanity check and a quick starting point, and saw it as suited to early, high-level and greenfield design; its effect on design quality was not assessed (FS26). All 56 design-concept alternatives a model generated for 14 quality-attribute problems were judged appropriate, and their listed pros and cons are seen as a quick way to eliminate options (FS27). Predicting ensemble formation in given states, a model was mostly right for two of three DSLs, and in boundary cases its choice sometimes seemed better than the runtime's own (FS28). Service decompositions by models had fewer cyclic dependencies than those of decomposition tools (cyclic independence 87.83 against 65.11) and comparable modularity (FS29). Experts rated one-shot microservice architectures generated from requirements above both the zero-shot ones and the implemented reference architectures, which they found clean but incomplete (FS30). FS31 claims, without showing it, that generating architecture models with a model would dramatically reduce modelling effort. With suitable decision history as context, a 4B-parameter local model wrote ADRs comparable to far larger models (FS32). Larger models applied requested architectural patterns reliably, and with pattern-specific retrieved material even local models produced correct layered architectures (FS33). Online, a reasoning model came close to a hand-coded adaptation manager without being given a strategy and handled roughly three to five times larger problems than the constraint solver used before, while adaptation managers generated as code beforehand did poorly (FS34). An agentic workflow gave more stable, better-structured ADR drafts than zero-shot and few-shot prompting, and participants said the drafts helped them recall past decisions (FS35). Three models converged on each domain's core flows when generating microservices from requirements (FS36). Recovery over a code knowledge graph gave decompositions the authors judge coherent and useful for piece-by-piece migration (FS39). Two models interpreted workflow architectures reasonably, and a majority of five answers was correct for 22-24 of 25 test instances (FS40). Grounding in a curated corpus gave security-pattern suggestions with traceable references (FS41). Formal validation of generated decompositions cost a fraction of the generation time, so it can stay in the loop (FS42). Drafting component diagrams directly from informal specifications lets engineers see a system's structure before any requirements analysis (FS45). Practitioners reported architectural baselines recovered in minutes rather than hours, documentation that stays current, and an audit that exposes documentation debt and drift (FS46). An LLM-assisted trade-off analysis cut analysis time by about 80% while keeping its evidence path auditable (FS47). Explicit intermediate artefacts made LLM-assisted recovery more controllable and traceable (FS48). Rating architecture documentation gave a useful first impression of its quality, reliable on simple aspects (FS50). An LLM made a large-scale analysis of decision records feasible and reasoned about their semantics better than embeddings did (FS51). Developers found generated system-level documentation of their own systems valuable, most of all its diagrams and component views, at about three minutes and $1.19 per repository (FS53). Answering questions about an app's VIPER architecture well could lower development costs and help novice developers with an architecture that is hard to learn (FS54). Pattern detection from natural-language pattern descriptions needed no training data or per-pattern metrics and cost about US$2 for 66 runs (FS55). With identifiers anonymised and comments removed, six models still identified the components and ensembles of an ensemble-based architecture correctly (FS56). FS57 reports that ChatGPT-4 produced in five days what had taken over 200 human hours, including the architecture, and eased communication between technical and non-technical team members. In FS58, six of seven students strongly agreed that ChatGPT helped them represent their architectures clearly. TTool-AI produced block diagrams in 40 seconds on average against 2700 seconds listed for students, apparently their allotted time, with steadier grades (FS59). FS62 counts the variety of its stochastic answers as a benefit, letting it propose radically different architectures for one specification, and FS63 values answers drawn from the current code over documentation that goes out of date. FS64's authors report less time and effort for documentation and faster design replication. FS66 credits the LLM with recognising differently named elements as one entity, which rule-based checks miss. FS68 found about 71-74% of smell-inducing issues at creation with OpenAI embeddings and an SVM, though at precision .24-.41, and FS69 reports 18 drift flags in eight weeks of production use, 83% confirmed, with architects valuing above all the view of what every team is building. FS67 credits ChatGPT with finding modern fault-tolerance tactics, such as circuit breakers, that a rule-based tool misses.</t>
  </si>
  <si>
    <t>Evidence of benefit under runtime conditions. The benefits with figures are mostly design-time: accuracy against ground truth (FS03) and the time and cost of a design (FS08). Measured adaptation benefits come from set-ups of the authors' own: an emulated federation of five clients over ten rounds, where a rule-based baseline stayed competitive (FS09), and simulated collective adaptive systems, where the best model came close to a hand-coded manager (FS34). A randomised comparison of students designing with and without an LLM mentor found no significant gain in design quality (FS24).</t>
  </si>
  <si>
    <t>None of the frameworks applies; the gap is one of evidence.</t>
  </si>
  <si>
    <t>Any extension to self-adaptive systems has to measure benefit in adaptation terms, such as time to adapt and goal satisfaction after adaptation, against static, random and rule-based baselines, as FS09 does, and FS34 against rule-based and reinforcement-learning managers, and count the model's reasoning time in the total; FS08's time and cost per design show the scale a design-level planner works at.
Precondition: a baseline adaptation mechanism to compare against.</t>
  </si>
  <si>
    <t>FS01, FS02, FS03, FS04, FS05, FS06, FS07, FS08, FS09 (Direct), FS10, FS12, FS13, FS14, FS15, FS16, FS17, FS18, FS19, FS20, FS21, FS23, FS24 (Inferred), FS25, FS26, FS27, FS28, FS29, FS30, FS31, FS32, FS33, FS34 (Direct), FS35, FS36, FS37, FS39, FS40, FS41, FS42, FS43, FS45, FS46, FS47, FS48, FS50, FS51, FS53, FS54, FS55, FS56, FS57, FS58, FS59, FS62, FS63, FS64, FS66, FS67, FS68, FS69</t>
  </si>
  <si>
    <t>Prompting is engineered: few-shot prompting is most common (FS02: 31%), and prompt patterns are named as a lever on reliability (FS01, citing S1). Primary studies chain sub-prompts with self-consistency checks (FS03), show the prompting strategy shifts the granularity and coupling of generated architectures more than the provider does (FS04), that few-shot examples fix the form of generated decisions but not their content (FS05), that role and examples move suggestions from design to architectural patterns (FS06), and that layered roles can block each other (FS07). FS08 gives the model an explicit description of a design method, a plan-and-solve iteration plan and S1's architect persona, and runs the method step by step; the designs are far more complete than zero-shot ones and keep a stable document structure. FS09 fills a fixed four-part prompt (role, task, guardrails, output) with retrieved runtime state, and few-shot examples generally gave more accurate decisions than zero-shot. FS12 instantiates prompts from reusable templates built on prompt patterns (persona, template, meta language, context control, output formatter) and filled with modelled project context. For design rationale, a four-step chain-of-thought template (understand the decision, advantages, disadvantages, trade-off) raised recall and cut misleading arguments but lowered precision through more, sometimes superficial, arguments (FS13). FS15 asks the model first to elaborate on the documentation or summarise the package list and then to list component names in a fixed format, without engineering or comparing prompts. FS16 combines an architect role, chain-of-thought and few-shot examples with a fixed JSON output, refined over debugging cycles on ten sample projects. FS17 chains a two-step summarisation prompt (overview, then functionality) and a three-stage prompt that identifies the architectural pattern, justifies it and defines component indicators. FS18 uses engineers' freely phrased zero-shot questions and names chain-of-thought and fine-tuning as next steps. FS19 uses one structured prompt with a role, five quality criteria and a rating scale, and advises telling the model to use both the diagram and the text, since it favours the text, and asking it to summarise the diagram first. FS37 keeps one fixed template in a single pass and, from the failures it saw, recommends stating the diagram's scope and audience, a perception pass listing what the model sees before it judges completeness and accuracy, and requiring suggestions to cite concrete elements. FS43 uses one zero-shot prompt per criterion listing its guideline checks and demanding strict JSON with a score and justification per check. FS20 uses one zero-shot prompt skeleton per violation type, naming the violated rule without further information and imposing no output format, and plans few-shot prompting and RAG. FS21 compares zero-, one- and ten-shot prompts with an architect role: examples cut clarity failures from 40.0% to 30.8% for the best model, with diminishing returns, and compiler errors are fed back for up to three corrections. FS23 holds one refined prompt constant: a role, an instruction to answer only from the given topology and to name missing information, a chain-of-thought cue and a 100-word limit. FS24 turns seven design steps distilled from 18 software engineers into a Socratic prompt, refined over several iterations. FS25 compares zero-shot, role-and-instruction and four-step chain-of-thought prompts: chain-of-thought led o3 to the event-driven style, and more context helped only for the more complex system. FS26 observes practitioners' prompting: short targeted questions when the model served as an information source, the whole requirements document when it generated artifacts, and prompt-review-revise cycles that added context and constraints. FS27's generation prompt gives an expert-architect persona and asks for a short, unambiguous problem context with metrics, four options in a table with pros and cons, and a suggested answer. FS28 compares plain questions, questions hinting at how components and ensembles are defined, and questions with a paper attached: plain questions failed, hints helped greatly, and the paper helped only when the model was told also to read the specification. FS29 uses one structured single-shot prompt that states design practices (high cohesion, low coupling, domain-driven design), embeds the generated views and the dependency graph, and fixes a JSON output schema. In FS30 a single hand-made example of another system's decomposition removed all missed services and most spurious links compared with zero-shot prompting, though the authors note that the example may steer the output. FS32 gives only the target ADR's title and a selection of earlier ADRs, and finds that what goes into the context matters more than model scale. FS33 keeps one fixed prompt and varies the requirement representation: structured SRS documents helped only large models, while concise requirement lists worked better for smaller ones. FS34 generates each runtime prompt automatically from an architecture specification in a DSL and the current system state; giving a strategy improved all models, step-by-step instructions helped a small model but hindered a reasoning model, and conversation history and summaries did not help. FS35 casts the model as a senior architect and refines its extracted decisions with a critique step whose categories (overlap, fragmentation, missing, noise, scope duplicate) steer the next iteration. In FS36 a single example did not improve service coverage and helped or harmed link recovery depending on the system, and the choice of model mattered more than the prompt. FS39 combines role prompts with a memory of past queries, a free-form reasoning prompt followed by a formatting prompt, and re-prompting with the error message when a generated query fails. In FS40 step-by-step prompts with a fixed answer form were sensitive to wording, and instructions tuned for one model misled another. FS41 uses zero-shot templates with a persona and five problem variables, one of them asking for supporting references. FS42 feeds earlier valid candidates back into the prompt as a parent and inspirations, with design heuristics stated in every prompt. FS45 gives an expert-engineer role, the notation rules, a fixed two-part answer format and one worked specification with its component diagram. FS46 chains two prompts, context then containers, each with a JSON schema, a structured reasoning field filled first, a one-shot C4 example and negative constraints. FS47 builds its knowledge graph through four staged prompts and restricts the analysis agent to query templates. FS48 fills a reusable template of role, goal, backstory, examples, input, task and expected output. FS50 gives each evaluation criterion its own prompt, phrased as the statement to be rated, with rating instructions. FS51 compares zero-shot, static few-shot and similarity-selected dynamic few-shot prompts with reasoning instructions and disambiguation rules. FS52 uses a single zero-shot chain-of-thought template with slots for domain, security attribute, requirements and problem. FS53 decomposes the task into one prompt per template section, each combining a global role and grounding prompt with section instructions, a rule against inventing elements and few-shot skeletons. FS54 uses one fixed template that names the app's architecture and appends the question and the project tree, with question wording piloted on a smaller model. FS55 sends its pattern catalogue with instructions and the repository's IaC files split into chunks over sequential, non-interactive prompts. FS56 asks plain, hinted and paper-supported questions in one context and finds hints on how components and ensembles are realised necessary. FS57 uses a role, problem and ask framework with checks for inconsistency and hallucination and re-prompting until satisfied, and switches the model's persona when progress stalls. TTool-AI splits block-diagram generation into two successive questions and asks for JSON only (FS59); FS60 found that consistency rules included in the request made the model attend to them alone, so checks with and without rules are separate operations. FS61 builds one zero-shot prompt per diagram with a rule-based framework that extracts elements, relationships and UML constraints and rejects prompts below thresholds of completeness and constraint satisfaction. FS62 forges and slices its queries automatically for each feature; FS63 uses role, context and task prompts, places a model-generated definition of terms such as 'service dependency graph' before the question, and replaced 'call' with 'communicate'. FS64 prompts ChatGPT to impersonate a software engineer within one chat that carries the earlier artefacts, and asks for PlantUML for UML artefacts. For serverless applications, prompt format and granularity changed correctness: plain text failed on complex scenarios, and requirements given gradually worked better (FS65). FS66 confirms that rules in the request narrow the model's attention and runs detection twice, with and without rules. FS68 prompts GPT-5-mini zero-shot with only the smell definition and the issue text, without prompt engineering, and finds it barely better than chance. FS67 uses single plain instructions to extract patterns or tactics 'in a form of a table', with prompt optimisation not discussed.</t>
  </si>
  <si>
    <t>Automatic prompt construction. Prompts are written by people for each design situation; FS09 and FS34 assemble them at runtime: FS09 from a fixed template and retrieved monitoring files, with guardrails only in the prompt and no enforcement outside it described, and FS34 from a DSL architecture specification and the current state, with constraints checked outside the model.</t>
  </si>
  <si>
    <t>MAPE-K: the interface between Knowledge and Analyse or Plan, where prompts are assembled from the knowledge base.
Rainbow: strategy templates expressed as prompt patterns.
Models@run.time: prompt context drawn from the runtime model.</t>
  </si>
  <si>
    <t>Prompt patterns whose slots are filled automatically from the runtime model and monitoring data, as FS09's template is filled from its configuration and metrics files and FS34's from its architecture specification and the system state and as FS12 proposes at design time from a decision model, with an explicit method description for any structural planning step, since models hallucinate method steps they are only asked to recall (FS08). Testable by comparing output quality with slots filled automatically against slots filled by an architect.
Risks: prompting is often not reported (FS02: 25% unspecified; FS10 does not describe its prompts); the prompting strategy changes the structure of outputs, so it must be fixed or controlled (FS04); instructions for different roles interfere (FS07); zero-shot outputs vary in structure between runs (FS08); guardrails stated only in the prompt (FS09).</t>
  </si>
  <si>
    <t>FS01, FS02, FS03, FS04, FS05, FS06, FS07, FS08, FS09 (Partial), FS12 (Inferred), FS13, FS15, FS16, FS17, FS18, FS19, FS20, FS21, FS23, FS24, FS25, FS26, FS27, FS28, FS29, FS30, FS32, FS33, FS34 (Direct), FS35, FS36, FS37, FS39, FS40, FS41, FS42, FS43, FS45, FS46, FS47, FS48, FS50, FS51, FS52, FS53, FS54, FS55, FS56, FS57, FS59, FS60, FS61, FS62, FS63, FS64, FS65, FS66, FS67, FS68</t>
  </si>
  <si>
    <t>Grounding is common: retrieval-augmented generation in 20% of sources (FS02); design artefacts and historical architectural knowledge serve as inputs (FS01). Primary studies ground decisions in dependency cohesion computed from code (FS03), give structured architecture documentation from an earlier analysis instead of code (FS04), retrieve similar past decisions as examples (FS05), use a pattern decision tree and curated tool list (FS06), paste full project documentation into the context (FS07), and supply the design method, the prioritised drivers and a document template as files the model reads and updates (FS08). FS09 retrieves the running system's state every round: a configuration file and a report of past metrics. FS10 has the model work from a validated repository summary instead of raw repository content, and proposes retriever agents for past ADRs, diagrams and requirement documents. FS11 preregisters graded knowledge injection, from a general pattern library to project-specific facts and an architect's answers, to measure what each adds, and FS12 injects modelled requirements, constraints and past decisions into prompts and lets the AI query that model on demand through an MCP server. FS13's agents search the web for background knowledge, discarding the URLs of the source posts, because no single database suited the diversity of problems; practitioners want project context supplied instead but find collecting it costly. FS14 proposes three knowledge sources for its agents: designs of existing projects recovered with recovery tools and correlated with measured quality attributes, textbooks, papers and standards parsed with NLP, and experts' tacit knowledge elicited through interviews and the Delphi method, injected through RAG or fine-tuning. FS15 condenses the code to the names of its non-empty packages, which proved a weaker source than the documentation. FS16 retrieves the five code snippets closest to each decision from an embedding index, and its authors see retrieval quality as the main limit on the models' reasoning. FS17 puts a hand-built description of eight canonical architectural patterns into the prompt instead of full retrieval; project-specific component descriptions worked best for complex, mixed-pattern systems and generic ones for simple systems. FS20 grounds each prompt in a formal reference architecture, the concrete architecture in the same modelling language and the violation its conformance checker reported. FS21 gives the model a hierarchical summary of the repository's code, which beat the repository link, a task specification and the folder structure in a pilot, with the concern and behaviour the view must address; view quality was bound by the quality of the summary. FS23 gives the model the computation graph of a running ROS2 system as JSON, the best of the representations it tried, and proposes adding telemetry through RAG or a tool-based agent. In FS26 the designers chose what context to give, from none to the whole requirements document; only four pairs told the model about decisions made outside it, and missing context explained some unhelpful answers. FS28 lets the model read an application's specification and code from the file system and finds the notation decisive: an external DSL and a Python DSL were understood, a Scala DSL was not, and code comments probably helped. FS29 grounds decomposition in a repository summary, generated architectural views and a statically extracted dependency and call graph, the last added to keep the model from inventing entities; neither the summarisation strategy nor the context size made a measurable difference. FS31 proposes grounding model generation and conformance checks in catalogues of architectural design decisions and a formal metamodel. FS32 retrieves the most similar earlier ADRs by embedding similarity; this matched simply taking the most recent ones in aggregate, with an advantage for cross-cutting decisions seen only informally. In FS33, retrieval from textbook chapters split by pattern helped local models most, semantic chunking beat recursive chunking, the embedding model mattered little, and retrieval stopped helping once the prompt exceeded what a model could process. FS34 grounds each runtime decision in the architecture specification (components, ensemble types, constraints, strategy) and the current state of components and environment, without retrieval. FS35 enriches ADRs drafted from meetings by retrieving from other projects' ADRs and the web, which deepened them but imported details that were never discussed. FS38 grounds its agent in a queryable store of design artefacts rather than conversation history, though in the prototype that store lasts only one session. FS39 lets the model retrieve its own context from a property graph of the code through generated Cypher queries, the graph also storing every intermediate result. FS40 compares giving the model the whole workflow specification up front with letting it fetch files by function calls: fetching missed imported workflows, while the up-front mode led it into sub-workflows. FS41 grounds security-pattern recommendations in a corpus built by a systematic mapping, which removed the hallucinated patterns and references of the ungrounded models. FS43 compares giving a diagram as a rendered image or as its SVG or draw.io source, each with the project description, and recommends the rendered image as the primary input. FS44 proposes retrieval-augmented question answering over a knowledge graph of the system's architecture. FS47 builds a provenance-aware knowledge graph of requirement-architecture relations from research papers and explores it by semantic search and graph traversal in an agentic RAG loop. FS48 grounds recovery in a UML blueprint and in JSON inventories of nodes and launch dependencies built before synthesis. FS49 has the model choose among the modules of a product-line reference architecture and plans to ground concern derivation in function descriptions, regulations, the operator's manual and past ADRs. FS50 does without RAG and filters repository files by keywords, accepting that some information may be lost. FS51 retrieves similar annotated decision records as examples and attributes remaining confusions to project context the records lack. FS52 finds retrieval the weak point of its RAG assistant over a security-pattern corpus and proposes re-ranking and hybrid search. FS53 appends the whole flattened repository, with its folder layout and configuration files, to every section prompt instead of retrieving from it. FS54 gives the model only the project's file tree, without code or retrieval, and attributes weaker recall partly to this. FS55 grounds detection in a curated catalogue of pattern descriptions and restricts the input to infrastructure-as-code files, for cost and privacy. FS56 compares giving models a file-reading tool, which they often ignored or used partially, with inlining the code, which worked better until the code exceeded the context window. FS57 grounds its architecture prompt in the outputs of the requirements phase and in named platform and integration constraints, without retrieval. TTool-AI injects knowledge of the expected JSON format and SysML constraints as short input-answer pairs, returns format and constraint errors through an automated feedback loop, and resets the chat after an incorrect model (FS59); FS60 passes diagrams in a condensed textual export that omits the block type, which the model must infer. FS62 also injects knowledge of its mutation language, without which GPT invented a syntax, and compiles generated mutation scripts within the feedback loop; FS63 supplies code and a reconstructed call graph in context one method at a time, cut to controllers and services by the 16k-token limit. FS66 passes a concise list-based export instead of verbose SysML v2 text to limit context size and cost, without block types or tags, and checks generated diagrams in a feedback loop capped at 20 iterations. FS69 grounds its agents in a two-tier memory of commit summaries and in design documents and ADRs fetched through MCP tool servers. FS67 gives the model only the raw code, a whole zipped repository or snippets it asks for, with no architectural knowledge supplied.</t>
  </si>
  <si>
    <t>Source of truth. Retrieval mostly draws on static design knowledge; FS09 retrieves the state of a running system, but as a flat list of settings and metrics rather than an architecture model, while FS34 writes the current component states into each prompt together with the architecture specification; FS23 grounds answers in a structural model taken from running systems, their computation graphs, but at one moment. Retrieved examples carry decisions but not reasoning (FS05).</t>
  </si>
  <si>
    <t>MAPE-K: Knowledge.
Rainbow: the architecture model and style knowledge as its retrieval base.
Models@run.time: the runtime model as the retrieval source, the most direct fit; FS09's configuration file is a minimal one.</t>
  </si>
  <si>
    <t>Retrieval over the runtime model and the adaptation history instead of design documents; FS09 does this over a configuration file and a metrics history, FS34 by writing the current states and the architecture specification into each prompt, FS10 proposes vector retrieval over past decision records, and FS12 on-demand queries of a decision model. Testable by the accuracy of answers about the current system state compared with answers grounded in documentation; FS23 finds such answers highly accurate for explicit facts in a runtime graph and weaker for implicit paths.
Precondition: a queryable runtime model.
Risks: stale retrieval if the model lags the system; pasting full documentation instead filled 75% of a local model's context before any question (FS07); in an agentic IDE, the tool rather than the approach decides what context the model sees (FS08).</t>
  </si>
  <si>
    <t>FS01, FS02 (Partial), FS03 (Partial), FS04, FS05, FS06, FS07, FS08, FS09 (Partial), FS10 (Inferred), FS11, FS12 (Inferred), FS13, FS14, FS15, FS16, FS17, FS20, FS21, FS23 (Partial), FS26, FS28, FS29, FS31, FS32, FS33, FS34 (Partial), FS35, FS38, FS39, FS40, FS41, FS43, FS44, FS47, FS48, FS49, FS50, FS51, FS52, FS53, FS54, FS55, FS56, FS57, FS59, FS60, FS62, FS63, FS66, FS67, FS69</t>
  </si>
  <si>
    <t>Little fine-tuning (FS02: 12%); models are mostly used as they are, cloud models are preferred, and trained machine-learning models drive autoscaling (FS01). FS03 compares five off-the-shelf models, including an open 70B model. No included primary study fine-tunes a model (coded silences in FS03-FS08, FS08 working through agentic IDEs). FS09 compares three small open models as they are: Llama 3.2 (3B) was fastest, DeepSeek-r1 (8B) most accurate, and gpt-oss (20B) took about 180 s to reason. FS09 is also the only primary study that orchestrates several agents at runtime, through voting, role-based and debate coordination, and it finds that agents each responsible for one pattern miss how patterns interact. FS10 divides architecture knowledge management among extractor, retriever, generator and validator agents under an orchestrator, with generator-validator refinement loops of up to three rounds, and FS11 plans a reasoner-assembler-validator loop at each abstraction level. FS13 runs five role-based agents in a single-path MetaGPT pipeline, with no fine-tuning, and finds it best on recall and misleading arguments at up to 20 model rounds per rationale. FS14 proposes four role agents with an evaluation feedback loop and several LLM-based agents per role, with the mechanisms for sharing information, handling conflicts and deciding together still to be designed. FS15 compares eight off-the-shelf models without fine-tuning: OpenAI's closed models did better on average than three locally deployed Llama-based models. FS16 uses a small reasoning model as detector and three other open models as validators of its reasoning, without fine-tuning. FS17's results varied little between GPT-3.5, DeepSeek-V2 and Llama 3 (average score 65-66) but dropped with CodeT5 (62). FS18 finds the smallest model and the one with the least training data worst, the largest models no better than mid-sized ones and a distilled model best, and proposes voting among models whose false answers differ. FS19 and FS37 use one multimodal model, ChatGPT-4o, through its web interface, without fine-tuning; FS43 pools GPT-5 and Claude Sonnet 4.6 used through their APIs. FS20 compares Gemini 1.5 and ChatGPT-4o at default temperatures: Gemini kept to the violation, while ChatGPT more often made changes that were not asked for. FS21 compares three off-the-shelf models, a general-purpose coding agent and a custom multi-agent approach at default settings: the custom agents did best and the general-purpose agent worst. FS22's benchmark sends the same task prompts to any provider's models or coding agents and expects shared architecture datasets to support fine-tuning of architecture-specific models. FS23 compares nine commercial models from four providers at default settings and proposes fine-tuning for reasoning about ROS2 systems. FS24 uses a 7B open model (Mistral 7B Instruct), chosen over Llama 2 7B because it kept better to the instructions. FS25 chains two off-the-shelf models as drafter and refiner in all 81 ordered pairs of nine model-prompt settings and finds the drafter more decisive than the refiner. FS26's participants used GPT-3.5 Turbo through a logging wrapper, and the authors call for repeating the study with a newer model. FS27 has one model generate alternatives and four (GPT-4o, DeepSeek R1, Claude 3.7, Gemini 2.5 Pro) choose among them through their web interfaces. FS28 uses one generic model (GPT-4 Turbo) and plans others, including models trained on ensembles. FS29 compares GPT-5, Gemini 2.5 Pro, GLM-4.6 and DeepSeek 3.2 Terminus at default settings and finds their decompositions remarkably similar (MoJoFM within 0.53 points). FS32 compares Gemini-2.5-Pro, Qwen3-235B, GLM-4.6 and Gemma-3-4B, without adaptation, and finds context strategy more decisive than model scale. FS33 compares quantised local models of 8B-70B parameters with online commercial models and finds that capacity decides pattern adherence as complexity grows. FS34 compares GPT-4o mini, Gemini 2.0 Flash, GPT-4o, Claude 3.7 Sonnet and o3-mini through their APIs; bigger models did better and the reasoning model best. FS35 orchestrates one model (Gemini 3.1 Pro) as a graph of extraction, critique, refinement, retrieval and formatting nodes sharing a state. FS36 compares OpenAI o3, DeepSeek-V3 and Claude 3.5 Sonnet under identical, deterministic settings and finds distinct profiles (coverage, parsimony, precision), proposing ensembles of models. FS38 builds one tool-aware agent on the OpenAI Agents SDK for explicit control of phase transitions, without naming the model. FS40 compares GPT-4o and GPT-4 Turbo with stated versions through LangChain. FS41 uses Gemini and DeepSeek through their web interfaces and NotebookLM as a RAG tool. FS42 embeds GPT-4o-mini in an elitist evolutionary search, with a Lean 4 kernel rejecting invalid decompositions and structural proxies ranking the rest. FS45 abandoned three quantised local models, which drew class diagrams or hallucinated elements, for GPT-4o through ChatGPT. FS46 runs GPT-5.1 on a private EU-hosted instance at temperature 0.01 with a fixed seed, validating its JSON output before rendering. FS47 uses GPT-4o at temperature 0.7 with an embedding model, without fine-tuning. FS48 divides recovery among agents and agent teams calling an external LLM it does not name. FS49 prompts one open model, Llama 3.3 70B Instruct, without reported fine-tuning. FS50 hosts Qwen2 and Llama 3.1 locally behind a client component that decouples its evaluators from the model. FS51 uses GPT-4.1-mini at temperature 0, processing each record independently. FS52 does not name its generating model and scores it with GPT-4 as judge through RAGAs. FS53 chose GPT-5 over Claude Sonnet 4.5, Gemini 2.5 and Mistral Large 2 in a qualitative pilot and does not report its settings. FS54 evaluates one model, ChatGPT 4 Turbo, through the API, without fine-tuning. FS55 uses GPT-4o mini, chosen for cost after informal trials of GPT-4o, Gemini and small local models. FS56 tests two remote OpenAI models and four open models run locally, whose prior knowledge of the component model differed. FS57 uses ChatGPT-4 with plugins through the chat interface, one model playing several roles in turn. FS58's students used ChatGPT with GPT-3.5 and GPT-4, without adaptation. FS59 uses GPT-3.5 Turbo through the API; FS60 generated diagrams with GPT-3.5 and GPT-4 and detected inconsistencies with GPT-4, while naming GPT-4-turbo and GPT-4o elsewhere. FS61 uses GPT-4-turbo alone and notes that students' familiarity with it may have biased their ratings. FS62 adds GPT-4o, which gave better block diagrams than GPT-3.5 Turbo but not better state machines; FS63 uses gpt-3.5-turbo-16k unmodified. FS64 used GPT-3.5 through ChatGPT. FS65 used GPT-4 alone. FS66 repeats FS60's GPT 3.5 and GPT 4 set-up and uses GPT-5.1 for one comparison. FS68 compares LLM embeddings with classical classifiers, a fine-tuned RoBERTa and a zero-shot model, the embeddings with an SVM doing best, and FS69 splits the work between a real-time commit agent and a periodic synthesis agent. FS67 uses ChatGPT through its chat interface, unmodified and with its version not named.</t>
  </si>
  <si>
    <t>Timeliness and dependence. Latency is measured in FS08 (design time) and at runtime in FS09, where coordinated agents needed 30-70 s per round even with small models, and FS34, where one decision took about 10 s with a small model and 30-60 s with a reasoning model for 24 drones; FS10's refinement loops and FS13's agent pipeline (up to 20 rounds per rationale) multiply model calls without any time being reported; reliance on cloud-hosted models is a runtime dependency, and local hosting of a model large enough to be useful needs heavy hardware (FS07); chaining a second model to refine a first model's output, as FS25 does, doubles the calls.</t>
  </si>
  <si>
    <t>MAPE-K: each loop activity could use a separately adapted model; FS09's coordination strategies run several agents inside Analyse and Plan.
Control-theoretic adaptation: FS01's learned autoscalers are the runtime counterpart, but they adapt resources.</t>
  </si>
  <si>
    <t>Small, locally hosted, fine-tuned models for the runtime analysis step, to meet a latency budget. Testable by trading latency against accuracy on the same analysis task, as FS09 does for three untuned open models.
Risks: accuracy loss in smaller models (FS09: the 3B model was fastest but least accurate); coordinating several agents took 30-70 s per round (FS09); the reasoning model decided best but slowest, over two minutes on large inputs (FS34); hardware demands of local hosting (FS07).</t>
  </si>
  <si>
    <t>FS01, FS02, FS03, FS09 (Partial), FS10, FS11, FS13, FS14, FS15, FS16, FS17, FS18, FS19, FS20, FS21, FS22, FS23, FS24, FS25 (Inferred), FS26, FS27, FS28, FS29, FS32, FS33, FS34 (Partial), FS35, FS36, FS37, FS38, FS40, FS41, FS42, FS43, FS45, FS46, FS47, FS48, FS49, FS50, FS51, FS52, FS53, FS54, FS55, FS56, FS57, FS58, FS59, FS60, FS61, FS62, FS63, FS64, FS65, FS66, FS67, FS68, FS69</t>
  </si>
  <si>
    <t>Evaluation is by case study, method proposal and experiment (FS02); the reviews describe their own selection procedures (FS01, FS02). Primary studies evaluate against published ground truth with ANOVA and ablation (FS03), characterise outputs without ground truth (FS04), compare with developer-written decisions (FS05), compare with human participants of an earlier study (FS06), report qualitative observations (FS07), or compare with a proven solution and have four architects rate the design in a scenario-based evaluation, with unattended runs as a lower bound (FS08). FS09 runs a controlled experiment over ten rounds in an emulated federation with changing data and network conditions, repeated ten times, against static, random and rule-based baselines. FS10 runs a blind user study in which 13 participants rated anonymised ADR sets for 29 repositories they knew. FS11 preregisters a staged design with baseline reproduction, hypotheses, paired tests and effect sizes, and an industrial expert study. FS12 grounds its requirements in consultations with practicing architects and action research, with its prompt evaluation still in progress. FS13 compares three prompting strategies on 100 decisions with expert rationale, all created after the models' cut-off dates to avoid leakage, and interviews six practitioners. FS15 reuses an established traceability benchmark of five open-source projects and its baselines' published results, with one-sided Wilcoxon tests against each baseline. FS16 mines 980 ADRs from 109 GitHub projects and measures agreement among four models over 1,317 decisions and accuracy against 305 decisions labelled by three authors. FS17 evaluates on 15 projects, seven of them with ground truths it annotated itself, and on 30 further projects annotated the same way, against seven baselines. FS18 reuses S5's 229 questions and ground truth on HDFS for seven models, with semi-automatic answer extraction, fuzzy matching and manual checking of false positives. FS19 has one expert review a model's assessments of four diagrams from an existing dataset of open-source projects, taking the expert's judgement as ground truth; FS37 does the same for four tool papers, with an author as the expert, not as ground truth but to check the model's claims against the artefacts; FS43 builds reference scores from two of 16 engineers per diagram and adds 253 pairwise comparisons of justifications. FS20 mutates four IoT platform architectures into 16 faulty ones with four violation types and compares each suggested fix by hand with the original architecture. FS21 generates 4,137 views for 340 repositories in 13 configurations against manually coded ground-truth views, with a blinded rating of 110 views by two authors and non-parametric tests with effect sizes. FS22 proposes a shared benchmark platform: tasks from published studies, a pipeline from dataset download through logged inference to automated scoring against ground truth, and a public leaderboard fed by reviewed pull requests; two tasks are scored automatically so far. FS23 generates 29,406 questions with their answers from computation graphs, samples 1,230 for each of nine models, and checks by hand all answers marked wrong and a sample of those marked right. FS24 compares 19 students with and 20 without a mentor, with five raters scoring the architectures on a rubric calibrated to Kendall's W above 0.6, and analyses chat protocols and questionnaires. FS25 selects two systems from 25 GitHub repositories, strips their descriptions of implementation detail and recreates their documented architectures in PlantUML as references. FS26 observes 18 pairs of professionals in a 90-minute remote design session with optional LLM access, coding the LLM logs, video recordings and exit interviews. FS27 compares the choices of four LLMs with those of 23 workshop participants on five model-generated design problems, followed by group discussions. FS28 asks structural and functional questions in three steps about three example applications, checks one application's ensemble predictions against a modified runtime, and repeats the questions on an anonymised version to test for guessing from names. FS29 takes four systems, their reference decompositions and the tools' results from an established benchmark of decomposition tools, runs every model and summarisation strategy once per system, and compares with the tools using Mann-Whitney U and Kruskal-Wallis tests and Cliff's delta. FS30 compares generated microservice architectures with reference decompositions extracted from the systems' code and has experienced architects review the generated and reference architectures blind, with ratings and open questions. FS32 runs four models under eight context conditions on over 4,500 ADRs from 750 repositories (80,000+ generations), scored automatically, with only an informal manual review. FS33 scores about 500 generated diagrams on a 0-5 rubric by its four authors, against reference implementations the authors built, with one run per configuration. FS34 runs its adaptation managers in simulations of two collective adaptive systems, five times per variant, against a rule-based manager written by a domain expert and reinforcement-learning managers. FS35 is a feasibility probe on five meeting transcripts, three rounds per approach, with a participant questionnaire and four senior architects' reference decisions. FS36 compares three models against reference decompositions of two systems, one run per configuration, and reports descriptive results without hypothesis tests. FS38 illustrates feasibility with one screen capture and evaluates nothing. FS39 compares recovered architectures of three C systems with a manual check, a project's documentation and a published decomposition, without a baseline technique. FS40 instantiates 25 questions from test patterns on workflow specifications in three ADL variants and runs each five times against reference answers. FS41 builds five design problems from known security patterns and codes the models' recommendations against them. FS42 measures only internal improvement across generations on 22 story-card datasets, without baselines or expert judgement. FS44 only plans its evaluation, step by step, after a literature review and a taxonomy. FS45 compares diagrams for 12 course exam traces with the professors' solutions, which the authors note are one valid solution among several. FS46 combines interviews with three practitioners, a traceability analysis of the discrepancies they flagged and ten repeated runs per project in an industrial case study. FS47 compares non-experts using its loop with an expert reading papers on one automotive decision, without an LLM-only baseline. FS48 evaluates on one ROS 2 repository against a reference model its authors built. FS49 runs a preliminary evaluation on five functional requirements against allocations from past feature development, without a baseline. FS50 compares three runs on each of two contrasting projects with the ratings of two architects, without an official reference evaluation. FS51 calibrates its classifier on 200 decision records labelled by two authors, against an embedding-based baseline. FS52 evaluates five questions built from randomly selected patterns against reference summaries, stating hypotheses it does not test. FS53 has 22 participants, mostly academics, each rate the documentation generated for a repository they contributed to, without a baseline or ground truth. FS54 asks open-ended questions at six Bloom levels about one small project built by the first author and novices, without a baseline or human comparison. FS55 runs its detector three times on 22 top-starred microservice repositories and has one researcher judge whether each detected pattern is present, without assessing recall. FS56 structures its questions as structural or functional and qualitative or quantitative, checks ensemble formation against a modified runtime for one application, and tests an anonymised application. FS57 recreates a system its team had already built and shows the generated and human-made architecture diagrams side by side. FS58 surveys seven novice students before and after three months of project work with ChatGPT. FS59 compares TTool-AI's diagrams for three system specifications with those of about 15 master's students; FS60 checks two generated block and two use case diagrams for each of three systems in all pairings. In FS61, 121 students at three universities rated generated and textbook diagrams for one system element by element. FS62 adds two exam specifications graded against student cohorts with GPT-4o; FS63 asks 33 questions about one benchmark system under three knowledge-base conditions, each run three times. FS64 takes one completed student project as the oracle, judged by three authors. FS65 reports a preliminary experiment on three serverless scenarios without data. FS66 reuses FS60's three systems and adds three author-designed variants of one model for its graph method. FS68 labels issues through a smell-to-issue traceability chain on three GitLab projects and tests within-project, with and without pre-implementation comments, and across projects; FS69 reports eight weeks of production use, each drift flag checked by trace rules and architects, plus a demonstration with synthetic ADRs. FS67 analyses five open-source systems against Archie but reports results for Apache Flink only, with true and false positives judged by the authors.</t>
  </si>
  <si>
    <t>Evaluation over time. 93% of sources report no validation of output (FS02); evaluations are one-off, against a known answer or by expert or user judgement (FS08, FS10), while adaptation must be judged over time under changing conditions; only FS09 and FS34 do so, in set-ups of their own (an emulated federation, simulated collective adaptive systems) rather than established exemplars. Expert judgement is also costly: 8-10 hours per evaluator for seven drivers (FS08).</t>
  </si>
  <si>
    <t>MAPE-K: the loop, not single outputs, is what must be evaluated.
ActivFORMS: verification before execution rather than evaluation after the fact.</t>
  </si>
  <si>
    <t>Evaluate LLM-based adaptation on established self-adaptive exemplars over repeated runs with injected changes, reporting the correctness of adaptations over time, with static, random and rule-based baselines as in FS09, or rule-based and reinforcement-learning ones as in FS34; a task plugin in a shared benchmark platform such as FS22's could make such exemplar tasks comparable across models.
Precondition: exemplars with ground truth for adaptation decisions.
Risk: expert judgement does not scale to repeated runs (FS08).</t>
  </si>
  <si>
    <t>FS01, FS02 (Direct), FS03, FS04, FS05, FS06, FS07, FS08, FS09 (Partial), FS10, FS11, FS12, FS13, FS15, FS16, FS17, FS18, FS19, FS20, FS21, FS22 (Inferred), FS23, FS24, FS25, FS26, FS27, FS28, FS29, FS30, FS32, FS33, FS34 (Partial), FS35, FS36, FS37, FS38, FS39, FS40, FS41, FS42, FS43, FS44, FS45, FS46, FS47, FS48, FS49, FS50, FS51, FS52, FS53, FS54, FS55, FS56, FS57, FS58, FS59, FS60, FS61, FS62, FS63, FS64, FS65, FS66, FS67, FS68, FS69</t>
  </si>
  <si>
    <t>Accuracy and usability are measured (FS02); cohesion and coupling judge decompositions (FS01). Primary studies use architecture-similarity metrics against ground truth (FS03), structural metrics such as communication density (FS04), text-similarity metrics with a rubric (FS05), ordinal ratings with a penalty-based distance (FS06), and equivalence of decisions with a reference solution, expert ratings of driver satisfaction and completeness counts (FS08). FS09 judges runtime decisions indirectly, through system metrics (accuracy, time, reasoning time) and a score weighting accuracy and time equally, since there is no ground truth for decisions. FS10 uses 1-5 ratings of relevance, coherence, completeness and conciseness, reported as averages without statistical tests; FS11 plans structural and assignment metrics against ground truth together with evidence coverage and the rate of unsupported claims; FS12 judges responses on YAML validity, plausibility, relevance and actionability. FS13 scores arguments against expert rationale with weighted precision, recall and F1, classifies them as insightful, helpful, uncertain or misleading, and rejects BLEU, ROUGE and METEOR, which gave very low scores in a pilot. FS15 judges its extracted architecture models only through the trace links they enable (precision, recall and F1, macro and link-weighted), since the models have no gold standard of their own. FS16 reports Fleiss' kappa, pairwise Jaccard similarity, accuracy, MCC and macro- and micro-averaged precision, recall and F1 per label. FS17 uses the recovery metrics MoJoFM, a2a, ARI, a2a_adj and c2c_cvg against ground truth, as FS03 does, without statistical tests. FS18 scores answers by precision and recall and compares models' responses by BERTScore and by the true and false answers they have in common. FS19 records the model's three-level rating per criterion and whether an expert agrees, partially agrees or disagrees, with no quantitative measure; FS37 counts the expert's classifications (8, 6 and 6 of 20) and the spread of the model's ratings; FS43 binarises 1-4 scores for precision, recall and F1, adds quadratic weighted kappa and bootstrap intervals, and tests preferences with a chi-square test. FS20 classes each suggested repair as a correct match (any admissible fix), a wrong match (introducing another violation) or an undesired action (unrelated or trivial changes), and reports the share of correct matches. FS21 splits FS19's criteria between an LLM judge (clarity, completeness, consistency) and human raters (accuracy, level of detail), adds image similarity (SSIM), and finds SSIM misleading, since a view can look like the ground truth yet be semantically wrong. FS22 picks metrics per task (text similarity for ADRs, set-based precision and recall for trace links, test pass rates and code metrics for generated code, optionally an LLM judge) and notes that they may not capture architectural or design quality. FS23 measures binary accuracy against generated answers, output tokens, the perplexity of explanations under GPT-2 and the topics they mention. FS24 scores students' architectures 0-2 on eleven rubric categories, among them components, relationships, responsibilities, clarity, quality concerns and the alignment of text and diagram. FS25 counts matched components and connections (names matched by hand) for precision, recall and F1, and computes a tree edit distance on XMI, which penalised plausible additions such as an API gateway. FS27 counts agreement among the models' choices and shows the spread of human choices, without statistical tests. FS28 plans to score quantitative questions by counts or yes-no answers and qualitative ones by human judgement, but reports its results descriptively. FS29 reuses the benchmark's metric suite (MoJoFM against the reference, cyclic independence, modularity, business context purity, domain independence and team contribution) and counts tokens, with no human assessment. FS30 counts correct, missing and extra services and inter-service links (precision, recall, F1) and has experts rate correctness, completeness, modularity and plausibility. FS32 scores ADRs by BERTScore, BLEU, ROUGE and METEOR against the human records and notes that these measure replication fidelity, not documentation quality. FS33 uses pattern-specific rubric dimensions (adherence, relationships, cohesion and coupling, data ownership and consistency, communication) and six microservice metrics computed by hand. FS34 measures the damage an adaptation lets happen and the steps to a goal, constraint violations and retries, the share of components actually used, reasoning tokens, response time and cost. FS35 prefers human-centred criteria: stability across rounds, template adherence, signs of hallucination, participant ratings and coverage of experts' decisions. FS36 scores services and directed links by precision, recall and F1 and proposes graph edit distance, cycle counts and hub centrality. FS39 counts recovered components' functions per gold-standard component, without a recovery metric or statistics. FS40 pairs each question pattern with a metric (Jaccard index, binary correctness, ROUGE-1 recall or BERTScore) and finds that neither text metric separates correct from incorrect free-text answers. FS41 judges outputs qualitatively as correct, different or hallucinated, and plans RAGAS. FS42 scores decompositions by the share passing formal invariants and by cohesion, granularity and coupling proxies. FS45 formalises component diagrams as graphs and derives syntactic, semantic and complexity indicators against a ground truth, separating elements the specification states from those domain knowledge implies. FS46 measures stability by node and edge counts and their coefficients of variation, and accuracy only as practitioners perceive it, since recovery lacks a ground truth. FS47 measures time, coverage of an expert's comparison points, new points and agreement with the expert's impact labels. FS48 compares canonicalised model elements with a reference and macro-averages precision, recall and F1 over element types. FS49 reports classification accuracy per requirement without defining it for requirements that map to several modules. FS50 measures run-to-run consistency, deviation from the human rating in percent, which it does not define, and processing time. FS51 measures agreement with human labels but gives it only as a range, without inter-annotator agreement. FS52 scores faithfulness, answer relevance, context precision and context recall with an LLM judge against a 0.85 threshold from practitioner guides. FS53 reports frequencies on 25 Likert items about value, comprehensibility and accuracy, with open answers coded by two authors, and time and cost per repository. FS54 grades answers correct, partially correct or incorrect and reports the mean per Bloom level, warning against averaging levels of unequal size. FS55 reports pooled precision of detected pattern instances over repositories and runs. FS56 reports its results descriptively with listings and no counts, after setting aside answers where the tool was ignored or the code did not fit the context. FS57 has 11 evaluators rate outputs on Likert scales, but rates the architecture diagram together with code, where most answered N/A, and reports the result only as positive once N/As are excluded. FS58 reports agreement counts on survey statements, including five on architecture. FS59 grades diagrams out of 100 on adequacy to the specification, simulated behaviour, structure, naming and syntax, alongside generation time; FS60 counts inconsistencies detected, erroneous and corrected. FS61 defines a completeness ratio and a constraint-satisfaction score and tests student ratings with paired t-tests, Wilcoxon signed-rank tests and Cohen's d on pooled element scores. FS62 grades out of 10 on completeness, abstraction and use of the language; FS63 scores answers with F1 against answers taken from the code and compares knowledge bases with Friedman tests, with precision and recall defined the wrong way round. FS64 rates the effort to reach an acceptable artefact as low, medium or high from the number of prompts and manual corrections. FS66 counts the same quantities, adds detected, erroneous and missing counts for its graph method, and does not measure false negatives. FS68 reports precision, recall and F1 for the smell-inducing class only, because that class is rare, and FS69 reports a true-positive rate and time to flag but no recall. FS67 counts true and false positives with precision, recall and accuracy, omits F1, and presents each tool's share of the combined true positives as a detection rate.</t>
  </si>
  <si>
    <t>Adaptation metrics. There is no standard metric even for design outputs (FS01, FS02); adaptation outcomes are measured only by FS09, through system metrics and a weighted score, and by FS34, through damage and goal attainment in simulation, with no measure of whether each decision was right; text-similarity metrics cannot tell architectural reasoning from paraphrase (FS05) and scored differently worded rationale very low (FS13); an expert reference is incomplete, so precision against it understates correct output (FS13); document length and diagram counts measure completeness, not correctness (FS08); and an extracted model may be judged only by the downstream task it enables, not as a model (FS15).</t>
  </si>
  <si>
    <t>MAPE-K: Analyse needs a utility or goal-satisfaction measure.
Rainbow: utility-based strategy selection needs the quality dimensions the corpus rarely measures; FS04's structural metrics could serve as constraints, FS08's ratings, one per quality attribute scenario, resemble utility dimensions, and FS09's efficiency score is a utility function over accuracy and time.</t>
  </si>
  <si>
    <t>Measure adaptation outcomes directly: goal satisfaction after adaptation, time to adapt and the share of proposals rejected by the constraint check; FS34 reports goal attainment, response time and retry rates, which are this share.
Risks: quality attributes such as modifiability are rarely measured (FS02); a fluent but architecturally wrong output would pass text-similarity metrics (FS05); the weights of a composite score decide which strategy looks best (FS09 used equal weights).</t>
  </si>
  <si>
    <t>FS01, FS02, FS03, FS04, FS05, FS06, FS08, FS09 (Partial), FS10, FS11, FS12, FS13, FS15, FS16, FS17, FS18, FS19, FS20, FS21, FS22, FS23, FS24, FS25, FS27, FS28, FS29, FS30, FS32, FS33, FS34 (Direct), FS35, FS36, FS37, FS39, FS40, FS41, FS42, FS43, FS45, FS46, FS47, FS48, FS49, FS50, FS51, FS52, FS53, FS54, FS55, FS56, FS57, FS58, FS59, FS60, FS61, FS62, FS63, FS64, FS66, FS67, FS68, FS69</t>
  </si>
  <si>
    <t>Replication packages are published by FS02, FS03, FS04, FS05, FS06, FS08, FS09, FS10, FS13, FS15, FS16, FS17, FS18, FS19, FS21, FS22, FS23, FS24, FS25, FS27, FS28, FS29, FS30, FS32, FS33, FS34, FS35 and FS36 (FS12 publishes its prompt template and six LLM responses), FS01 publishes its study list, and FS07 prints its prompts in full. Cost is reported by FS03 (tokens, linear in project size) and FS08 (about 8.3 million tokens, about 12 dollars, for one design); time is reported by FS08 (about 20 minutes per design iteration) and FS09 (30-70 s of agent reasoning per round at runtime), FS04 does not name its models, and FS10 names its models and the date of selection but gives no prompts, settings, cost or run time, and FS11 promises open-source tools and scripts but names no model. FS13 names exact model versions and publishes its data and evaluation results, but gives no temperature, number of runs, cost or latency, only that an agent-generated rationale can take up to 20 model rounds. FS15 fixes temperature at zero and the seed for replication but reports no cost or time. FS16 gives model versions and sampling settings for its open, locally run models, but not the run time of its supercomputer runs. FS17 reports processing time growing linearly with project size (about 3.3 s per file with a local 16B model) but not the cost of its hosted-model runs. FS18 shares all responses and scripts and names its hardware and 4-bit quantisation, but gives no sampling settings. FS19 prints its prompt in full but gives no model version, settings, runs, time or cost, only that it used the web interface in late 2024. FS37 prints its prompt and tabulates the model's output per criterion, used the web interface with default settings and one pass per case, and links no replication package. FS43 shows a prompt and shares a replication package, but reports no settings, time or cost and leaves run-to-run variability unquantified. FS20 prints its prompt skeletons and names its two models, with temperatures left at the defaults, but shares no data and reports no runs, time or cost. FS21 names its models and context lengths but not the model it uses as judge, and reports no run time or cost. FS22's benchmark tool is open source with an archived release and logs every prompt, response, token count and latency. FS23 reports prices per million tokens and output tokens per response, but not run time. FS24 shares its prompt, application, questionnaire and test statistics, but reports no settings, latency or cost. FS25 reports its sampling settings and token limits but not the number of runs, time or cost. FS26 shares its requirements document, interview questions and codebooks and names the model, but not its settings or the conversation logs. FS27 shares its questions, model answers and workshop results but used web interfaces and reports no settings or runs. FS28 records and shares all questions, answers and the files the model read, and names the model version, but not settings, time or cost. FS29 pins repository commits and library versions, reports tokens per summarisation strategy (hierarchical summarisation cost three to four times more for no gain) and shares its data, but reports no run time or money cost although its efficiency question names time. FS30 releases its requirements, prompts, outputs and evaluation forms and states a fixed temperature, but not its value, the number of runs, time or cost. FS32 shares data and scripts and reports output token counts, but not sampling settings, runs, input tokens, time or cost. FS33 publishes all prompts, inputs, retrieval sources and outputs but reports no settings, time or cost. FS34 reports response time per decision, reasoning tokens and money cost per run of 30 decisions (about $0.01-0.42 with GPT-4o mini, $0.55-4.63 with o3-mini), names model versions and publishes its framework. FS35 shares its artefacts and code and names its model, but reports no settings, time or cost. FS36 fixes decoding (temperature 0, top-p 1) and token budgets and shares its materials, but reports no time or cost. FS38 links its prototype's code but names no model and reports no prompts, settings, time or cost. FS39 reports run times and shows its prompts, but names no model and shares no code. FS40 gives model versions and five repetitions and shares a replication package, but reports no settings, time or cost. FS41 names model versions and shares scripts, data and its corpus, but reports no runs, time or cost. FS42 reports its model, temperature and search settings and shares a reproducible package, but not tokens or cost. FS45 gives its full prompt and model version, but not the number of generations per trace, settings, time or cost, and does not release its traces. FS46 reports its model version, temperature and seed and archives code and prompts, but not tokens, time or cost, and cannot share its company data. FS48 publishes its case-study repository and reference model but does not name its LLM or report settings, runs or cost. FS50 lists its 25 prompts and reports processing times similar to the architects' (68 against 60 and 14 against 22 minutes), but names neither its projects nor its model settings. FS51 publishes its data, code and prompt evolution but not tokens or cost. FS52 gives its settings and script but not its generating model, runs or cost. FS53 reports time and API cost per repository and shares its tool, outputs and survey data, but not its model settings or number of runs. FS55 runs each repository three times because outputs vary and reports a total cost of about US$2, but not its settings, prompt or time. FS56 shares all questions, responses and file accesses but not settings, runs, time or cost. FS58 shares its questionnaires but not the students' conversations or the architectures they produced. FS59 shares its specifications, models and result sheet publicly but not who graded, the settings or the number of runs; FS60 archives its models on Zenodo but reports no settings, runs, time or cost; FS61 shares its survey and prompts but not settings, runs, time or cost. FS62 shares its models and gradings but not graders, settings or runs; FS63 shares its questions, answers and code but not its settings or the number of evaluators. FS64 gives its prompt template but not its conversations, artefacts, settings or time. FS65 reports no prompts, outputs, settings or runs. FS66 shares its data and prompts but not settings, runs, time or cost. FS68 shares its code, data, hyperparameters and prompt template but not run time, cost or sampling settings; FS69 gives seconds per commit and 12 minutes to a flag but not its model, settings or cost. FS67 states its data are on 4TU through a private link and reports no model version, settings, runs, time or cost.</t>
  </si>
  <si>
    <t>Timeliness and cost. At runtime, FS09's 30-70 s of reasoning per round exceeded a whole round in text classification by the reported averages, and FS34's decisions took from about 10 s to over two minutes depending on model and problem size; FS34 is the only study that reports the money cost of runtime use.</t>
  </si>
  <si>
    <t>MAPE-K: the timeliness of each loop activity.
Control-theoretic adaptation: settling time as the measure of how fast a loop converges.</t>
  </si>
  <si>
    <t>Report latency per loop activity and cost per adaptation, alongside accuracy; FS09 reports reasoning time per round and strategy, but not per activity, FS34 response time, reasoning tokens and cost per decision and run, and FS22's benchmark logs tokens and latency for every inference.
Risks: cloud-hosted models make latency and cost vary between runs; at FS08's scale (minutes and dollars per design) only a slow outer loop is affordable, and even FS09's reasoning, in seconds, can exceed a short round.</t>
  </si>
  <si>
    <t>FS01, FS02, FS03, FS04, FS05, FS06, FS07, FS08, FS09 (Partial), FS10, FS11, FS12, FS13, FS15, FS16, FS17, FS18, FS19, FS20, FS21, FS22 (Inferred), FS23, FS24, FS25, FS26, FS27, FS28, FS29, FS30, FS32, FS33, FS34 (Direct), FS35, FS36, FS37, FS38, FS39, FS40, FS41, FS42, FS43, FS45, FS46, FS48, FS50, FS51, FS52, FS53, FS55, FS56, FS58, FS59, FS60, FS61, FS62, FS63, FS64, FS65, FS66, FS67, FS68, FS69</t>
  </si>
  <si>
    <t>Multi-agent frameworks are seen as necessary for complex architectures (FS02). Three included primary studies are built on agents: in FS09, several LLM agents, coordinated by voting, roles or debate, decide the architecture of a running system, which its authors see as agents moving from decision support into systems; in FS10, extractor, retriever, generator and validator agents recover and document the architecture knowledge of a code repository, replacing a single prompt; in FS13, five agents in a single-path pipeline (identify aspects, gather web knowledge, analyse, review, weigh trade-offs) write the rationale of a given decision, with higher recall and fewer misleading arguments than zero-shot or chain-of-thought prompts, at up to 20 model rounds per rationale. A vision paper proposes agents that simulate the roles of the design process (analyst, modeler, designer, evaluator) as the answer to hallucination under zero-shot prompting, with dynamic agent configurations as future work (FS14). FS16 gives four models fixed roles, one detecting decision violations and three validating its reasoning, and proposes cross-model ensembles, without agents. FS11 notes that the gains of agentic systems are hard to attribute to the knowledge injected into them, and FS12 places skills for agentic tools beside chat prompts. FS01 reports no agents; FS03 notes that related work is moving towards agents while its own pipeline stays a fixed prompt sequence, and FS08, which runs its prompts in agentic IDEs, is migrating its method to an agentic architecture packaged as a reusable skill, keeping the human in the loop, unlike the multi-agent MAAD (FS14). A custom multi-agent approach generated better architecture views from code than prompting three LLMs, and a general-purpose coding agent did worst, from which the authors conclude that specialised agents are needed (FS21). A benchmark platform plans sandboxed environments for tool-using coding agents, expecting GenAI to propose architectural changes ever more autonomously (FS22). FS34 uses one model in its runtime loop and proposes a code-interpreter tool and division of large problems among agents coordinated by another as remedies for laziness. FS35 replaces single-pass prompting with a graph of extraction, critique, refinement, retrieval and formatting nodes to cope with long, noisy meeting transcripts. FS38 presents an agentic framework as the alternative to prompt-based assistants and plans one agent per design-science phase. FS39 calls earlier LLM-based recovery passive and has the model explore a code knowledge graph iteratively through its own queries. FS40 has the model decide which workflow specifications to fetch through function calls. FS44 proposes an LLM agent that watches repositories, triggers trace link recovery and checks consistency on every change. FS47 runs its trade-off analysis as an agentic think-act loop that expands a knowledge-graph subgraph with query templates. FS48 stages architecture recovery across separate agents for nodes, launch files, components and the system. FS58 plans to optimise ChatGPT as a development bot with multiple agents. FS69 runs choreographed asynchronous agents with tiered memory and MCP tools continuously across an organisation's repositories.</t>
  </si>
  <si>
    <t>Decomposition of the agents. Agents now run inside a loop over a running system (FS09), but they are divided by coordination style or by pattern, not by loop activity, and agents that each owned one pattern missed how patterns interact (FS09). FS10 divides its agents by stage (extract, retrieve, generate, validate), which is closer to loop activities, but over a repository at design time. FS13 divides them by reasoning step, as an architect weighs a decision, and found in pilots that richer interaction between agents did not greatly improve the output. FS14 divides them by the roles of the design process, with an evaluator returning each mismatch to the agent responsible. FS21 divides its agents by production step (prompt building, generation, rendering with a compiler-feedback loop). FS34 proposes dividing a runtime decision geographically or by ensemble category among agents.</t>
  </si>
  <si>
    <t>MAPE-K: agents mapped one to one onto loop activities.
FORMS: coordination between several adaptive units, the natural reading of cooperating agents.</t>
  </si>
  <si>
    <t>Map agents to loop activities (monitor, analyse, plan) or to adaptive units rather than to design roles or single options. Testable by comparing FS09's role-based and voting decompositions with a loop-based one on the same exemplar, using its public artefact; FS10's stage-based pipeline and FS13's analyse, review and trade-off sequence are design-time templates for the loop-based one, and FS14's evaluator, which traces a mismatch to the agent responsible, suggests how a loop could attribute a failed adaptation to its analysis or its plan.
Risks: the evidence on agents at runtime comes from one study (FS09), with three patterns and five clients; each added agent multiplies model calls (up to 20 rounds per rationale in FS13).</t>
  </si>
  <si>
    <t>FS02, FS08, FS09 (Partial), FS10 (Inferred), FS11, FS12, FS13 (Inferred), FS14 (Inferred), FS16, FS21 (Inferred), FS22, FS34, FS35, FS38, FS39, FS40, FS44, FS47, FS48, FS58, FS69</t>
  </si>
  <si>
    <t>UML is the most used notation and five sources use model-driven engineering (FS02); requirements are turned into formal models (FS01). FS04 captures generated architectures as a machine-readable CSV, FS06 asks for JSON output that a design tool can consume, and FS08 writes the whole architecture as markdown with Mermaid diagrams, chosen as more effective than PlantUML, so that one document serves people and the model. FS09 keeps the running architecture's configuration in a machine-readable file, with each pattern a component switched on or off, which the agents read and overwrite. FS11 specifies C4 views in PlantUML because its formal notation is precise and tool-interpretable, the opposite choice to FS08's Mermaid. FS12 keeps architectural knowledge as machine-readable YAML and Markdown under Git with a decision dependency graph that drives prompt generation, and asks for schema-validated YAML answers. FS14 specifies agents that produce conceptual logical and physical views and then UML class, sequence and deployment diagrams as blueprints for code generation. FS15's extracted component names form a simple architecture model that a model-based traceability tool consumes in place of a manual one, and the authors note that a model's purpose decides what it must contain. FS20 combines a model's reasoning with architectures formalised as (meta)models: the model reads a reference architecture and a concrete architecture written in a metamodel-based language and returns a corrected version in the same language. Generated views were formal PlantUML while real-world views are mostly semi-formal or informal, a gap the authors see as limiting practical use and that their notation-agnostic agent narrows (FS21). A model understood ensemble-based architectures specified in an external architecture DSL and a Python DSL but not in a Scala DSL, so the notation in which an architecture is given matters (FS28). FS31 proposes that the model write architecture models as code conforming to a formal metamodel (CodeableModels in Python), from which UML views are generated, so that later pipeline stages can process them. FS33 requests architectures as diagram-as-code (PlantUML) for machine-readable output and proposes architecture-as-code, from which diagrams and metrics can be derived by tools. FS38 generates architecture-as-code rendered with Mermaid and PlantUML, meant to complement MBSE, C4 and Structurizr. FS39 exports recovered component trees as PlantUML component diagrams. FS40 aims at an LLM-friendly ADL, whose syntax and metadata are chosen so that models interpret architectures correctly, comparing three variants of a workflow ADL as a first step. FS42 checks generated decompositions with an executable Lean 4 kernel over an explicit structural abstraction. FS45 generates component diagrams as PlantUML text and reads each as a formal graph to compute its indicators. FS46 forces schema-conformant JSON, validates it and only then converts it to PlantUML C4 diagrams. FS48 validates recovered PlantUML models against a UML-based blueprint and plans to formalise it as a profile or metamodel. FS53 binds generation to a template drawn from ISO/IEC/IEEE 42010, Views &amp; Beyond and C4 and generates diagrams as PlantUML, which participants still found the most error-prone part of the output. FS55 reads architecture from infrastructure-as-code artefacts, deployment and configuration descriptors in which microservice patterns show more plainly than in code. FS56 finds an external DSL understood best and a Python-based internal DSL better than a Scala-based one, whose code models wrongly assumed to use Akka. TTool-AI draws generated designs directly as SysML models in a model-based systems engineering toolkit, where they can be simulated and verified (FS59), and FS60 handles consistency between use case and block views inside the same toolkit. FS61's model emits PlantUML code rendered as diagrams. FS62 plans to have the model generate CTL* properties from models and requirements inside the same toolkit. FS64 requested UML artefacts in PlantUML, which was also needed to reach an acceptable subsystem division. FS66 formalises cross-view rules and proves a correspondence between design models and dependency graphs, combining formal methods with the LLM.</t>
  </si>
  <si>
    <t>Life of the model. Formal artefacts are design-time outputs, 74% of sources use no modelling language (FS02), and only two of six models kept to a required JSON format (FS06). Diagrams as text are readable by people and models alike, but have no metamodel that a loop could check a change against (FS08). FS09's runtime artefact is a flat list of settings, with no architecture model or metamodel behind it, whereas FS34 generates its runtime prompts from an architecture specification in a DSL with components, ensemble types and constraints. FS10 proposes drawing diagrams as images with an image-generation model, which no loop could read.</t>
  </si>
  <si>
    <t>MAPE-K: Knowledge, if the models were kept.
Rainbow: the architecture model it depends on would come from here.
Models@run.time: the natural bridge, with generated models kept at runtime and causally connected.
EUREMA: generated models could become parts of an executable megamodel.</t>
  </si>
  <si>
    <t>Generate runtime models, not only design diagrams: the model a language model produces is the one the adaptation loop reads and changes, as FS09's agents do with a configuration file; FS15 shows a model-based tool working as well from an LLM-extracted component model as from a manual one, and FS20 shows models repairing an architecture written in a metamodel-based language, the form the runtime model would take.
Precondition: a metamodel for the runtime model; FS31 proposes exactly this pattern at build time, a model writing metamodel-conformant model code.
Risks: the model-to-system direction of the causal connection; output-format compliance (FS06).</t>
  </si>
  <si>
    <t>FS01, FS02 (Partial), FS04, FS06, FS08, FS09 (Partial), FS11, FS12 (Inferred), FS14, FS15 (Partial), FS20 (Partial), FS21, FS28, FS31 (Inferred), FS33, FS38, FS39, FS40, FS42, FS45, FS46, FS48, FS53, FS55, FS56, FS59, FS60, FS61, FS62, FS64, FS66</t>
  </si>
  <si>
    <t>Generative AI supports the architect and does not replace them (FS02); AI is expected to join the architect's standard toolkit (FS01). The architect's effort moves from refining recovery results by hand to reading a refined hierarchy (FS03), generation is framed as exploratory, to be compared with architects' own reasoning (FS04), the person completes the model's draft rationale (FS05), the model can take the human's seat in a decision method (FS06), AI tutoring is aimed at novice architects (FS07), and the architect becomes an in-the-loop reviewer of a model called a good co-architect, catching what the model missed (FS08). At runtime, an agent is cast as the system's architect, and the human architect's role moves to choosing how the agents coordinate (FS09); the architect configures and supervises an agent workflow for architecture knowledge, with an architect-in-the-loop model planned (FS10); FS11 will test whether bounded questions to an architect raise perceived controllability and acceptance, and FS12 expects specifications to remain, at a rising level of abstraction, with the architect relieved of prompt writing. Practitioners see generated rationale as a supplement to their own understanding, to be validated by them, and the new work falls on them: collecting and supplying project context (FS13). A vision paper would automate the architect's roles altogether, with architects contributing knowledge through interviews, workshops and Delphi rounds rather than reviewing the design (FS14). FS16 casts the models as second readers that flag potential violations for architects, with human oversight kept for decisions that depend on implicit constraints and system behaviour. FS17 presents fully automated recovery as removing the hundreds of hours of manual work it would otherwise take architects. FS18 leaves engineers to filter and verify LLM answers about an existing architecture. FS19 calls human oversight indispensable and proposes the model as a first reviewer of diagrams in architecture-centric workflows; FS37 treats its feedback as hypotheses the architect triages as agree, partially agree or disagree, acting only on reasoned, artefact-grounded agreement; FS43 has the model score and flag items for architects to validate or reject. FS20 leaves the choice among valid repairs of a violation, and the approval of each, to the architect. FS21 positions LLMs and agents as assistive tools rather than autonomous architects, their views being starting points for documentation that people review. FS23 advises caution with system-level entities and consulting several models, and plans human verification of answers. FS24 keeps the student as designer, with the model as a mentor that asks and suggests, and argues that LLMs add to teaching rather than replace it. FS25 wants an architect to spell out the steps of synthesis, evaluate the model's proposals and decide which patterns to keep. In FS26 designers treated the model's output as a straw man to debate, valued their human partner over the model alone, and wanted to stay in control. FS27 concludes that architects must make the decisions, using models for divergent thinking, generating options, and keeping the convergent choice for themselves. FS29 wants architects to review and refine model decompositions and proposes interactive workbenches in which they inspect generated views and guide decomposition step by step. FS30 proposes human-in-the-loop workflows in which architects refine generated decompositions and feed their corrections back to the model. FS34 leaves the human the architecture specification and a natural-language strategy, and proposes that people inspect and edit the model's textual inputs and outputs and that the model ask an operator about a small, critical part of a decision when uncertain. FS35 keeps stakeholders reviewing its ADR drafts and plans controls for them to confirm decision status and split, merge or reclassify decisions. FS36 proposes uncertainty-aware workflows that surface low-salience services and weakly supported links for the architect's confirmation. FS38 divides responsibilities per activity, the architect defining goals and constraints and validating, the agent structuring input, generating candidates and checking consistency. FS44 calls for interaction patterns that draw architects in only for critical conflicts, mindful of their workload. In FS46 the architect's work shifts from drawing diagrams to validating the discrepancies they expose, which depends on tacit knowledge of the system. FS47 aims to let non-experts carry out trade-off analyses under human supervision. FS49 plans a user interface for architect-AI collaboration in which AI insights are transparent, justified and traceable, to counter deskilling and support learning. FS50 moves from quality statements for buyers to feedback for architects and sees plugins in their design tools. FS51 sees tools that suggest missing sections of decision records and help architects write them from project context. FS53's participants ask for human input and cross-checks with existing documentation, and its authors plan human-in-the-loop refinement. FS54 sees LLMs helping novices learn a complex architecture while human expertise judges their recommendations. FS55 plans to compare its detections with what practitioners know of their systems and expects it to open pattern detection to more developers. FS57 expects novices to gain knowledge and experts to offload low-value work, with ChatGPT as a facilitator across the life cycle. FS58 finds that ChatGPT filled novices' skill gaps, while its students feared that over-reliance would hinder their learning. FS61 concludes that generated diagrams need human validation and calls for hybrid human-LLM modelling, the model covering structural breadth and people supplying notational and semantic precision. FS64 frames its findings as a balance between AI support and human oversight. FS68 leaves the response to its warnings to the team and cannot tell deliberate trade-offs from accidental decay; FS69 sends drift to developers on their pull requests and lets architects review flags and query development activity in natural language.</t>
  </si>
  <si>
    <t>Timing of human involvement. At design time the human validates each output or step (FS08), which a runtime loop cannot wait for; at runtime, FS09 removes the human from each decision and leaves the architect the choice of coordination strategy and the prompt's guardrails, and FS34 leaves the human only the specification and the strategy.</t>
  </si>
  <si>
    <t>MAPE-K: the human as a source of goals and approvals in Knowledge.
Three-layer: the human belongs at goal management.</t>
  </si>
  <si>
    <t>Move the human from validating each output to supervising goals and constraints, with the loop acting inside them, as FS09's architect sets guardrails and a coordination strategy and FS34's writes the adaptation strategy in natural language, and keep human review for structural decisions, where domain expertise mattered (FS08).
Risk: trust has to be established first (FS02).</t>
  </si>
  <si>
    <t>FS01, FS02, FS03, FS04, FS05, FS06, FS07, FS08, FS09 (Partial), FS10, FS11, FS12, FS13, FS14, FS16, FS17, FS18, FS19, FS20, FS21, FS23, FS24, FS25, FS26, FS27, FS29, FS30, FS34 (Partial), FS35, FS36, FS37, FS38, FS43, FS44, FS46, FS47, FS49, FS50, FS51, FS53, FS54, FS55, FS57, FS58, FS61, FS64, FS68, FS69</t>
  </si>
  <si>
    <t>Runtime traces are said to refine service boundaries (FS01); continuous, usage-driven architecture optimisation is a stated direction and self-adaptive architecture is targeted by one source (FS02). FS03 is motivated by erosion but runs once offline, FS04 names runtime traces only as future validation evidence, and FS08 rejects big design up front in favour of repeated design rounds, still at design time. FS09 moves architectural decisions to runtime: pattern activation is decided every round in a MAPE-K loop. FS12 envisages AI that flags recorded decisions to reconsider after context or technology changes and plugs into CI/CD pipelines. FS23 takes the architecture from running ROS2 systems and proposes LLMs that recommend architectural tactics from a knowledge base at runtime, leading to LLM-supported architectural self-adaptation. FS31 places architecture model generation and conformance checks as stages of a CI/CD pipeline that can be triggered by model performance drift in production, which it calls continuous, self-adapting architectural guidance. FS34 puts a model inside the adaptation manager of a collective adaptive system, where it regroups components into ensembles every period, changing the running system's architecture, with each decision checked against the specification's constraints. FS38 declares self-adaptation out of scope but proposes extending its artefact store over the lifecycle through the Asset Administration Shell. FS44 envisions an architecture knowledge base updated in real time as artefacts change, supporting continuous conformance checking and time-aware knowledge. FS46's practitioners valued regenerating the documented architecture from the evolving backlog on demand, with drift exposed as it arises; the source is the development process, not the running system. FS62's model mutation is meant for incremental, agile MDE in which SysML models are updated continuously, and FS63 answers from the latest code at query time for fast-evolving microservice systems; in both the change comes from the user or the code base, not the running system. FS66 plans continuous consistency checks between design and analysis models throughout the design phase. FS69 captures every push and checks conformance in periodic synthesis runs, flagging drift on pull requests before merge and following the code as it changes, while FS68 proposes just-in-time warnings at issue creation but evaluates them on past releases.</t>
  </si>
  <si>
    <t>Closing the loop. FS09 closes the loop over architecture for predefined pattern switches, and FS34 for the grouping of components into ensembles of types fixed in the specification; no study plans and executes a change of structure beyond predefined variants or types, such as splitting or merging services. FS10 aims to keep architecture knowledge current but runs once over a repository. Only resource adaptation is implemented in the work FS01 reviews, and architecture-to-architecture change is rare (FS02: 3%).</t>
  </si>
  <si>
    <t>MAPE-K: FS09 runs the whole loop over pattern switches; for other structural change, Plan and Execute are missing (FS01 has Monitor and Analyse).
Rainbow: architecture-based adaptation, which FS09 does for predefined patterns without constraints, and FS34 for ensemble membership, with constraints checked.
Models@run.time: the representation continuous refinement would operate on; FS09's is a flat configuration file; FS34's DSL specification, from which the runtime forms ensembles, is closer to one.
Three-layer: structural change beyond predefined variants is goal management, which none of the work reaches.</t>
  </si>
  <si>
    <t>Close the loop over architecture: runtime monitoring of coupling and bottlenecks (FS01) feeds a language model that plans structural changes over a runtime architecture model, checked before execution; FS09 shows the loop working for predefined pattern switches, without the check, and FS34 for ensemble regrouping, with a constraint check and one retry before execution. Testable on a microservice exemplar; FS23 proposes the same direction for ROS2 systems, through tactics recommended at runtime.
Precondition: a safe path for moving data between services (FS01).
Risk: structural change is slow and costly compared with resource adaptation; planning alone took minutes per design iteration at design time (FS08), and deciding pattern switches took 30-70 s per round (FS09), and regrouping components up to over two minutes on large inputs (FS34).</t>
  </si>
  <si>
    <t>FS01 (Partial), FS02 (Partial), FS08, FS09 (Partial), FS12, FS23 (Inferred), FS31, FS34 (Direct), FS44, FS46, FS62, FS63, FS66, FS69</t>
  </si>
  <si>
    <t>Ethics, privacy and transparency are recurring concerns (FS02); compliance and interpretability are flagged (FS01). FS03 sends code content to a hosted model without discussing confidentiality, and FS08 concludes that design cannot be entrusted completely to an unsupervised model: critical decisions need expert review. FS09 argues that logged votes, attributable roles and argued debate make its agents' runtime decisions auditable, and notes that excluding low-power clients can be unfair. FS10 builds governance into its design, with an organisation-policy validator that would check documents against stored architectural principles, not yet implemented. FS11 makes trustworthiness a measured outcome, through evidence coverage and the rate of unsupported claims, and FS12 requires supervision of inputs and outputs, logging of AI interactions, controlled exposure of the model and data privacy. Of six practitioners, two generally trust LLM-generated rationale, one with caution and three only with substantial human review; none would trust it without validation (FS13). FS14 names the opacity of agent-generated decisions as the first challenge and proposes knowledge injection to make them more reliable. FS16 judges LLMs not yet reliable enough to replace human oversight of decision compliance and names hybrid workflows as the condition for their use. Professionals designing with a model worried about hallucinations and checked its output, and two of 18 pairs did not use it at all, citing distrust and confidence in their own abilities (FS26). Workshop participants reported low to zero trust in AI architectural decisions made without reasoning, and warned that models can give plausible justifications for nearly any choice (FS27). FS34 proposes rule-based guardrails for critical runtime decisions, such as sending drones with low battery to charge, with the model deciding the rest. FS37 names automation bias as the most serious practical risk of model-based diagram review, since plausible suggestions and moderate default ratings can be taken for reliable judgements, and frames its guidelines as lightweight guardrails. FS38 requires every change to be attributable, logged and linked to a phase, so that architectural decisions stay auditable. FS41 warns that hallucinated patterns and references mislead users and aims at traceable recommendations grounded in a validated corpus. FS44 names explainability and trust as conditions for adoption and proposes verifying extractions with formal reasoning and ontologies. FS46 draws a trust boundary between internal use and client-facing use, and processes company data on a privately hosted model. FS47 constrains the model's queries to templates for safe and auditable exploration and keeps traceability to source documents end to end. FS49, from an industrial setting, names untrustworthy output, over-reliance, opaque prompting and the erosion of architectural skills as pitfalls that call for human oversight, robust evaluation and explainable AI. FS50 confines LLM use in its production service to a few criteria that deterministic tools cannot check, for stability, reproducibility, scalability and cost. FS52 argues that RAG-based assistants need continuous tuning, monitoring and validation rather than one-time deployment. FS53 forbids the model to invent elements that are not in the repository and reports interest in its documentation for compliance work that needs traceability to code. FS55 restricts its input to infrastructure-as-code files partly so that business logic is not sent to a hosted model, and suggests local models for organisations that do not trust one. FS57 relied on experts to validate every output, kept patient data out of prompts and did not consider the ethics of GenAI in software engineering. Students in FS58 raised privacy leaks in generated code, code ownership and trust after past inaccuracies. FS69 counts a drift flag as a true positive when an automated trace-rule check and a review by architects agree, and demonstrates on synthetic design documents to keep proprietary data out.</t>
  </si>
  <si>
    <t>Accountability for autonomous change. No study addresses who answers for a change a system makes to itself: FS08 keeps a human reviewer for exactly the kind of structural decision a self-adaptive system would take alone, and FS09 claims auditability for its agents without testing it.</t>
  </si>
  <si>
    <t>MAPE-K: Knowledge must keep the provenance of every adaptation.
ActivFORMS: guarantees verified before operation give the assurance an auditor would ask for.</t>
  </si>
  <si>
    <t>An auditable adaptation log combined with constraints verified before execution; FS09's logged votes and debate memory are a first step towards the log, and FS10's proposed policy validator is a check of this kind over documents; FS34's proposed split, rules for critical decisions and the model for the rest, is a guard of this kind at runtime.
Risks: privacy leakage when runtime data is sent to a hosted model (FS02, FS03); adaptations can be unfair to parts of the system, as when clients are excluded (FS09).</t>
  </si>
  <si>
    <t>FS01, FS02, FS08, FS09 (Partial), FS10 (Inferred), FS11, FS12, FS13, FS14, FS16, FS26, FS27, FS34 (Inferred), FS37, FS38, FS41, FS44, FS46, FS47, FS49, FS50, FS52, FS53, FS55, FS57, FS58, FS69</t>
  </si>
  <si>
    <t>Limits in use: ambiguous input, neglected non-functional requirements and unresolved data consistency (FS01); blind trust and weak context-awareness (FS02). Primary studies report gains bounded by the input tool (FS03), ambiguous structural metrics (FS04), missing rationale (FS05), a microservice bias with incomplete or over-inclusive pattern lists (FS06), broad or generic tutor answers (FS07), reasonable but not expert-level decisions where deep domain knowledge is needed (FS08), and, at runtime, a reasoning cost of 30-70 s per round and a rule-based baseline that stayed competitive (FS09); FS10 names the context window and the spread of architecture knowledge across artefacts as limits of a single prompt, and finds its agentic approach not better for every language; FS11 starts from repository evidence that underdetermines the right abstraction; FS12 notes that hard evidence of productivity gains is missing and that ad hoc prompting does not scale. Generated rationale lacks practical experience and project-specific detail, and supplying the context that would help is costly for architects (FS13). FS14 expects imperfect requirements (ambiguous functions, conflicting quality attributes) and conflicts between agents with competing objectives. FS15 finds package names alone insufficient for extracting components, with production code hard to tell from test code, and components absent from the documentation missed. In decision-compliance checks, infrastructure and deployment decisions made up 42% of the errors, followed by intent-oriented and cross-module decisions, and decisions the code cannot settle were the hardest to recognise (FS16). LLM-guided recovery split or merged modules differently from the ground truth when one clustering setting was used for all projects, and its component anchors helped little in systems with no more modules than anchors (FS17). Answers about a system's quality solutions, such as patterns and tactics, had the lowest precision across seven models (FS18). A model assessing diagrams misjudged deliberate omissions and the intended audience and tended to favour the text over the diagram (FS19); in the same authors' later study it read the requirements a tool extracts as the tool's own capabilities and gave plausible but misguided advice, such as uniform terminology across abstraction levels (FS37); in FS43 the models were weaker on subjective criteria such as clarity and more permissive than engineers. Repairing conformance violations, models did worse on the architectures with more complex or unusual styles, and one sometimes simply removed the offending connection (FS20). Views generated from source code stayed at code-level granularity, with completeness failures above 73% in every configuration, and their quality was bound by the accuracy of the code summaries (FS21). A benchmark inherits the evaluation methods of its source datasets, has no sandbox for agents yet, and covers no smell detection, dependency analysis or large-scale refactoring planning (FS22). Answering questions about ROS2 architectures, accuracy fell as systems grew, and nearly all errors concerned communication paths through a system-wide topic (FS23). A student mentor's suggestions were only as specific as the project description and requirements it was given, and generic when they were vague (FS24). Generated architectures missed requirements or over-specified details, the weakest model applied no style, and results on two public systems may reflect training familiarity (FS25). Designers anchored early on the model's first suggestions, pairs using separate instances saw their contexts drift apart, and the model's help was judged less worthwhile for detailed design (FS26). Models lack the context of real decisions (cost, team experience, time to market) and converged on single answers, such as a hexagonal architecture no human chose, where experts diverged most (FS27). Given plain questions, a model took files for components, and for a Scala-based architecture DSL it identified ensembles that did not exist and predicted ensemble formation wrongly (FS28). Service decompositions by models diverged from the reference boundaries (MoJoFM 27.33 against 51.41 for the tools) and aligned less with team and domain boundaries (FS29). Zero-shot microservice architectures generated from requirements omitted services mentioned only once and had dense bidirectional coupling that experts judged hard to deploy (FS30). Many reference ADRs defer their rationale to wikis or issue trackers, so self-contained generated records score low against them (FS32). Pattern adherence fell as architectural complexity and problem size grew, and smaller models degraded with longer requirement documents (FS33). At runtime, models became lazy on larger problems, using few of the available drones even when assigning all of them, and adaptation managers generated as code were mostly poor and took longer to debug than to write by hand (FS34). Drafting ADRs from meetings, a workflow sometimes promoted tentative ideas to accepted decisions and omitted fine-grained ones (FS35). Microservice designs generated from requirements missed cross-cutting services and over-linked around infrastructure hubs, forming cycles (FS36). An agentic design prototype keeps its artefacts only within one session and validates no more than diagram parsing allows (FS38). Recovery over a code knowledge graph split documented components, spread utility functions across many components and took nearly four hours on the largest system (FS39). Questions on workflow architectures went wrong when a workflow was semantically incorrect or imported another one (FS40). General models handled widely documented problems but failed on specialised security patterns (FS41). A formal kernel checking only referential integrity and self-calls, over an abstraction without messaging or data ownership, limits what the validity rate shows (FS42). A vision for architecture knowledge management anticipates heterogeneous artefacts, context limits, telling extraction errors from genuine inconsistencies, and knowledge that becomes obsolete (FS44). Generated component diagrams were simpler and more centralised than expert solutions, on compact exam traces (FS45). Diagrams recovered from tickets are bounded by what the tickets document, and long backlogs exceed context windows (FS46). Evidence limited to research papers and their first sections, and an ontology without assumptions or reasoning, bound what a knowledge-graph-based trade-off analysis can draw on (FS47). Composition implied only by launch files or naming stayed hardest to recover, and the case study exercised no namespaces or nested launch files (FS48). The quality of the documentation decided the quality of an LLM's evaluation of it, with large deviations when information was sparse (FS50). Classifying decision records by their text alone missed the project context needed to separate some decision types (FS51). An evaluation of pattern recommendation with five questions, one tool and one LLM judge left the results without statistical support (FS52). Judging generated documentation by the perceptions of its own, mostly academic developers rather than against a ground truth limits what an evaluation shows about correctness (FS53). A study of one small VIPER project with one model and only its file tree cannot say how far its Bloom-level results generalise (FS54). Detecting architecture patterns from infrastructure-as-code alone left much of a pattern catalogue undetected, possibly because some patterns do not appear in such files (FS55). Context windows limited how much of an application's code could be given to models, and answers about the behaviour of complex ensemble-based architectures were unreliable (FS56). The prompters of FS57 knew the original design and re-prompted towards it, its evaluators were not blinded, and few of them could judge the architecture. FS58's students were divided on design oversimplification, impractical design recommendations and the neglect of architectural expertise, in a sample of seven. TTool-AI does not yet scale to full-size systems and is least effective on intricate ones, where it would help most (FS59); FS60's evaluation used three systems with relatively simple diagrams and one pair of diagram types, with correction partly manual. FS61 names one model, one domain and student raters of uneven expertise. FS62's state machines remain weaker than its use case and block diagrams, and its student times are estimates; FS63 covers one project, one model and a limited set of questions, and questions over many microservices could not be tested with full source code. FS64 rests on one supervised student project in a waterfall process. FS65's authors note that their findings come from a limited setup. FS66 adds few case studies, graph-method models designed by the authors, and no measurement of false negatives or user time. FS68's zero-shot model found almost no smell-inducing issues and even its best configuration had low precision, on three projects and two smell types; FS69's grouping depends on commit conventions, its ADR checks are weak for subjective decisions, and its recall is unknown. FS67's ChatGPT marked only 2 of the 19 traditional tactics Archie found in Flink (6 found and 17 missed overall), and its evidence rests on one reported system and one model.</t>
  </si>
  <si>
    <t>Data consistency, domain knowledge and reasoning time. Data consistency is the main barrier to structural change while the system runs (FS01), and a model's structuring decision can miss domain-specific load that an experienced architect foresees (FS08); a runtime planner has no such architect beside it. The model's reasoning time is itself a limit: by the reported averages it exceeded a whole round in text classification (FS09). Problem size is another: beyond about 40 drones, models no longer used the drones effectively (FS34).</t>
  </si>
  <si>
    <t>MAPE-K: Execute over structure is blocked by data migration.
Models@run.time: the model-to-system direction is where data consistency bites.</t>
  </si>
  <si>
    <t>Restrict runtime structural changes at first to stateless services, or to changes with a known data-migration path, as FS09's reversible pattern switches are, and give the planner the domain knowledge it lacked in FS08, such as observed load per domain.
Risks: this narrows the adaptation space considerably; reasoning has to fit within the adaptation interval (FS09); large problems may have to be divided to keep models from becoming lazy (FS34).</t>
  </si>
  <si>
    <t>FS01 (Partial), FS02, FS03, FS04, FS05, FS06, FS07, FS08, FS09 (Partial), FS10, FS11, FS12, FS13, FS14, FS15, FS16, FS17, FS18, FS19, FS20, FS21, FS22, FS23, FS24, FS25, FS26, FS27, FS28, FS29, FS30, FS32, FS33, FS34 (Partial), FS35, FS36, FS37, FS38, FS39, FS40, FS41, FS42, FS43, FS44, FS45, FS46, FS47, FS48, FS50, FS51, FS52, FS53, FS54, FS55, FS56, FS57, FS58, FS59, FS60, FS61, FS62, FS63, FS64, FS65, FS66, FS67, FS68, FS69</t>
  </si>
  <si>
    <t>Accuracy and hallucination are the most cited challenges (FS02), while FS01 names data dependence, opacity and unstable training of learned models but not hallucination. FS03 mitigates hallucination with dependency cross-checks and self-consistency but says it cannot be eliminated; FS04 ran one run per configuration; FS05 names prompt sensitivity and pretraining leakage; FS06 finds answers vary across ten runs and four of six models broke a required format; FS07's self-check is not evaluated; FS08 finds that models hallucinate the steps of a design method unless it is supplied, and that the proposed style oscillates across rounds and models; FS09 names LLM non-determinism, mitigated by ten repetitions, and debates that fail to converge (three of nine rounds in the run shown), after which the previous configuration is kept; FS10 names plausible but shallow output, missing rationale and opaque reasoning, and counters them with validator agents and refinement loops; FS11 plans a validator that returns unsupported claims for re-analysis and a fail-closed policy that marks the rest as hypotheses; FS12 notes non-determinism and hallucination and relies on structured, schema-validated output and retries; FS13 finds uncertain arguments (4.1-4.9%) that no prompting strategy reduces and misleading ones (1.6-3.2%) that a reviewer agent reduces most, but does not examine variation between runs; FS14 cites S4 for zero-shot prompting producing hallucinations and proposes agent interaction, knowledge injection and an evaluator agent against them, untested; FS15 parses responses by rule because models may not keep to the format, fixes temperature and seed against non-determinism, and finds trace-link precision sensitive to how a model names a single component (0.81 against 0.49); FS16 traces errors to misreading the decision, missing context, missing technical knowledge and unsupported inference, and finds substantial but uneven agreement among four models (Fleiss' kappa 0.724); FS18 finds that similar models are more alike in their false answers than in their true ones (GPT-4o with GPT-4o mini, Mistral with Llama), so agreement between two similar models does not filter hallucinations; FS20's models proposed repairs that introduced new violations (2 of 20 for Gemini 1.5, 5 of 20 for ChatGPT-4o) and changes nobody asked for, with results varying across architectures; FS21's models still failed to produce compilable PlantUML for 15-41 of 340 repositories after up to three compiler-feedback retries, and it names the reliability and possible self-preference of its LLM judge as threats; FS23's models hallucinated topics, services and communication paths absent from the given topology and disagreed on whether a system-wide topic forms a path; FS25's model pairs sometimes produced invalid PlantUML, most often with Gemini, and results varied widely between pairs; in FS26 designers found and corrected mistakes in generated artifacts, and one pair gave up after many prompts failed to yield a valid C4 model in Structurizr; FS27's models disagreed on two of 14 design problems, and one gave two different answers to the same question; FS28 tests for guessing from names by anonymising identifiers and comments, after which ensemble identification got worse. FS29 supplies a static dependency graph to keep the model from inventing entities, runs each configuration once because the models converged, and notes that its open-source benchmark may be in the models' training data. In FS30 spurious logging, configuration and administration services came from the model's priors rather than the requirements. FS32 names non-determinism and possible training-data leakage of open-source ADRs, relying on the number of generations for stable averages. In FS33 metrics that models reported about their own diagrams were often hallucinated. At runtime FS34's models often returned invalid groupings (drones omitted; 20-50 errors per run in one answer format), of which one retry fixed about half. FS35 finds unsupported figures in ADR drafts that came from retrieved content, not from the meeting transcripts. FS36 traces most lost precision to plausible but ungrounded links, with one run per configuration. FS37 reports unreliable visual perception: the model called elements missing that are in the diagram and built a coherent but wrong critique on it, with one run per case. FS43 notes that its public systems may be in the models' training data and that high agreement can rest on shallow reasoning. FS39 validates batch allocations against the actual functions, since the model can invent or drop functions. FS40 reports answers varying between runs, largely resolved by a majority vote over five, and was motivated by answers hallucinated from component names. FS41 finds invented security patterns, descriptions and references, and different answers to the same question. In FS42 about a quarter of the decompositions first generated from user stories broke basic structural invariants. FS44 expects hallucinated extractions to propagate into a knowledge base unless verified. In FS45, small local models drew class diagrams or hallucinated elements, and five of twelve diagrams from GPT-4o contained isolated components. At temperature 0.01 with a fixed seed, FS46's node counts varied little but its edge counts much more (coefficients of variation up to 38.3%), and variation grew from the first to the second step of the chain. FS47 leaves the inaccuracies of automatic knowledge-graph construction to be caught by the human during analysis. FS48 constrains recovery with a blueprint because unconstrained models produce hallucinated or unsupported elements. FS49 notes that hallucinated architectural suggestions need manual validation that can cancel the productivity gain. In FS50 runs on sparse documentation were weakly consistent and gave no rating for three statements. FS51 finds classification quality dependent on taxonomy and prompt and asks the model to rely only on what a record states. FS52's assistant drew on information outside its retrieved context and missed the relevant documents for four of five questions. FS53's diagrams and deployment views were the least reliable parts of its documentation, and only half its participants would rely on it as a reference. FS54's grading was manual and single-rated, its questions were tuned for clarity, and the model failed on specific information retrieval at the lower levels. FS55's detections changed between three runs on the same input, and 15 of its 103 high-certainty detections were absent from the repositories. FS56's models ignored their file tool, requested files that did not exist and gave inconsistent answers across applications. FS57's model gave design choices without evidence for its rationale, omitted relevant frameworks until prompted and produced buggy code that overlooked features from the design phase. FS58's students doubted the quality and reliability of fast outputs, and its authors warn of unhelpful designs from partial understanding of context. Answers vary randomly, and after ten feedback iterations a generated state machine still had a useless guard and a signal with the wrong number of attributes (FS59); output-token limits and stochastic generation introduced inconsistencies within and across diagrams, and 6 of 75 detections were erroneous (FS60). FS61's deployment diagram lacked UML stereotypes and «manifest», relationships and communication paths scored lower than nodes and artefacts, and the model cannot detect and revise its own constraint violations. FS62 reports mismatched signal and attribute names and diagram errors in its running example; FS63 reports hallucinated methods, endpoints and connections, brittle prompts and omitted parts of multi-part questions, without any mitigation. FS64's ChatGPT switched actors, misdrew class relationships and first divided the system into subsystems incorrectly. FS65's model hard-coded service keys, and its authors warn of hallucinated or deprecated managed services. FS66's model produced false positives and false negatives and missed logical dependencies along simple paths, and energy, cost and context size limit its use. FS68's predictors lost .080-.388 in F1 when moved to another project, the patterns being largely project-specific. FS67's ChatGPT reported 16 tactics and 4 patterns judged wrong for one system, and the authors note its dependence on prompt quality.</t>
  </si>
  <si>
    <t>Guarding execution. At runtime, without a human, a hallucinated or malformed plan, or one whose structure changes from run to run (FS08), would be executed; FS09 applies its agents' decisions with only prompt guardrails and a fallback for missing consensus; FS34 checks each decision against system constraints, asks for one retry and otherwise skips the update.</t>
  </si>
  <si>
    <t>MAPE-K: Execute must be guarded by a check after Plan.
ActivFORMS: only changes consistent with a verified model are executed.</t>
  </si>
  <si>
    <t>A verification gate between the language model's plan and execution, checking format first and content second. Testable by the rate of invalid plans blocked and valid plans wrongly blocked. FS03's rule (keep a change only if dependency cohesion improves or a second prompt confirms it) is a working example at design time; FS09's fallback, keeping the previous configuration when agents do not agree, covers only indecision, FS34's check of each runtime decision against system constraints, with the violation explained to the model and one retry before the update is abandoned, is a working gate for the validity step, and FS10's validator agents, which check format, consistency and contradiction with existing records, are a model-based gate of this kind at design time; FS11's fail-closed policy, which labels unsupported claims instead of passing them on, is a planned one, and FS12's schema validation of structured output covers the format check; in FS13, the agent pipeline with a reviewer that checks each analysis before the final trade-off had the fewest misleading arguments (1.59% against 3.24% for zero-shot), which the authors credit to the reviewer and trade-off agents; FS16's three validator models check a detector's judgements, but they are shown its answer, so their agreement is not independent; FS20's repairs of conformance violations are judged only by the architect, although the rule-based checker that found each violation could re-check the repair.
Precondition: a formal or rule-based model to check plans against.
Risks: four of six models broke a required output format (FS06); a plan's structure can differ between runs, so one run is not enough to accept it (FS08); agents may not reach a decision in time (FS09); a model-based validator may share the blind spots of the model it checks, as similar models share false answers (FS18); even with the runtime graph in the prompt, models invented connections that were not in it (FS23).</t>
  </si>
  <si>
    <t>FS01, FS02 (Direct), FS03 (Partial), FS04, FS05, FS06, FS07, FS08, FS09, FS10 (Partial), FS11 (Inferred), FS12 (Inferred), FS13 (Partial), FS14, FS15, FS16 (Partial), FS18 (Inferred), FS20 (Inferred), FS21, FS23 (Partial), FS25, FS26, FS27, FS28, FS29, FS30, FS32, FS33, FS34 (Direct), FS35, FS36, FS37, FS39, FS40, FS41, FS42, FS43, FS44, FS45, FS46, FS47, FS48, FS49, FS50, FS51, FS52, FS53, FS54, FS55, FS56, FS57, FS58, FS59, FS60, FS61, FS62, FS63, FS64, FS65, FS66, FS67, FS68</t>
  </si>
  <si>
    <t>The stated agenda: evaluation methods, benchmarks, integration across the life cycle and formal verification (FS02); empirical validation and non-functional requirements (FS01). Primary studies call for prompt optimisation and stronger models (FS03), stability under repeated runs (FS04), richer inputs than commits (FS05), automated format validation and tool integration (FS06), comparison with human tutoring (FS07), and design knowledge, trade-off analysis, LLM-based evaluation of designs, code generation from the design, the measured value of human guidance and other domains (FS08), and more coordination strategies, newer and larger models and more patterns, widening the space of runtime alternatives (FS09), further artefacts such as C4 diagrams, multimodal inputs and longitudinal industrial studies (FS10), and executing a preregistered study, with the open problems of resolving ambiguity and verifying system-specific architectural intent (FS11), and implementing and evaluating AI decision-assistance tooling through action research, case studies and surveys (FS12). FS13 plans agents that extract project context from code, documentation and configuration files, trace the external knowledge behind each argument and draw visual rationale, and controlled experiments on how model attributes affect quality. FS14 asks how to use or combine retrieval and fine-tuning for architectural decisions, how agents should share information, resolve conflicts and decide together, and how agent roles can evolve with task complexity. FS15 plans to strengthen code-based extraction with architecture recovery techniques such as information fusion, add decision records and diagrams as context, separate test from production code, and try models with built-in reasoning. FS16 calls for standard ADR formats, static analysis combined with LLM reasoning, cross-model ensembles and calibration, and better retrieval. FS17 plans a larger dataset, more precise dependency extraction and a study of how general or project-specific component descriptions should be. FS18 plans other systems and approaches combining prompting, fine-tuning and several models' answers. FS19 plans a larger dataset, newer models and diagram review in real architecture workflows, with several experts; FS37 adds industrial diagrams, several multimodal models, inter-rater agreement and tests of perception checks and image preprocessing; FS43 adds other notations and styles, richer project context and inter-rater and per-model analyses. FS20 plans real-time recommendations inside its modelling tool, few-shot prompting and RAG, and a defined output format. FS21 plans better repository summarisation, RAG, multi-agent collaboration and architecture-specific metrics for generated views. FS22 plans more community tasks, agent-based evaluation environments, LLM-as-judge assessment and regular benchmarking of new models. FS23 plans larger industrial ROS2 systems, other representations and human verification, and asks how tactic knowledge could support LLM-based self-adaptation at runtime. FS24 plans more interactive, human-centred use and models that can draw the architecture. FS25 plans time-split and private datasets, more kinds of architecture, run-to-run variance and prompt sensitivity, and studies of adoption, cost and human-in-the-loop refinement. FS26 asks whether using a model changes design quality and proposes tools that support forking and merging designs, flag diverging contexts and offer alternatives against anchoring. FS27 plans to study why human and model decisions differ, more complex interrelated problems, alternatives from several models, and use in architecture education. FS28 plans several models, including ones trained on ensembles, and giving the architecture representation explicitly in the prompt. FS29 calls for larger benchmarks across languages, datasets with explicitly modelled business domains, hybrid methods combining models with clustering, retrieval, multi-agent and human-in-the-loop workflows, and runtime traces for decomposition. FS30 calls for dynamic exemplar selection, human-in-the-loop refinement, drift detection combining model decompositions with static and runtime analysis, and studies of stability across requirement iterations. FS31 names versioning of continuously learning RL models, communication protocols for RL in industry, agentic AI architectures for production systems and RL support in CI/CD pipelines. FS32 calls for context selection adapted to decision type, graphs of ADR dependencies, linking ADRs to code, self-contained ADR datasets and evaluation beyond text similarity. FS33 calls for architecture-as-code outputs, staged generation with metrics computed by external tools, repeated-run studies and a common benchmark for architecture generation. FS34 proposes tool use and hierarchical division against laziness, hybrid online and offline prompting, rule guardrails, tests for generated adaptation managers and humans in the loop. FS35 raises the traceability of retrieval-enriched ADRs as an open question and plans user controls over decision status and granularity. FS36 calls for dynamic exemplar selection, human triage, hybrid pipelines with static and runtime signals, benchmarks stratified by cross-cutting density and metrics beyond precision and recall. FS38 plans one agent per phase, persistent storage, lifecycle extension through the Asset Administration Shell, retrieval over industrial knowledge bases and multi-user collaboration. FS39 plans larger systems, engineers in the loop and code in Java, C++, Python and COBOL. FS40 plans more question patterns, a better metric for free-text answers and higher-level questions such as recommending a task for a workflow. FS41 plans a LangChain assistant evaluated with RAGAS and other prompting strategies and settings. FS42 plans richer invariants, stronger baselines, statistics, expert evaluation and a human-in-the-loop workbench. FS44 lists extractors, a knowledge-base schema, consistency checking, a monitoring agent and question answering as its planned steps. FS45 plans post-processing refinement with LLMs as judges, several candidates per specification, architectural patterns in the prompt and larger real-world specifications. FS46 plans evaluation frameworks, retrieval for large backlogs and multi-agent generator-evaluator loops against error propagation. FS47 plans broader evidence sources, full texts, a richer ontology and more tasks and domains. FS48 plans a formal profile, complex launch constructs, runtime evidence and shared recovery benchmarks. FS49 plans a prototype integrating concern derivation, concern-to-module mapping and component design, with ADR generation from historical data in the background and a collaborative user interface. FS50 plans more projects and experts, long-context models or RAG, comparison of human and model reasoning, fine-tuning and agent-based constructive work. FS51 plans practitioner studies, industrial repositories, decision records linked into semantic graphs and LLM tools for writing them. FS52 plans advanced RAG techniques, more test cases and metrics, a jury of judges and expert evaluation. FS53 plans static or dynamic analysis and retrieval to make diagrams reliable, industrial and larger-scale evaluations, and human-in-the-loop refinement. FS54 plans a larger project, a question set built with inter-rater reliability, an open-source baseline and grading by experienced developers. FS55 plans to find which IaC artefacts carry pattern information, reduce run-to-run inconsistency and verify detections independently on more repositories. FS56 plans larger applications, fine-tuning combined with formal verification, other collective adaptive frameworks and studies of developers designing with LLM support. FS57 plans expert prompt engineering, more features and documentation with ChatGPT, and better tools to evaluate GenAI outputs objectively. FS58 plans to study students' diverse experiences, multi-agent development bots and guidelines for AI in software engineering education. FS59 plans hierarchical and incremental modelling to reach full-scale systems; FS60 plans fully automated correction, user-defined rules, consistency by construction, further diagram types and other LLMs. FS61 plans other domains and models, expert and industry evaluators, self-correction and prompts generated from requirement documents. FS62 plans explanations of the assistant's design choices and selection of the best generated model by model checking; FS63 plans answers tailored to the asker's role, reasoning methods such as self-consistency and debate, and retrieval of only the relevant context. FS64 plans a longitudinal study with professional feedback and validation on more projects. FS65 asks how prompt format interacts with architectural complexity and how the chosen serverless pattern affects the performance of generated applications. FS66 plans mappings from more diagram types to dependency graphs, AI help in deriving CTL properties after model changes, other LLMs and evaluations with experienced engineers. FS68 plans better smell-to-issue links, ensembles, separation of deliberate trade-offs, prompting with retrieval or chain-of-thought, and other platforms and smell types. FS67 plans a hybrid with a rule-based tool, better recognition of traditional tactics, proprietary code bases and other LLMs.</t>
  </si>
  <si>
    <t>Runtime on the agenda. FS09's and FS34's agendas are set at runtime: FS09 asks for more options (patterns, strategies, models) rather than for verification of decisions, and FS34 for ways past model laziness and for guardrails and tests; elsewhere runtime appears only as continuous architecture (FS02), as runtime information for hybrid generation (FS04) and as repeated design rounds (FS08).</t>
  </si>
  <si>
    <t>MAPE-K: integration across the life cycle is, at runtime, a closed loop.
ActivFORMS: the verification the agenda asks for, carried into operation.</t>
  </si>
  <si>
    <t>Position the thesis contribution against FS02's agenda: a runtime loop is one form of the life-cycle integration it calls for, and runtime verification is its formal verification carried into operation; FS09 and FS34 are the existing loops: FS09 lacks exactly that verification, and FS34 checks its decisions only for validity against the specification's constraints.
Risk: the agenda comes from design-time studies; revisit as studies are added.</t>
  </si>
  <si>
    <t>FS01, FS02, FS03, FS04, FS05, FS06, FS07, FS08, FS09, FS10, FS11, FS12, FS13, FS14, FS15, FS16, FS17, FS18, FS19, FS20, FS21, FS22, FS23, FS24, FS25, FS26, FS27, FS28, FS29, FS30, FS31, FS32, FS33, FS34 (Partial), FS35, FS36, FS37, FS38, FS39, FS40, FS41, FS42, FS43, FS44, FS45, FS46, FS47, FS48, FS49, FS50, FS51, FS52, FS53, FS54, FS55, FS56, FS57, FS58, FS59, FS60, FS61, FS62, FS63, FS64, FS65, FS66, FS67, FS68</t>
  </si>
  <si>
    <t>Q1 = 2: the problem is tied to named design tasks and turned into five research questions (pp. 1-3); not 1, it is specific.
Q2 = 2: dedicated sections on microservice design problems and related reviews (Sect. 2-3, pp. 3-6); not 1, specific and referenced.
Q3 = 1: search and selection are explicit (Sect. 4, pp. 6-8), but there is no extraction, synthesis or quality-assessment procedure; not 2, half the process is missing; not 0, selection is explicit.
Q4 = 1: the contribution is stated only in general terms (pp. 2, 6); not 2, no concrete contribution is named; not 0, a general one is given.
Q5 = 2: each research question is answered, with a cross-cutting discussion and Table 1 (pp. 10-16); not 1, the insights are specific.
Q6 = 2: a threats section names five limitations (p. 15); not 1, they are specific, though unmitigated.</t>
  </si>
  <si>
    <t>Heading reads "Threads to Validity"; S4 cited in its arXiv version. Evidence is limited by the absence of any quality assessment of its sources.</t>
  </si>
  <si>
    <t>Q1 = 2: six motivating reasons and three research questions with nine sub-questions (pp. 1-2, 4); not 1, operationalised.
Q2 = 2: related reviews compared in Table 1 and LLM-for-architecture work positioned (pp. 2-3); not 1, specific.
Q3 = 2: search, two-rater selection with kappa, snowballing, quality assessment and extraction are all described (Sect. 3, pp. 4-6); not 1, detailed enough to follow.
Q4 = 2: five contributions itemised (p. 2); not 1, specific.
Q5 = 2: findings per sub-question with summary boxes, implications and directions (pp. 6-18); not 1, traceable to tables.
Q6 = 2: threats under four validity types with mitigations (p. 18); not 1, each is named.</t>
  </si>
  <si>
    <t>A full score reflects the standard structure of a review, not evidence strength. Inconsistent snowballing yield and sources searched; three grey sources cited but not listed; three statements about S1 conflict with our coding of S1.</t>
  </si>
  <si>
    <t>Q1 = 2: limited accuracy of recovery tools and two technical challenges stated (pp. 1687-1688); not 1, concrete.
Q2 = 2: recovery tools and LLM work reviewed by name, with the gap stated (pp. 1688-1689); not 1, specific.
Q3 = 2: framework stages, tools, projects, model settings and metrics described (pp. 1689-1693); not 1, detailed enough to follow, with prompts on the authors' website.
Q4 = 2: three contributions itemised (p. 1688); not 1, specific.
Q5 = 2: seven boxed findings and an implications section (pp. 1694-1697); not 1, tied to results.
Q6 = 2: hallucination, data leakage and evaluation size, each with a mitigation (p. 1697); not 1, specific.</t>
  </si>
  <si>
    <t>"Trillions of lines of code" in the abstract against 11.7M in Table 1; text figures in Sect. 4.2.1 differ from Table 3.</t>
  </si>
  <si>
    <t>Q1 = 2: the gap on transforming one architecture into another from text, and the objective, are stated (pp. 1-2); not 1, specific.
Q2 = 2: monolith decomposition, M2MDF and related reviews positioned (pp. 2-3); not 1, argued.
Q3 = 1: pipeline, conditions, systems and metrics are explicit, but the models are named only by provider, with no version or settings, and the prompts are not in the paper (pp. 3-5); not 2, a reader cannot tell which models ran; not 0, the rest is explicit.
Q4 = 2: characterisation, adapted M2MDF and a research-agenda baseline are named (pp. 2, 8); not 1, each is named, though not itemised.
Q5 = 2: effects of prompting on granularity, density and descriptiveness, the weaker provider effect and the limits of the metrics (pp. 5-8); not 1, tied to Table 3.
Q6 = 2: internal, construct, external and conclusion threats (pp. 6-7); not 1, each with its consequence.</t>
  </si>
  <si>
    <t>arXiv version with unfilled ACM template fields. Evidence is limited by one run per configuration and no ground truth.</t>
  </si>
  <si>
    <t>Q1 = 2: undocumented decisions hidden in commits, with two research questions (pp. 1-3); not 1, specific.
Q2 = 2: knowledge management, earlier extraction work and LLM decision-record studies, with the gap named (pp. 1-3); not 1, specific, though brief.
Q3 = 2: dataset criteria, four named models, two prompting strategies, four metrics and a rubric fixed in advance, with data and prompts published (pp. 3-5); not 1, repeatable from paper and package. Unreported settings are coded as a silence (3.3), unlike FS04, where the models were not identified.
Q4 = 2: evaluation of extraction from commits alone, prompting comparison and replication package (pp. 2, 7); not 1, explicit, though not itemised.
Q5 = 2: missing rationale, form-not-content effect of few-shot prompting, extraction as architectural reasoning, limits of similarity metrics (pp. 5-7); not 1, specific.
Q6 = 2: construct, internal and external threats (p. 7); not 1, each named with its consequence.</t>
  </si>
  <si>
    <t>A full score does not mean strong evidence: 30 decisions from three Java projects, one author inspecting one model, possible pretraining leakage.</t>
  </si>
  <si>
    <t>Q1 = 2: whether LLMs can recommend patterns and map them to tools, with three research questions (pp. 276-277); not 1, specific.
Q2 = 2: rule-based decision support, CAPI and LLM architecture studies, with the gap named (pp. 276-277); not 1, specific.
Q3 = 2: models and decoding parameters, scenarios, all prompts, runs, rating anchors and the penalty scheme (pp. 277-280); not 1, each experiment can be repeated. Who rated is not reported, coded as a silence (3.1).
Q4 = 2: four contributions listed as bullet points (pp. 276-277); not 1, itemised.
Q5 = 2: findings per research question (pp. 280-283); not 1, tied to the experiments.
Q6 = 1: no threats section; only a few limitations mentioned in passing (reference lists not objective, Experiment 2 run once, CAPI coverage) (pp. 279, 282); not 2, study threats are not discussed; not 0, some are stated.</t>
  </si>
  <si>
    <t>Model named ChatGPT-o4 in the text and ChatGPT-4o in Table I; "two runs" where ten were made; the text misstates DS's distances; the claim that models did nearly as well as participants sits against Table III (15 of 24 lists further from the reference, 6 closer, 3 equal).</t>
  </si>
  <si>
    <t>Q1 = 2: novices lack AI tutoring for architecture, as opposed to programming (pp. 92-93); not 1, specific gap and target group.
Q2 = 2: architecture education, LLMs in education and three named approaches (pp. 92-94); not 1, positioned against each.
Q3 = 1: the method is explicit with all four prompts, but the test is only "some questions students could ask", with no number, runs, criteria or judge (pp. 94-96); not 2, the test cannot be followed; not 0, method, data and models are described.
Q4 = 2: the four-step tutoring method tested on MobSTr (pp. 93, 96); not 1, stated, though not itemised.
Q5 = 2: role blocking, differences between models, and context and hardware limits (pp. 95-96); not 1, specific, though qualitative.
Q6 = 1: model limitations are reported, but not the study's own (simulated questions, one dataset, no criteria) (p. 96); not 2, no validity discussion; not 0, model limitations are named.</t>
  </si>
  <si>
    <t>Evidence is qualitative observation on one dataset. "Cloud-based" title, but the test case is an automotive embedded system.</t>
  </si>
  <si>
    <t>Q1 = 2: design relies on expert judgement and LLM support for design is little explored; two research questions, on driver satisfaction and on completeness against zero-shot design (p. 1); not 1, specific and operationalised.
Q2 = 2: related work from ArchE onwards in five strands, and a positioning of the approach against MAAD and Kiro (Section II, pp. 2-3); not 1, specific and referenced.
Q3 = 2: treatments (models, dates, IDEs), case studies, evaluators (Table I), metrics, procedures and the zero-shot prompt are described (Section V, pp. 7-9); not 1, the study can be followed and repeated from the paper and its package. Not stated: the number of zero-shot runs, the model behind the hotel zero-shot design, model settings, and the system used in the eight-round style check.
Q4 = 2: the contribution (a process for performing ADD with LLMs, with prompts and documents) and the five strategies it combines are stated (p. 1), and its originality is argued (p. 3); not 1, specific, though not itemised as contributions.
Q5 = 2: answers to both research questions, the structuring disagreement, style oscillation, the lower-bound reading and time and cost (Section VI, pp. 10-13); not 1, tied to Tables IV, V, VI and VIII.
Q6 = 2: a threats section names training exposure (with the check made), context control by the IDE (with mitigation), few experiments on enterprise systems, and the runs without feedback (Section VII, pp. 13-14); not 1, each named with its consequence or mitigation.</t>
  </si>
  <si>
    <t>A full score reflects reporting, not strength of evidence: one design by one model rated by four evaluators on seven drivers, and a reference comparison made by the authors against their own book case. Reporting slips: Tables III and VII are missing from the numbering; the text gives reliability as "Q5" with an average of 4.25, but in Table V reliability (QA-04) is Q6 with 4.5, and 4.25 belongs to US-09; the warehouse case is headed "Warehouse Management System (HPS)" (p. 8); reference [4] gives S1's title and DOI with S2's author list.</t>
  </si>
  <si>
    <t>Q1 = 2: static activation of federated-learning architectural patterns fails as runtime conditions change, shown with a client-selection example; three research questions on model configuration, effectiveness and overhead (pp. 1-2, 7); not 1, specific and operationalised.
Q2 = 2: federated learning and the three patterns with their performance trade-offs, related work in three strands (LLMs for architecture, architectural solutions for federated learning, adaptation in federated learning) and a stated gap (Sections 2-3, pp. 2-4); not 1, specific and referenced.
Q3 = 2: the architecture extension, coordination strategies, prompt structure, models and settings, emulated federation, baselines with their rules, metrics, hardware, repetitions and statistical tests are described (Sections 4-5, pp. 4-9), with prompts and artefacts public; not 1, the experiment can be followed and repeated. Not stated: the number of agents in the voting and debate strategies, the task and coordination set-up behind Table 4 (RQ1), and whether the overhead in Table 4 is per round or per run.
Q4 = 2: three contributions itemised (p. 2); not 1, specific.
Q5 = 2: results per research question with statistical tests, an efficiency score, and a discussion of baselines, strategies and overhead (Sections 5-6, pp. 9-14); not 1, tied to Tables 4-6 and Figs. 8-11.
Q6 = 2: external, internal and construct threats, each with its consequence and a mitigation or plan, including LLM non-determinism and the fairness of client selection (Section 6.5, p. 14); not 1, each is named.</t>
  </si>
  <si>
    <t>A full score reflects reporting, not strength of evidence: one emulated federation (five clients, ten rounds, two tasks) and three patterns, and the Expert-Driven rules come from the authors' own earlier studies. Citation and reporting slips: the paper says Soliman and Keim (2025), our S5, evaluated seven LLMs and found the Llama, DeepSeek and OpenAI families effective, and it chooses its models on that basis, but S5 studied GPT-3.5 only (the description appears to fit a later seven-model comparison by Soliman et al., ECSA 2025, which FS09 does not cite (FS18)); Dhar et al. (2024b), referenced as the ICSA-C 2024 knowledge-management paper (S9), is described with the content of S4 and DRAFT; the coordination strategies are attributed to an "AgentOps catalog" whose reference is titled "Agent design pattern catalogue"; Table 4 does not state its task, and its Expert-Driven accuracy (0.76) differs from the about 0.79 given for image classification in RQ2 without explanation; the prompt link is an anonymised review link.</t>
  </si>
  <si>
    <t>Q1 = 2: architecture knowledge management is laborious and neglected, and a single prompt is limited by context and by knowledge spread across artefacts (pp. 1-2); not 1, the problem and aim are specific, though there are no research questions.
Q2 = 2: related work on LLMs for architecture and on agentic software engineering and architecture, with the work positioned against design synthesis (ReArch, MAAD) (Section 5, p. 4); not 1, specific, though brief.
Q3 = 1: the instantiated workflow, the two models, the four configurations and the blind user-study protocol are described (Section 4, pp. 3-4), with code and data on GitHub; not 2, the baseline's inputs ('key files and components') are not specified, prompts and settings are not in the paper, and ratings are only averaged although the improvement is called significant; not 0, the design and protocol are explicit.
Q4 = 2: the contribution, an agentic approach to architecture knowledge management with an instantiation for ADR generation validated in a user study, is stated (pp. 1-2); not 1, specific, though not itemised.
Q5 = 2: results per criterion and model, the completeness gap and comments from participants (Section 4.3, p. 4; Table 1); not 1, specific and tied to the table, though brief.
Q6 = 1: there is no threats or limitations section; the only weakness of the approach reported is the lower quality for languages such as Java (p. 4); not 2, the study's own limitations (raters' experience, self-selected repositories, averages only, most agents unimplemented) are not discussed; not 0, one limitation is stated.</t>
  </si>
  <si>
    <t>Scores reflect a four-page workshop paper. Reporting slips: the improvement is called significant, but no statistical test is reported; 'four criteria' are announced and five listed (with overall quality); Java is named as a language where single prompts did better, while the 29 repositories are reported as 17 Python and 12 JavaScript; Fig. 1 and Section 3 describe many agents, of which four were implemented.</t>
  </si>
  <si>
    <t>Q1 = 2: documentation drifts from the implementation, repository evidence underdetermines the abstraction and LLM synthesis risks unsupported output; four research questions with hypotheses (pp. 534-535, 537); not 1, specific and operationalised.
Q2 = 2: related work in four families (static and rule-based, ML and graph-based, LLM-assisted, agentic) with a synthesis and positioning (Section II, pp. 535-536); not 1, specific and referenced.
Q3 = 1: treatments, stages, datasets (Table II), metrics, the analysis plan with tests and effect sizes, and the pipeline are specified (Sections IV-VI, pp. 537-540); not 2, a preregistration that names no language model, gives no prompts and only outlines the industrial study (number of experts, procedure) cannot be followed in full; not 0, the design is otherwise explicit.
Q4 = 2: the contribution, a preregistered design with research questions, hypotheses, baselines and analysis plan, is stated, and three points of difference from earlier work are itemised (pp. 535-536); not 1, specific.
Q5 = 0: no results or insights are reported, as required for a Stage-1 registered report (pp. 534, 540); the feasibility section summarises the authors' earlier workshop study, not this one; not 1, no finding of this study is reported.
Q6 = 1: there is no threats section; the design names one threat, confounding from pipeline changes, and controls it by reproducing baselines and checking comparability (pp. 535, 537); not 2, other threats (choice of model, benchmark ground truth, expert sample) are not discussed; not 0, a threat and its control are stated.</t>
  </si>
  <si>
    <t>Stage-1 registered report: scores are not comparable with those of completed studies, and Q5 is 0 by the format. Reporting slips: 'dockchess' in the text and 'dokchess' in Table II; 'recovering SAR' where recovering documentation is meant (p. 536); reference [1] (ArchAgent, S14's arXiv version) gives authors that differ from S14's. The ICSA 2026 track is not named on the paper.</t>
  </si>
  <si>
    <t>Q1 = 2: architects lack time for decisions, ADR logs are poor and hard evidence for AI productivity is missing; two research questions (pp. 1-2); not 1, specific.
Q2 = 2: related work on AI for architecture activities, option exploration, prompting, rationale generation, ADR generation and ADD with LLMs, with the vision positioned against it (pp. 3-4); not 1, specific, though brief.
Q3 = 1: a design-science approach with practitioner input, and an example prompt run with several LLMs whose responses are published (pp. 2-3, 6-7); not 2, the number of architects consulted, the consultation procedure and how responses were judged are not reported, and the evaluation is still in progress; not 0, the approach and the example are explicit.
Q4 = 2: the contributions (use cases, architecturally significant requirements, a context map and component architecture, and a prompt example) are stated and tied to the research questions (pp. 1-2, 7); not 1, specific.
Q5 = 1: the use cases and requirements distilled from practitioners are specific (Table 1, pp. 2-3), but the only empirical finding is that early results were mostly positive (p. 7); not 2, no results are reported; not 0, the practitioner-derived use cases are insights.
Q6 = 1: limitations of LLMs (non-determinism, hallucination) and the missing evidence on productivity are discussed (pp. 1, 7), but not the study's own (size and selection of the practitioner sample, one example ADR, an unevaluated design); not 2, no threats section; not 0, limitations are named.</t>
  </si>
  <si>
    <t>Eight-page vision paper, scored as reported. The evidence is practitioner input of unstated size and one example ADR reviewed by six LLMs; the systematic evaluation is in progress. Minor slips: 'Zhou at al.' (p. 4); the dataset cited as ref. [19] is version 2 of the Zenodo record, whose first version said the paper was submitted to IDEA-ARCH. In the published chapter (S4-F95), ref. [19] is cited in the text but missing from the reference list.</t>
  </si>
  <si>
    <t>Q1 = 2: design rationale is rarely documented, and how well LLMs generate it is unknown, with GPT-3.5 reaching moderate recall but low precision in S5 (pp. 2-3); four research questions, each with its rationale (pp. 5-6); not 1, operationalised.
Q2 = 2: background on definitions of design rationale, prompt engineering and LLM-based agents (Section 2, pp. 3-5), and related work on design rationale and on LLMs understanding software artefacts, with the study positioned against S4, DRAFT, S8 and S5 (Section 7, pp. 33-34); not 1, specific.
Q3 = 2: the dataset construction with criteria, counts and kappa values, the model selection by cut-off date, the zero-shot and chain-of-thought templates, the agent design, the metrics with their formulas and the interview protocol are described (Section 3, pp. 5-17), with data and results published; not 1, the study can be followed from the paper and its package. Not stated: temperature and other settings, the number of runs per rationale, and the agents' prompts.
Q4 = 2: five contributions are listed: the dataset, the templates and agent system, the evaluation, the interviews and the discussion (p. 3); not 1, specific.
Q5 = 2: key findings per research question with tables, the pros and cons of the three strategies, strengths and limitations of generated rationale, and implications from the interviews (Sections 4-5, pp. 17-31); not 1, specific and traceable to the tables.
Q6 = 2: construct, external and reliability threats, each with its consequence and a mitigation or plan, including leakage through mirrored web content and the limits of kappa for shared bias; internal validity is excluded with a reason (Section 6, pp. 31-32); not 1, each is named. Not discussed: the sample of six interviewees and variation between runs.</t>
  </si>
  <si>
    <t>A full score reflects reporting, not strength of evidence: the formal labelling and evaluation were done by the first author and reviewed by four authors, the expert reference averages 1.98 arguments per decision, and six practitioners were interviewed. Reporting slips: the recall gain of the agents over zero-shot is given as 19.8%, whereas 0.627 to 0.715 (Table 8) is 14.0%; the chain-of-thought count is 5.76 arguments per rationale in Section 4.2.1 and 5.77 in Section 5.2 (Table 8: 576.6 per 100 rationales); the Stack Overflow exclusions reported (83, 358 and 204 of 692 posts) leave 47, not the 50 used; reference [16] (S8) gives pages 356-374 instead of 324-332.</t>
  </si>
  <si>
    <t>Q1 = 2: architecture design needs costly human expertise, prior automation relies on zero-shot prompting that hallucinates, and whether multi-agent systems can automate architecture design is unexplored (p. 530); not 1, the gap is stated specifically, though there are no research questions.
Q2 = 1: code-generation work that incorporates design, S4's findings on zero-shot prompting and multi-agent systems are cited in the introduction (p. 530); not 2, there is no related-work section, and the framework is not positioned against other LLM-based approaches to architecture design; not 0, the context is given.
Q3 = 1: the agents, their actions and knowledge needs, the collaboration process and the knowledge-extraction processes are specified (Sections 2-3, pp. 530-533), with an illustrative example (Fig. 2); not 2, no research method is stated (how the framework was derived or how it would be evaluated) and no model or agent framework is named; not 0, the proposed design is explicit.
Q4 = 2: the contributions, the MAAD framework, ways of extracting architectural knowledge for its agents, and a discussion of challenges and opportunities, are stated (pp. 530, 533); not 1, specific.
Q5 = 1: four challenges and opportunities (explainability and trustworthiness, knowledge injection, coordination and communication, scalability and dynamics) are discussed (Section 4, p. 533); not 2, there are no findings, and the insights are prospective; not 0, directions are given.
Q6 = 1: opacity of agent decisions and coordination among agents are named as challenges (p. 533); not 2, there is no limitations section, and the framework's own open points (no implementation, no evaluation, the effort of knowledge extraction) are not discussed; not 0, challenges of the approach are named.</t>
  </si>
  <si>
    <t>Four pages of text plus references, scored as reported; no model is run and no evaluation is described or planned. It cites S4 for zero-shot prompting frequently making LLMs hallucinate; S4 reports this for its smaller text-completion models, with few-shot prompting and fine-tuning reducing it. The FSE 2025 track is not named on the paper. Minor slips in Figure 1: 'Deisgn', 'Implementating', 'Guildlines'.</t>
  </si>
  <si>
    <t>Q1 = 2: the semantic gap between architecture documentation and code, and TransArC's dependence on manually created models that are often unavailable, are stated, with four research questions (p. 1); not 1, operationalised.
Q2 = 2: related work on transitive trace links, LLMs for traceability and architecture recovery, with the differences to this approach stated (Section II, pp. 2-3); not 1, specific.
Q3 = 2: the feature extraction, the prompts in full, the merging and parsing rules, the benchmark (Table I), metrics, models, baselines and significance tests are described (Sections III-IV, pp. 3-5), with temperature and seed fixed and a replication package; not 1, the study can be repeated. Not stated: model snapshots, the seed value, cost and run time.
Q4 = 2: the approach, its evaluation across models, projects and modes, and the replication package are stated as contributions (p. 1); not 1, specific.
Q5 = 2: results per research question with tables, significance tests, a conclusion per question and an error analysis with figures (Section V, pp. 6-9); not 1, specific and traceable to the tables.
Q6 = 2: construct (dataset, prompts not engineered, metrics), internal, external (five open-source projects, a limited set of models, possible data leakage in closed models) and reliability threats (imperfect gold standards), with non-determinism countered by temperature and seed (Section V-E, p. 10); not 1, each is named with a mitigation.</t>
  </si>
  <si>
    <t>A full score reflects reporting, not strength of evidence: five open-source projects with at most 14 components each, baseline results taken from Keim et al., and significance tested only for GPT-4o with names from the documentation. Its approach and first evaluation reappear in S20, its journal extension. Reporting slips: GPT-4o is called the best model at 0.86 weighted F1, which GPT-4 Turbo and GPT-4 match to two decimals (Table II); references [5] and [16] are the same paper (Moran et al., ICSE 2020), as are [11] and [46] (Hey et al., ICSME 2021).</t>
  </si>
  <si>
    <t>Q1 = 2: decision violations go unnoticed, compliance checking is manual, and how reliably LLMs detect violations is unknown; the goal is stated in GQM form with three research questions (pp. 1-3); not 1, operationalised.
Q2 = 2: ADR research, decision recovery (RecovAr, Adex), ADR use on GitHub and LLM-generated decisions are reviewed, with the lack of work on detecting violations as the gap (Sections I-II, pp. 1-2); not 1, specific, though the related work is short.
Q3 = 2: the dataset selection with counts (Table I), the model roles (Table II), the prompt structure, retrieval settings, sampling parameters, the human validation protocol, the metrics and the coding of errors are described (Section III, pp. 2-6), with a replication package; not 1, the study can be followed and repeated. Not stated in the paper: the prompts in full, the few-shot examples and the run time.
Q4 = 2: three contributions are listed: the large-scale evaluation, the multi-model validation pipeline and the taxonomy of failures (pp. 1-2); not 1, specific.
Q5 = 2: results per research question with tables and summary boxes, and a discussion of reliability, strengths and weaknesses, implications for practice and future directions (Sections IV-V, pp. 6-10); not 1, specific and traceable to the tables.
Q6 = 2: construct, internal, external and conclusion threats, each with a consequence or mitigation, including the inherited dataset, hallucination, class imbalance and the subjectivity of manual labels (Section VI, p. 10); not 1, each is named. Not discussed: that the validators are shown the detector's answer, and that proposed and work-in-progress decisions are counted as accepted.</t>
  </si>
  <si>
    <t>A full score reflects reporting, not strength of evidence: accuracy rests on 305 decisions labelled by the authors, the validator models are shown the detector's judgement and reasoning, 'not compliant' includes decisions with no trace in the five retrieved snippets, and proposed, work-in-progress and submitted decisions are counted as accepted (Table III). Reporting slips: S4 is cited as 'Rudra et al.', the first author's given name; the sentence stating that micro-averaged F1 equals accuracy garbles the four models' values (p. 7); the data availability statement mentions 'resulting networks', which the study does not produce.</t>
  </si>
  <si>
    <t>Q1 = 2: three limitations of existing recovery (code semantics, architectural semantics, implicit dependencies) are stated and illustrated with examples (Section II, pp. 339-341), and four research questions are posed (p. 347); not 1, operationalised.
Q2 = 2: related work on recovery techniques and on LLMs for code semantics and architecture, and the baselines described in detail (Sections IV-A3 and VI, pp. 348, 357); not 1, specific.
Q3 = 2: dependency weighting, prompts (Table II, Fig. 6), embeddings, the clustering algorithm, the dataset (Table IV), the ground-truth annotation, metrics, baselines and parameters are described (Sections III-IV, pp. 341-349), with code and data on GitHub; not 1, the study can be followed and repeated. Not stated: the number of runs, the cost of the hosted model, and the recovery technique used to seed the new ground truths.
Q4 = 2: three contributions are listed: the method, the evaluation and the dataset (p. 339); not 1, specific.
Q5 = 2: results per research question with tables and answer boxes, failure cases, a Bash case study and a time analysis (Sections IV-V, pp. 349-356); not 1, specific and traceable to the tables.
Q6 = 1: three threats are named with mitigations: reliance on architectural patterns, the imprecision of the dependency extractor and the size of the dataset (Section V-C, pp. 356-357); not 2, threats specific to the LLM (hallucination, variation between runs, prior exposure to well-known projects such as Django or Chromium) and the use of the authors' own ground truths are not discussed; not 0, threats are named.</t>
  </si>
  <si>
    <t>Scored as reported. Reporting slips: the results tables name the method 'SpaArc' (Tables V-VII); the baselines are introduced as six techniques from five categories, but seven are compared; Section IV-B refers to Table I for the 15 projects, which are in Table IV; Section III-D refers to Fig. 3 for the anchor matrices, which Fig. 7 shows; Bash has 405 files in Table IV and 373 in the case study; the RQ2 answer gives percentage decreases for what the text reports as score points. S4 is described as generating patterns, styles and quality attributes from decision contexts, which is not its task.</t>
  </si>
  <si>
    <t>Q1 = 2: architectural knowledge is scattered, many LLMs are now available, and little is known about how their answers to architectural questions differ; two research questions with rationale (pp. 99-101); not 1, operationalised.
Q2 = 2: related work on architectural knowledge and on LLMs for architecture, each positioned against this study (Section 7, p. 111); not 1, specific.
Q3 = 2: the dataset, the seven models (Table 1), hardware and quantisation, the steps of answer extraction and matching with thresholds and their measured precision, manual verification and significance tests are described (Section 2, pp. 101-105), with data and scripts online; not 1, the study can be followed and repeated. Not stated: sampling settings, the number of runs, and why the dataset has 229 questions where S5 reports 236.
Q4 = 2: two contributions are listed: the accuracy comparison and the similarity comparison (pp. 100-101); not 1, specific.
Q5 = 2: results per research question with significance tests, key takeaways, and implications for researchers and practitioners (Sections 3-5, pp. 105-110); not 1, specific, though precision and recall appear only as distributions in Fig. 2.
Q6 = 2: external, construct and reliability threats, each with a mitigation, including the single system, the textual matching and output randomness (Section 6, p. 110); not 1, each is named. Not discussed: the effect of 4-bit quantisation, asserted to be small, and the reuse of the authors' own dataset.</t>
  </si>
  <si>
    <t>A full score reflects reporting, not strength of evidence: one system (HDFS), questions and ground truth reused from S5, and precision and recall shown only as distributions in Fig. 2, without values in the text. Reporting slips: 229 questions (80, 81, 68) against S5's 236 (81, 87, 68), without explanation; DeepSeek is said to beat 'larger models like GPT-4', which was not evaluated (GPT-4o was); the text refers to Fig. 1 for the list of models, which is in Table 1.</t>
  </si>
  <si>
    <t>Q1 = 2: architecture diagrams are often informal and inconsistent, and whether LLMs can assess their quality is underexplored; two research questions (pp. 116-117); not 1, specific.
Q2 = 2: standards and classical view models, evaluation methods, studies of diagram comprehension and LLM work on architecture, with the gap stated (Section 2, p. 117); not 1, specific, though brief.
Q3 = 1: the five stages, criteria, prompt (Fig. 1), model and four projects are described (Section 3, pp. 118-119); not 2, how each diagram and description was chosen and 'verified for clarity and completeness', the expert's background, and how the agreement levels were defined are not reported, nor the model version, settings or number of runs; not 0, the procedure is explicit.
Q4 = 2: three contributions are listed: the prompt, its evaluation in a small study, and limitations with guidelines (p. 117); not 1, specific.
Q5 = 2: results per project and criterion (Table 1), one project discussed in detail (Table 2), and four guidelines (Sections 4-5, pp. 119-122); not 1, specific, though no counts are given.
Q6 = 1: one model, one expert and four open-source projects are named as limits on generalisation (pp. 121-122); not 2, threats specific to the LLM (variation between runs, prior exposure to public repositories) and the expert reviewing the model's output rather than rating independently are not discussed; not 0, limitations are named.</t>
  </si>
  <si>
    <t>Eight-page short paper, scored as reported. Evidence strength is limited: four diagrams, one run each, and one expert who judged the model's assessments, without a quantitative agreement measure; the counts we use (14 full, 5 partial, 1 disagreement of 20) are our tally of Table 1. Reporting slips: the Discussion names completeness among the criteria where the model did well, but the expert fully agreed with its completeness rating in only one project of four (Table 1); the data repository is linked under an anonymised review account; 'This works explores' (abstract) and 'of the that architecture diagram' (p. 119).</t>
  </si>
  <si>
    <t>Q1 = 2: the authors' conformance tool detects violations of a reference architecture but leaves their resolution to the architect, and automatic resolution is the stated gap (pp. 404-405); not 1, specific, though no research questions are posed.
Q2 = 2: reference architectures, architecture languages and the authors' MORE approach and AssistRA tool are introduced with an example (Section II, pp. 405-406), and related LLM work for architecture and model-driven engineering is positioned (Section V, pp. 408-409); not 1, specific.
Q3 = 2: the approach, the four violation types, the prompt skeletons (Listings 3-6), the mutations, the test bed and the three correctness categories are described (Sections III-IV, pp. 406-407); not 1, the study can be followed. Not stated: who judged the suggestions, how the models were accessed, the number of runs, and time or cost; no data are shared.
Q4 = 2: the recommender and its preliminary evaluation are stated as the contribution, extending the authors' earlier tool (p. 404); not 1, specific.
Q5 = 2: results per architecture (Table I) and per violation type (Table II), with a discussion of the two models' behaviour and of the architectures that were harder to fix (Sections IV-D and IV-E, pp. 408-409); not 1, specific.
Q6 = 1: the exploratory character, the non-exhaustive list of violations, the missing output format and presentation layer, and the variation across architectures are mentioned (pp. 406-408); not 2, there is no threats section, and the single domain, the authors' own mutations, the manual judgement and single runs are not discussed as threats; not 0, limitations are named.</t>
  </si>
  <si>
    <t>Six-page paper, scored as reported. Evidence strength is limited: one domain, four architectures mutated by the authors, two models, and one manual judgement per suggestion by evaluators who are not named; no data are shared. Reporting slips: counts are given 'over 16' (Gemini's two wrong fixes, ChatGPT's five undesired actions) while the success rates (90%, 70%) and ChatGPT's 25% wrong fixes use the 20 suggestions per model; for ChatGPT, Table II shows no wrong fix for Azure where Table I has one, and three undesired actions for SmartThings where Table I has two (4 wrong and 6 undesired in Table II against 5 and 5 in Table I); the combined-violation prompt is said to violate 'the RS' (p. 407). S8 is cited as 'Pace et al.'.</t>
  </si>
  <si>
    <t>Q1 = 2: views are costly to create and mostly never updated, and the capabilities of LLMs and agents for generating them from code are unexplored; a GQM goal and three research questions (pp. 245-246); not 1, operationalised.
Q2 = 2: background on prompting and agents (Section II, p. 246), and related work on architecture extraction from code, LLMs for architecture and LLM generation of UML models, with the study positioned against it (Section VII, p. 254); not 1, specific.
Q3 = 2: the dataset, pilot study, models (Tables I-II), prompt template, ArchView's agents, evaluation criteria, blinded human sampling and statistical tests are described (Section III, pp. 246-249), with a replication package; not 1, the study can be followed and repeated. Not stated: the model used as judge, how the judge's 26% over-strictness was established, run time and cost.
Q4 = 2: three contributions are listed: the evaluation and its dataset of generated views, the analysis by concern and quality attribute, and the replication package (p. 246); not 1, specific.
Q5 = 2: results per research question with tables, figures, tests and answer boxes, key findings and implications for researchers and practitioners (Sections IV-V, pp. 249-253); not 1, specific.
Q6 = 2: external, internal and construct threats in Wohlin's categories, each with a mitigation, including model selection, a single general-purpose agent, data leakage, the reliability and self-preference of the LLM judge, the notation choice, the small human sample and the ground truth (Section VI, pp. 253-254); not 1, each is named.</t>
  </si>
  <si>
    <t>A full score reflects reporting, not strength of evidence: the model used as judge is not named, the human evaluation covers 22 repositories without statistical tests, and several figures in the text do not match the tables. Reporting slips: 'success' counts meets and partially meets in the results but only meets in the abstract and discussion (ArchView's level of detail is 86% in one, 50% in the other); Table IV gives 22 views per approach, but the zero-shot and few-shot percentages fit 19 and 20; error rates are said to stay below 11%, whereas few-shot Claude 3.5 Sonnet failed on 41 of 340 repositories (12%); 266 of 340 ArchView views are said to match on clarity, whereas Table III gives 77.3% of 325 (251); the discussion's SSIM of 0.7 and 0.6 do not match Table III's means (0.60-0.64 and 0.55); the RQ2 answer says richer notation improves quality, though only SSIM differed significantly; the study period is given as April to September without a year.</t>
  </si>
  <si>
    <t>Q1 = 2: LLM benchmarks target implementation correctness, while architecture tasks lack datasets and a shared evaluation framework, so capabilities cannot be compared across models (pp. 1, 4); not 1, specific.
Q2 = 1: the gap is grounded in a multivocal review (FS02) and in benchmarks such as SWE-bench (pp. 1, 3-4); not 2, there is no related-work section, and the platform is not positioned against existing architecture datasets or benchmarks, including the ArDoCo benchmark it hosts; not 0, the context is given.
Q3 = 1: the platform's architecture, pipeline stages, plugin structure, tasks with datasets and metrics, and a usage walkthrough are described (Sections II-III, pp. 1-4); not 2, no research method is given: how the tasks were selected beyond a taxonomy, how submitted results are validated, and which models produced the results shown are not reported; not 0, the design is explicit.
Q4 = 2: two contributions are listed: the platform and the evaluation pipeline (p. 1); not 1, specific.
Q5 = 1: the benefits for researchers and practitioners, the current status and the research questions the platform enables are discussed (Section IV, p. 4); not 2, no findings are reported; not 0, insights are stated.
Q6 = 2: the platform's limits are named: evaluation methods inherited from the source datasets, text and test metrics that may miss architectural quality, no sandbox for agents, and uncovered areas (Section IV, p. 4); not 1, each is specific. Not discussed: variation between runs and contamination of public benchmark data in training data.</t>
  </si>
  <si>
    <t>Five-page showcase paper, scored as reported; no model is run and no results are reported, so the scores rest on the description of the platform. Reporting slips: the ADR dataset is described as 1,000 architectural documents from open-source projects and attributed to S4, which used 95 decision records from five repositories; the trace-link task is attributed to ref. [8], a study of web search engines for architectural knowledge, and the ArDoCo benchmark to ref. [9], FS15's conference paper, which is also cited among works on technical debt ([9]-[14]); Table I and the text name the serverless task differently.</t>
  </si>
  <si>
    <t>Q1 = 2: ROS2 architectures are large and decentralised, and whether LLMs can help comprehend them is unexplored; a GQM goal and four research questions with rationale (pp. 1, 3); not 1, operationalised.
Q2 = 2: background on ROS2 and computation graphs (Section 2, p. 2) and related work on LLMs for architecture, summarised in Table 1 and positioned against the study (Section 3, pp. 2-3); not 1, specific.
Q3 = 2: the systems (Table 2), models (Table 3), graph encoding, prompt (Listing 2), variables and design, execution steps and dates, question-generation algorithm, sampling rule and analysis are described (Sections 4-5, pp. 3-6), with a replication package; not 1, the study can be followed and repeated. Not stated: response times and the representations tried before JSON.
Q4 = 2: four contributions are listed: the evaluation, the question-generation algorithm, the discussion and the replication package (p. 2); not 1, specific.
Q5 = 2: results per research question with answer boxes, an analysis of incorrect answers, and implications for ROS developers and researchers (Sections 6-7, pp. 6-10); not 1, specific.
Q6 = 2: internal, external, construct and conclusion threats with mitigations, including prompt sensitivity, the choice of systems and models, the 100-word limit, the graph representation, regex matching and the ambiguity of /parameter_events (Section 8, p. 10); not 1, each is named. Not discussed: single runs per question, GPT-2 as the basis of perplexity, and prior exposure of public systems.</t>
  </si>
  <si>
    <t>A full score reflects reporting, not strength of evidence: three systems in simulation, one run per question, and questions that test reading a graph given in the prompt, with a ground truth derived from the same graph. Reporting slips: the abstract gives 300 of 1,230 prompts as incorrect, where 300 of 11,070 is meant; the results give 97.9% correct, whereas 300 errors in 11,070 is 97.3% and the per-system mean is 98.22%; four answers labelled incorrect were found correct on review, yet 300 errors are reported; the answer to RQ1 names gpt-4o and gpt-4o-mini, which are not among the nine models; the introduction dates 531M ROS package downloads to 2004.</t>
  </si>
  <si>
    <t>Q1 = 2: first-year students struggle with abstraction and large courses cannot give individual feedback on architecture design; three research questions (pp. 1-2); not 1, specific.
Q2 = 2: research on teaching abstraction and architecture, LLMs in education and LLMs for architecture design, with the study positioned against it (Section 2, pp. 2-3); not 1, specific, though the LLM-for-architecture part is brief.
Q3 = 1: the derivation of the framework, the system, the model choice, participants, materials, rubric with calibration, procedure and tests are described (Sections 3-5, pp. 4-9); not 2, the qualitative analysis of chat protocols and questionnaires that answers RQ1 and RQ2 is not described (who analysed them and how), model settings are not given, and the test statistics are only in the repository; not 0, the procedure is explicit.
Q4 = 1: the paper states that it presents the design, implementation and evaluation of the mentor and its educational implications (p. 2); not 2, no contributions are listed; not 0, the aim is clear.
Q5 = 2: results per research question: the mentor's component identification, four roles in learning, and the comparison of architectures with medians, time and messages (Section 6, pp. 9-11); not 1, specific.
Q6 = 1: three limitations are named: use of ChatGPT in the group without the mentor, short-term evaluation and generalisability (Section 7, p. 11); not 2, there is no threats section, and the small sample, self-reports, the single small model and the unexamined correctness of the mentor's suggestions are not discussed; not 0, limitations are named.</t>
  </si>
  <si>
    <t>Twelve-page conference paper, scored as reported from the author's version. Evidence strength is limited: the mentor's own output is judged only through students' reports and chat protocols, the rubric rates the students' final architectures, and 7 of 20 students in the group without the mentor used ChatGPT or similar tools. Reporting slips: the dialogue time is 64 minutes from the survey and, a sentence later, nearly 63 minutes as reported by the students; Kendall's W is cited to Landis and Koch (ref. [17]), whose paper concerns kappa; one paper is listed twice (refs. [1] and [6]).</t>
  </si>
  <si>
    <t>Q1 = 2: whether LLMs can carry out architecture, a cognitive and creative task, is largely unexplored; one research question, stated precisely (pp. 399-400); not 1, specific.
Q2 = 2: related work on deriving architecture from requirements, LLMs in software engineering, UML generation and LLMs for architecture, with the study positioned against it (Section II, pp. 400-401); not 1, specific.
Q3 = 2: the two workflows, system selection, reference diagrams, metrics, prompts (Fig. 3), tool and sampling settings are described (Sections III-IV, pp. 401-403); not 1, the study can be followed. Not stated: the number of runs per setting, who matched names and how disagreements were settled, and how the two systems were chosen from the 25 beyond the stated criteria.
Q4 = 1: the aims are stated (insights into how AI could reshape architecture practice, and scripts and results for replication) but no contributions are listed (p. 400); not 2, the contributions are general; not 0, the aim is clear.
Q5 = 2: results per system and for the two-pass setting, with tables and figures, and a discussion of styles, context and refinement (Sections V-VI, pp. 403-407); not 1, specific.
Q6 = 2: data leakage from public repositories, two systems, microservice focus, unproven real-world impact, off-the-shelf use without fine-tuning or retrieval, one-shot prompting and a structural focus are discussed, with planned remedies (Sections VI-B and VII, pp. 407-408); not 1, each is named.</t>
  </si>
  <si>
    <t>Scored as reported. Evidence strength is limited: two public systems, names matched by hand, and apparently one run per setting. Reporting slips: several precision and recall values in Table II do not follow from Table I (o3 with chain-of-thought on Online Boutique: 23 true positives, 18 false positives and 7 false negatives give 56.1% and 76.7%, not 34.8% and 53.3%; Gemini with chain-of-thought: 31.9% precision, not 40.5%); Table I's component counts for Llama in-context on Online Boutique sum to 10, not 12; the prompt labelled in-context learning has no examples; 'higher precision' is said to mean more false positives (p. 407); the material is called a GitHub repository but linked on an anonymised review site; model names are garbled in places ('Gemini 2.0 Gemini', 'Llama 4 Llama').</t>
  </si>
  <si>
    <t>Q1 = 2: little is known about how LLMs shape collaborative software design, as opposed to solo coding; four research questions (pp. 1783-1784); not 1, specific.
Q2 = 2: related work on software design practice, LLMs in software design and GenAI in collaborative group work, with the gap stated (Section 2, p. 1784); not 1, specific.
Q3 = 2: the task and requirements document, recruitment and participants, procedure and timing, data collected and the coding and thematic analysis are described (Section 3, pp. 1784-1786), with supplementary material; not 1, the study can be followed. Not stated: model settings, and the conversation logs are not shared.
Q4 = 2: three contributions are stated: patterns of collaborative use, four roles given to the LLM, and the centrality of designers' expertise (p. 1789); not 1, specific.
Q5 = 2: findings per research question with examples, a timeline (Fig. 1) and a table of assistance types, and implications for tools (Sections 4-5, pp. 1786-1790); not 1, specific.
Q6 = 2: design quality out of scope, varied LLM experience, an older model, and transfer to solo, co-located or industrial settings are discussed (Section 6, p. 1790); not 1, each is named.</t>
  </si>
  <si>
    <t>A full score reflects reporting, not strength of evidence: one greenfield task, GPT-3.5 Turbo in 2023-2024, qualitative analysis, and no assessment of the model's output or the designs. Reporting slips: Table 1 counts 12 pairs requesting artifacts, a type tagged only with the generator and producer roles, which together cover 11 pairs; the caption says General Design Help was sought only in the information-source and generator roles, while the table also tags the producer role.</t>
  </si>
  <si>
    <t>Q1 = 2: identifying and choosing design concepts is hard, especially for inexperienced designers, and LLM support for it is unexplored; a hypothesis and three research questions (pp. 87-89); not 1, specific.
Q2 = 2: background on design concepts and related work on pattern and component selection and on LLMs for architecture, with the article positioned against it (pp. 88-89); not 1, specific.
Q3 = 1: five method steps, the generation prompt, the models and the workshop procedure are described (pp. 89-90); not 2, the prompt used to have the models choose, the number of runs (one model answered a question twice), how the authors validated the alternatives and how human and model choices were compared are not described; not 0, the procedure is explicit.
Q4 = 1: the aims are stated (whether LLMs can be reliable design partners and how they should collaborate with humans), but no contributions are listed (pp. 88-89); not 2, general; not 0, the aim is clear.
Q5 = 2: results per research question with a table and a figure, a synthesis of the workshop discussions and guidance on how architects can use LLMs (pp. 90-95); not 1, specific.
Q6 = 1: the isolated nature of the problems and the single generating model are named only as future work (pp. 94-95); not 2, there is no limitations section, and the small workshop sample, the authors' own validation of the alternatives and the use of GPT-4o both to generate the problems with a suggested answer and to answer them are not discussed; not 0, some limits are named.</t>
  </si>
  <si>
    <t>Magazine feature, scored as reported. Evidence strength is limited: 14 model-generated problems validated by the authors, and 23 workshop participants on five of them. Reporting slips: agreement is counted out of five although four models answered (ChatGPT's two answers counted separately, explained only for the first problem); consensus among models and the difference from humans are called significant without a statistical test; S5's first author is spelled 'Sliman'.</t>
  </si>
  <si>
    <t>Q1 = 2: DEECo's semantics are a hurdle for newcomers, and whether LLMs can help depends first on whether they understand ensemble-based architectures; three research questions (pp. 208-209); not 1, specific.
Q2 = 2: the DEECo model and its three DSLs are described with examples (Section 2, pp. 210-213), and related work on LLM evaluation, LLMs for architecture and LLMs in collective adaptive systems is positioned against the study (Section 5, pp. 220-221); not 1, specific, though brief.
Q3 = 1: the framework, the question dimensions, the three steps and the three question variants, and the model version are described (Sections 3-4, pp. 214-216); not 2, the full question sets per application, who judged the qualitative answers and how, and what counted as correct are not reported; not 0, the procedure is explicit.
Q4 = 1: the aim, a first step towards LLM support for designing ensemble-based architectures, is stated, but no contributions are listed (pp. 208-209); not 2, general; not 0, the aim is clear.
Q5 = 2: results per research question with example listings, and a summary answering each question (Section 4, pp. 216-220); not 1, specific, though without counts.
Q6 = 1: the single model and the chance that the model learns from the chat history, with a mitigation, are discussed (Section 4.5, p. 220); not 2, the use of the authors' own public applications and papers, their own judgement of the answers and the lack of counts are not discussed; not 0, limitations are named.</t>
  </si>
  <si>
    <t>Scored as reported. Evidence strength is limited: three of the authors' own example applications, one model, and descriptive results without counts. Reporting slips: the RQ3 summary says answers are 'far from being just hallucinated', although with anonymised names ensemble identification got worse and the Step-3 questions were not tested; ref. [4] (Brown et al.) carries the DOI of ref. [3].</t>
  </si>
  <si>
    <t>Q1 = 2: architectural refactoring with LLMs is underexplored, with limited empirical work beyond code-level tasks; a main question refined into RQ1 (effectiveness) and RQ2 (efficiency) (Sections I and III-A, pp. 268-270); not 1, specific.
Q2 = 2: existing approaches to microservice identification and AI and LLMs for architectural refactoring are reviewed, and the paper is positioned against them (Section II, p. 269); not 1, specific.
Q3 = 2: GQM goal, three-phase pipeline, the four systems with pinned commits and their reference decompositions, models and selection criteria, summarisation strategies, prompt structure and output schema, metrics, controls and statistical tests (Sections III-IV, pp. 269-274); not 1, detailed enough to repeat with the shared package.
Q4 = 2: three contributions are listed (pipeline, controlled evaluation, comparison with tools) (Section I, p. 268); not 1, specific.
Q5 = 2: results per comparison with tables, test statistics and effect sizes, per-model, per-strategy and per-system analyses and token counts (Section V, pp. 274-276); not 1, specific.
Q6 = 2: construct, internal, external, data and history, and leakage and researcher-bias threats are discussed, including single runs, no human assessment and possible training-data leakage (Section VII, p. 277); not 1, specific.</t>
  </si>
  <si>
    <t>Scored as reported. Evidence strength is limited: four open-source Java systems, one run per configuration, benchmark metrics only, no human assessment, and possible training-data leakage, all named by the authors. Reporting slips: 85.87 is given as the CiD of both the hierarchical and the AI-aggregation strategies (Section V-D.2); a non-existent 'Section 4.5.2' is referenced; the systems are described as 24-53 classes but also as about 10k to over 100k lines of code; RQ2 names time, but only tokens are reported.</t>
  </si>
  <si>
    <t>Q1 = 2: decomposition methods rely on code and ignore the domain knowledge in requirements; three research questions with their rationale (Sections 1 and 3, pp. 79-81); not 1, specific.
Q2 = 2: foundational concepts of decomposition, code-based and LLM-based approaches, and the research gap (Section 2, pp. 80-81); not 1, specific.
Q3 = 1: the four steps, dataset, prompting strategies, prompt contents, metrics and expert protocol are described, with prompts in the repository (Section 3, pp. 81-82); not 2, how generated services and links were matched to the reference and by whom is not described, the number of experts differs between method (six) and results (four), and the temperature value and number of runs are not given; not 0, the procedure is explicit.
Q4 = 2: three contributions are listed (framework, empirical evaluation, qualitative expert analysis) (Section 1, p. 80); not 1, specific.
Q5 = 2: results per research question with tables, answer boxes and expert comments per system and question (Section 4, pp. 83-86); not 1, specific.
Q6 = 2: construct, internal, external and reliability threats, including the reference baseline, non-determinism, the influence of the single example, expert bias and the authors' own analysis of comments (Section 6, pp. 87-88); not 1, each is named with a mitigation.</t>
  </si>
  <si>
    <t>Scored as reported. Evidence strength is limited: two small systems with requirements refined by the authors, one model, apparently one output per configuration, and open comments analysed by the authors. Reporting slips: six experts in the method, four in the results; the abstract's link figures (33 of 38 zero-shot, every link one-shot) differ from Table 2 (32 and 36 of 38), and the final remarks give 14 extra one-shot links against 12; the references come from static analysis of code in Section 3 but from live deployments in Section 4.2; two expert averages in the text differ from Table 3; an attention-pattern examination is mentioned for an API-only model; the model is called 'GPT-4 o3'.</t>
  </si>
  <si>
    <t>Q1 = 2: architecting AI-enabled systems in dynamic production domains needs automation that manual methods cannot give; six research problems are stated (Sections 1 and 3, pp. 155-156, 159-160); not 1, specific.
Q2 = 1: key concepts are defined (Section 2, pp. 157-158), and LLM work on grounded theory, system modelling and code verification is cited in the discussion (pp. 164-165); not 2, there is no related-work section and the proposals are not positioned against LLM work on architecture; not 0, context is given.
Q3 = 1: the approach and its place in a CI/CD pipeline are described (Figs. 1-2, pp. 158-162), and the proposed LLM tasks name input, output and metamodel (pp. 164-165); not 2, no model, prompts or evaluation are given for the proposals and the methods of the earlier contributions are deferred to their papers; not 0, the proposals are explicit.
Q4 = 2: six contributions and four open challenges are listed (Sections 3-4, pp. 159-163); not 1, specific.
Q5 = 1: the outcomes of the earlier contributions are summarised qualitatively, without figures, and the paper's own findings are proposals (Sections 3 and 5, pp. 159-165); not 2, nothing is reported in detail; not 0, outcomes and proposals are stated.
Q6 = 1: the remaining manual steps (hand-written models, hand-coded detectors) are named as limitations of the current approach (pp. 161, 165); not 2, threats and limitations are deferred to the earlier papers and none are discussed for the proposed LLM tasks; not 0, limitations are named.</t>
  </si>
  <si>
    <t>Scored as reported. No model is run; the architectural LLM tasks are proposals, and earlier LLM work of the authors is summarised without figures. Reporting slips: S4 is cited for LLMs automating architectural synthesis, documentation and adaptation, although S4 studies design-decision generation only; ref. [1] has an unclear venue and a truncated URL; LLMs are defined with footnotes to Wikipedia and an NVIDIA glossary.</t>
  </si>
  <si>
    <t>Q1 = 2: ADRs are often abandoned because of their cost, and earlier ADR generation treats each decision in isolation; a GQM goal and three research questions (Sections 1 and 3.1-3.2, pp. 1-3); not 1, specific.
Q2 = 2: ADR practice and context engineering with retrieval are reviewed (Section 2, p. 2), and LLM work on architecture knowledge, decisions and design is positioned against the study (Section 6, p. 10); not 1, specific.
Q3 = 1: dataset curation, models and their selection, the five context strategies and the metrics are described (Section 3, pp. 2-5), with a replication package; not 2, the prompt text, sampling settings and number of runs are not given, K was chosen from unreported preliminary experiments, and the manual review had no protocol; not 0, the procedure is explicit.
Q4 = 2: three contributions are listed (the sequential ADR corpus, the influence of decision history, the comparison of four context strategies) (Section 1, p. 2); not 1, specific.
Q5 = 2: results per research question with a full table, boxplots, a longitudinal figure and answer boxes (Section 4, pp. 5-7); not 1, specific.
Q6 = 2: construct, internal, external and conclusion threats are discussed, including replication fidelity, informal manual review, title extraction errors, untuned K, non-determinism and training-data leakage (Section 5.3, pp. 9-10); not 1, each is named.</t>
  </si>
  <si>
    <t>Scored as reported. Evidence strength is limited: text similarity to the human record is the only measure of quality, the manual review was informal, and no statistical tests are reported. Reporting slips: statistical significance is claimed in the abstract and the RQ1 answer without any test; the advantage of retrieval for cross-cutting decisions rests on informal inspection; cost is argued but only output lengths are reported; S4 is listed twice (refs. [8] and [9]); the Qwen reference is missing; one Díaz-Pace work is cited without a reference; GLM-4.6 is described as graph-augmented.</t>
  </si>
  <si>
    <t>Q1 = 2: it is unclear whether LLMs can apply explicitly requested patterns to given requirements, which matters before they are trusted with more autonomous design; four research questions (Section 1, pp. 1-2); not 1, specific.
Q2 = 2: work on model generation from text, UML generation with LLMs, LLM architectural reasoning and benchmarks is reviewed, with four gaps listed (Section 2, pp. 2-4); not 1, specific.
Q3 = 2: systems, requirement variants, prompt templates (linked), models, RAG pipeline and parameters, rubric, rating procedure and metrics are described (Section 3, pp. 4-12; Appendix A), with all materials published; not 1, the study can be repeated. Not stated: sampling settings, the agreement statistic and the number of Phase 2 scenarios.
Q4 = 2: four contributions are listed (requirement representations and RAG, diagram-as-code, evaluation criteria, a reusable workflow) (Section 2, p. 4); not 1, specific.
Q5 = 2: results per research question with example diagrams and figures by model, input and retrieval setting (Section 4, pp. 12-20); not 1, specific.
Q6 = 2: internal, construct and external threats are discussed, including subjective rating, single runs, the static class-diagram view, the model selection and the small systems (Section 5, pp. 20-22); not 1, each is named.</t>
  </si>
  <si>
    <t>Scored as reported. Evidence strength is limited: two small systems the authors built, one run per configuration, rating by the authors, and no statistical tests. Reporting slips: requirement representation is said to have 'significantly' influenced results without a test; the agreement statistic is not named; it is unclear whether jointly reviewed ratings changed the averaged scores; the number of Phase 2 scenarios is not given; 'chinking' in Figure 1.</t>
  </si>
  <si>
    <t>Q1 = 2: ML-based adaptation needs application-specific data and training, and ensemble resolution by constraint optimisation scales exponentially; three research questions (Section 1, pp. 1-2); not 1, specific.
Q2 = 2: the DEECo model and the running example are introduced (Section 2, p. 2), and work on LLMs for software design, LLMs in self-adaptive systems, multi-agent systems, ML and architecture, and LLM laziness is positioned against the study (Section 7, p. 13); not 1, specific.
Q3 = 2: the specification, prompt generation, validation and retry, offline generation, simulation, baselines, facet variation, runs, model versions and scalability set-up are described (Sections 4-6, pp. 3-10), with prompts, generated managers and the framework in the replication package; not 1, the study can be repeated. Not stated: sampling settings.
Q4 = 1: the two approaches and the research questions are stated and the framework is mentioned in the conclusion (pp. 2, 13); not 2, contributions are not listed; not 0, the aim is clear.
Q5 = 2: results per model, strategy, prompt facet and problem size with figures and tables, a second example and lessons learned (Sections 6.4-6.8, pp. 7-11); not 1, specific.
Q6 = 2: construct, internal, external and reliability threats following Runeson et al., including proxy metrics, fast model change, itemised experiments, stochasticity and prompt sensitivity (Section 6.10, pp. 12-13); not 1, each is named.</t>
  </si>
  <si>
    <t>Scored as reported. Evidence strength is limited: simulations of the authors' own examples, baselines including their own rule-based manager, and offline managers generated by hand through a web interface. Reporting slips: Section 4.3 describes checking the specification's custom constraints, but only system constraints were checked in the experiments; 'scaleability' in the caption of Table 3.</t>
  </si>
  <si>
    <t>Q1 = 2: ADR adoption is held back by the effort of capturing decisions, and existing LLM approaches assume structured input; four research questions (Sections 1 and 4.1, pp. 1, 3); not 1, specific.
Q2 = 1: the difficulty of identifying decisions, ADRs and LLM-based ADR generation, and multi-agent orchestration are reviewed briefly (Section 2, pp. 1-2); not 2, prior LLM work on ADRs is summarised in a few sentences without positioning against specific approaches; not 0, context is given.
Q3 = 1: the workflow (state, nodes, critique categories), baselines, data, rounds, questionnaire and expert review are described (Sections 3-4, pp. 2-4); not 2, prompts, model settings and the loop bound are not in the paper, how generated ADRs were mapped to the experts' decisions and by whom is not described, and the number of experts is inconsistent; not 0, the procedure is explicit.
Q4 = 1: GADR is presented as a first proof of concept of ADR generation from meetings (Section 1, p. 1); not 2, contributions are not listed; not 0, the aim is clear.
Q5 = 2: results from three perspectives with counts, a summary table, examples, failure modes and an answer to each research question (Sections 5-6, pp. 4-5); not 1, specific.
Q6 = 2: threats from LLM and retrieval-based generation, verbosity, the educational setting, the small number of transcripts and students rating their own projects are discussed (Section 7, p. 6); not 1, each is named.</t>
  </si>
  <si>
    <t>Scored as reported. Evidence strength is limited: five transcripts, mostly from students, one model, three rounds, and participants rating ADRs of their own projects. Reporting slips: four senior architects in Section 4.2 but 'the senior evaluator' in Section 5.3; respondents said to come from 'the five student groups' although one team is senior researchers; coverage given as 'approximately 18 of the 23'; the ethics footnote still refers to anonymous review.</t>
  </si>
  <si>
    <t>Q1 = 2: decomposition methods are code-centric and miss business intent in text, and few studies evaluate full decompositions from requirements; two research questions with rationale (Sections 1-3, pp. 1-3); not 1, specific.
Q2 = 2: decomposition techniques and LLM work on architecture and microservices are reviewed and the gap is stated (Section 2, p. 2); not 1, specific.
Q3 = 2: data preparation, models and their selection, prompt family and schema, deterministic decoding, safeguards, matching and metrics are described (Section 3, pp. 2-4), with prompts and outputs in supplementary material; not 1, the study can be repeated.
Q4 = 1: contributions are summarised only in the final remarks (a multi-model evaluation, a reproducible pipeline and artefacts, a characterisation of failure modes) (Section 7, p. 7); not 2, they are not listed up front; not 0, they are stated.
Q5 = 2: results per research question with count tables, metric figures, qualitative graph patterns and answer boxes (Section 4, pp. 4-6); not 1, specific, though some values in the text do not match the tables.
Q6 = 2: construct, internal, external and conclusion threats are discussed, including the reference as one valid design, single runs, possible training exposure and the absence of hypothesis tests (Section 6, p. 7); not 1, each is named.</t>
  </si>
  <si>
    <t>Scored as reported. Evidence strength is limited: two small, well-known systems with requirements revised by the authors, one run per configuration, automated matching and no statistical tests; the same model gave different results from FS30's runs on the same systems. Reporting slips: several precision and F1 values in Section 4.2 do not match Table 2 (PetClinic one-shot link F1 of 0.567, 0.654 and 0.65 against about 0.48, 0.60 and 0.52 from the counts); Bookstore service scores given as 0.857 for precision, recall and F1 although there were no extras; references said to come from static analysis and from deployments.</t>
  </si>
  <si>
    <t>Q1 = 2: assessing the quality of architecture diagrams is labour-intensive, and whether LLMs can evaluate existing diagrams is largely unexplored; two research questions (Section 1, p. 88); not 1, specific.
Q2 = 2: documentation standards and view models, evaluation methods, studies of diagram comprehension and LLM work on architecture are reviewed, and the niche is stated (Section 2, p. 89); not 1, specific.
Q3 = 2: the five stages, the criteria, the prompt (Fig. 1), the model, interface and settings, the selection of 4 of 15 papers, the absence of preprocessing, the expert's background and the meaning of each agreement level are described (Section 3, pp. 89-92); not 1, the study can be repeated, though the model version behind the web interface is not fixed.
Q4 = 2: three contributions are listed: the prompting approach, the exploratory findings, and the categorised challenges with guidelines (Section 1, p. 89); not 1, specific.
Q5 = 2: results per tool with the model's ratings, justifications and suggestions and the expert's comments (Tables 1-4), consolidated counts (Table 5) and three failure patterns (Section 4, pp. 92-94); not 1, specific, though the rating counts in Table 5 do not match Table 4.
Q6 = 2: internal (a single expert who is also an author), construct (how the criteria were operationalised), external (four tool papers, one model) and reliability threats (non-determinism, one run) are discussed (Section 6, p. 95); not 1, each is named.</t>
  </si>
  <si>
    <t>Nine-page workshop paper, scored as reported. Evidence strength is limited: four tool papers, one model, one run per case, and one expert, an author, who judged the model's assessments rather than rating the diagrams independently; no agreement coefficient. Reporting slips: Table 4 rates AutomTest 3.0's level of detail as meets, while Table 5 and the text count it as partially meets (13 partially meets and 7 meets; 12 and 8 by Tables 1-4); Section 3.2 describes role prompting, but the template in Figure 1 has no role statement; the AutomTest 3.0 paper is listed as 'An Automated Test Generation Tool for Android Applications' (Section 3.4), but its reference [31] is titled 'An automated test-case generation tool from User Story processing powered with LLMs'.</t>
  </si>
  <si>
    <t>Q1 = 2: fragmented artefacts, lost traceability and the cognitive load of designing industrial software architectures motivate the work; one research question, three objectives and a hypothesis (Section 1, pp. 2-3); not 1, specific.
Q2 = 1: architecture in Industry 4.0 (ADLs, MBSE, architecture-as-code), AI assistants and human-AI collaboration are reviewed and three gaps are stated (Section 2, pp. 4-6); not 2, LLM work on architecture design is represented only by UML generation from requirements and a survey of multi-agent systems; not 0, a gap is stated.
Q3 = 1: the DSM mapping, workflow, components, roles and prototype (SDK, rendering libraries, schemas, linked code) are described (Sections 3-4, pp. 6-13); not 2, the model, prompts and the input and procedure of the demonstration are not reported beyond one screen capture; not 0, the design is explicit.
Q4 = 2: the main contribution is stated as the framework with a feasibility prototype (Section 1, p. 3) and restated as a research baseline (Section 5, p. 14); not 1, specific.
Q5 = 1: the framework is presented (Figs. 2-3, Table 2) with a feasibility illustration (Fig. 4, schemas) (Section 4, pp. 8-13); not 2, no outcome of the prototype is reported, and the research question and hypothesis are not answered; not 0, the artefact is presented.
Q6 = 1: limits of the current implementation (session-scoped persistence, no long-term memory, validation limited to the parsing libraries, no MCP) and of the framework's scope (one project, one architect, one agent) are stated (Sections 4 and 4.3, pp. 10, 13); not 2, threats to the validity of the approach and the reliability of the agent's output are not discussed; not 0, limitations are named.</t>
  </si>
  <si>
    <t>Scored as reported; page numbers are those of the authors' 17-page preprint. Evidence strength is minimal: one screen capture of one session, no evaluation, and the model behind the OpenAI Agents SDK is not named; the linked prototype repository was not checked. Reporting slips: Section 3 goes from 3.1 to 3.3, with no 3.2; the two sentences introducing Fig. 4 are repeated word for word in Section 4.3 (p. 12); 'phasers' (p. 7); 'managed by a dedicated.' lacks a word (p. 14); AAS is not expanded; the chapter is dated 2027 in its citation line for a conference held in June 2026.</t>
  </si>
  <si>
    <t>Q1 = 2: clustering and pattern-based recovery lack semantic awareness and are brittle to drift, and existing LLM approaches are passive; the problem and five recovery goals are defined (Sections I-IV, pp. 493-495); not 1, specific.
Q2 = 2: clustering-based, model-driven and LLM-based recovery are reviewed and two gaps are stated (Section II, p. 494); not 1, specific.
Q3 = 1: the pipeline, graph schema, prompt principles and prompts (Figs. 2-5), the three phases with batching and validation, and the three systems are described (Sections IV-VII, pp. 495-499); not 2, the LLM, its settings and the number of runs are not reported and no code is shared, so the study cannot be repeated; not 0, the procedure is explicit.
Q4 = 1: the novelty is stated in the positioning (iterative prompting, context buffering, a shift phase blending graph metrics with LLM refinement) (Section II.E, p. 494) and in the conclusion (p. 502); not 2, contributions are not listed; not 0, they are stated.
Q5 = 1: recovered architectures per system with figures, a prose mapping to SQLite's documentation, a function-count matrix for Bash and run times (Section VII, pp. 499-502); not 2, results are described qualitatively without an agreement measure or baseline, and the manual check of cJSON is not reported; not 0, results are presented per system.
Q6 = 0: no limitations or threats to validity are discussed; the concerns raised about spread in the Bash matrix (p. 502) concern the results, not the validity of the study; not 1, nothing on the study's own limits is named.</t>
  </si>
  <si>
    <t>Scored as reported. Evidence strength is limited: three C systems compared qualitatively, one only by the authors' manual check, with no baseline, no recovery metric and no repeated runs; the LLM is never named. Reporting slips: the Bash gold standard is attributed to 'Lin et al. [9]' (p. 500), but ref. [9] is Lutellier et al. (ICSE 2015); the Bash matrix (Table III) sums to 2,556 functions against 2,637 in Table I, without explanation; the SQLite result is called a clear alignment although three documented sub-components are each spread over two to six recovered components.</t>
  </si>
  <si>
    <t>Q1 = 2: LLM answers about architectures can look accurate yet be hallucinated from component names, and how the specification is represented matters; two research questions (Section 1, p. 608); not 1, specific.
Q2 = 2: frameworks and metrics for evaluating LLMs, LLM use in architecture design and studies of LLMs understanding graphs are reviewed and the study is positioned against them (Section 5, pp. 615-616); not 1, specific, though brief.
Q3 = 2: test-pattern structure, the full list of patterns with three worked examples, the ADL variants, the two modes, model versions, the prompt parts with an example, repetitions and a replication package are described (Sections 3-4, pp. 609-613); not 1, the study can be repeated, though sampling settings are not reported.
Q4 = 1: the aim, a methodology of test patterns and metrics, is stated (Abstract; Section 1, p. 608), and the tool is named as part of the contribution (p. 613); not 2, contributions are not listed; not 0, they are stated.
Q5 = 2: mean scores per pattern, ADL variant, model and mode (Table 2), with observations on imports, wording and incorrect workflows and an example response (Sections 4.3-4.4; Fig. 3, pp. 613-616); not 1, specific, though the instances are few.
Q6 = 1: sensitivity to wording, tailoring the patterns to one ADL and the use of two models are discussed as threats (Section 4.5, p. 615); not 2, the small number of instances is noted only with the results (p. 613), and who wrote the reference answers and possible exposure of the models to the language are not discussed; not 0, threats are named.</t>
  </si>
  <si>
    <t>Scored as reported. Evidence strength is limited: 25 test instances from 8 patterns, two OpenAI models and one ADL, with reference answers and manual checks by the authors; the text metrics used for functionality questions are acknowledged to be unreliable. Reporting slips: the conclusions list step-by-step reasoning as improving the results, although no condition without it was run; line 26 of Figure 1 links HyperParameters to itself; 'Lanuage' (abstract). We recomputed the totals in Table 2 from the pattern scores, and they agree.</t>
  </si>
  <si>
    <t>Q1 = 2: security has to be designed in through patterns, less experienced architects struggle to choose among them, and general LLMs have knowledge limits in specialised domains; two research questions (Sections 1 and 4.1, pp. 1, 3); not 1, specific.
Q2 = 2: security, security patterns and RAG are introduced, and LLM work on pattern selection and ADR generation is reviewed with two limitations and a gap stated (Sections 2-3, pp. 2-3); not 1, specific.
Q3 = 1: the design (objects, factors, treatments, controlled variables, templates), the corpus construction and the NotebookLM setup are described (Sections 4-5, pp. 3-5); not 2, the number of runs per prompt is not stated and the coding procedure is described inconsistently; not 0, the procedure is explicit.
Q4 = 2: two contributions are listed, preliminary evidence of the limits of general LLMs and a curated corpus of security strategies (Section 1, p. 1); not 1, specific.
Q5 = 2: outputs per treatment, model and prompt with observations (Table 1) and for the corpus-grounded tool (Table 2), with a comparison (Sections 4.3 and 6, pp. 3-6); not 1, specific, though without counts.
Q6 = 1: construct (subjective assessment, corpus coverage), internal (zero-shot prompting, no hyperparameters) and external threats (five patterns, three tools, security only) are discussed with mitigations (Section 8, pp. 5-6); not 2, that the corpus contains the patterns the problems were built from and that each condition has one reported output are not discussed; not 0, threats are named.</t>
  </si>
  <si>
    <t>Scored as reported. Evidence strength is limited: five design problems, one reported output per condition, two general models used through web interfaces and one RAG tool, and qualitative coding by the authors; the corpus-grounded condition retrieves from a corpus that contains the target patterns. Reporting slips: Section 4.2 has the outputs coded by two researchers, Section 8 by one researcher validated by a senior one; the patterns are selected at random from three secondary studies (Section 4.1) or from the whole corpus of 98 (Section 8); the outline of the paper (Section 1) skips Sections 6 and 7.</t>
  </si>
  <si>
    <t>Q1 = 2: greenfield decomposition from ambiguous user stories is hard, and LLM generation can produce structurally inconsistent decompositions; the aim, a formally constrained search, is stated (Section 1, p. 366); not 1, specific, though no research questions are posed.
Q2 = 2: requirement-driven, semantic and metric-based, and generative and formal approaches to microservice discovery are reviewed and the work is positioned (Section 2, pp. 366-367); not 1, specific, though brief.
Q3 = 2: the prompts' content, the abstraction, the three invariants, the fitness equations and penalty, the model, temperature, population, elite, generations and datasets are described, with a reproducible package (Sections 3-4, pp. 367-368); not 1, the study can be repeated, though the number of runs per dataset is not stated.
Q4 = 1: the contribution is stated as a formally constrained search process for microservice discovery (Section 1, p. 366); not 2, contributions are not listed; not 0, it is stated.
Q5 = 1: results are aggregate curves of fitness, validity, cohesion and run time with one example decomposition (Section 5; Figs. 2-4, pp. 368-369); not 2, there are no per-dataset results or variation; not 0, the main values are given.
Q6 = 2: the narrow kernel, the thin story-card input and the internal-only evaluation without expert judgement, statistics or baselines are discussed (Section 5, p. 369); not 1, each is named.</t>
  </si>
  <si>
    <t>Eight-page emerging-ideas paper, scored as reported. Evidence strength is limited: internal improvement across generations on 22 story-card datasets with one model and proxies only, without baselines, expert judgement or statistics. Reporting slips: Figure 3(a) labels the rise from 74.5% to 99.5% '+25.0% Improvement', which is 25 percentage points; the unit of the run times in Figure 3(c) is not stated.</t>
  </si>
  <si>
    <t>Q1 = 2: architecture diagram review is manual and subjective, and evidence on LLM evaluation of diagrams is limited; three research questions (Sections 1 and 3.1, pp. 1, 4); not 1, specific.
Q2 = 2: architecture diagrams, quality criteria and LLM work in architecture and diagram evaluation are reviewed, and the closest study is positioned against (Section 2, pp. 2-4); not 1, specific.
Q3 = 2: system selection, artefacts, the 15-check framework, models and access, a full prompt, the factorial design, the audit and the construction of reference scores, and the analyses are described (Section 3, pp. 4-6), with a replication package; not 1, the study can be repeated, though model settings are not reported.
Q4 = 2: five contributions are listed (Section 1, p. 2); not 1, specific.
Q5 = 2: results per research question with tables, figures, bootstrap checks and answer boxes (Section 4, pp. 7-9); not 1, specific.
Q6 = 2: internal (training exposure, fatigue), construct (criteria coverage, binarisation, preference as perceived usefulness), external and conclusion validity (non-independence) are discussed (Section 6, p. 10); not 1, each is named.</t>
  </si>
  <si>
    <t>Scored as reported. Evidence strength is moderate for a single study: six public open-source systems, two models whose results are pooled, reference scores from two engineers per diagram with the researchers deciding split labels, and representation differences in scores that are not robust. Reporting slips: Table 6 gives ties as 26.4% (67 of 253 is 26.5%); 'ordinal agreementIn contrast' lacks a full stop (Section 1, p. 2). We recomputed the F1 values, the preference shares, the chi-square p-value and the Wilson interval, and they agree with the text.</t>
  </si>
  <si>
    <t>Q1 = 2: architectural knowledge is scattered across heterogeneous artefacts and drifts into inconsistency as systems evolve (Section 1, p. 487); not 1, specific, though no research questions are posed.
Q2 = 2: traceability, consistency and conformance checking, knowledge bases, LLMs in software engineering and question answering are reviewed (Section 2, pp. 488-489); not 1, specific, though brief.
Q3 = 1: each planned step is described with its techniques and expected outcome (Section 3, pp. 488-489); not 2, no models, data or evaluation design are specified; not 0, the plan is explicit.
Q4 = 1: the envisioned pipeline and its planned steps are stated (Abstract; Section 1, p. 487); not 2, contributions are not listed; not 0, they are stated.
Q5 = 1: the vision is presented as a pipeline with expected outcomes per step (Fig. 1; Section 3, pp. 488-489); not 2, nothing is implemented or evaluated; not 0, the proposal is explicit.
Q6 = 1: seven anticipated challenges are discussed (Section 4, p. 490); not 2, threats to the planned evaluation are not discussed; not 0, limits are named.</t>
  </si>
  <si>
    <t>Five-page vision paper, scored as reported; there is no empirical evidence yet. Its pipeline figure is adapted from the authors' KIT technical report (ref. [23]). Reporting slips: the data-privacy point is made twice in Section 4, under knowledge-base performance and again under security and access management (p. 490).</t>
  </si>
  <si>
    <t>Q1 = 2: designing an architecture from specifications is slow and error-prone, and LLM work has not addressed component diagrams from informal specifications; the aim is to study how well LLMs generate them (Sections I-II, pp. 291-293); not 1, specific, though no research questions are posed.
Q2 = 2: rule-based NLP for UML, LLM generation of class and sequence diagrams and LLM architecture assistants are reviewed, and the work is positioned earlier in the life cycle (Section II, pp. 292-293); not 1, specific.
Q3 = 1: the full system prompt, an example input, the model and version, the dataset and the formal definitions of every indicator are given (Section III, pp. 293-296); not 2, the traces and ground truths are not released and the number of generations and settings are not reported; not 0, the pipeline and measures are explicit.
Q4 = 1: the pipeline, the formal characterisation and the evaluation are stated as the work (Section I, p. 291); not 2, contributions are not listed; not 0, they are stated.
Q5 = 2: per-trace and aggregate values for all 21 indicators, with an interpretation of each category and a discussion of failure types (Section IV; Table I, pp. 296-298); not 1, specific.
Q6 = 1: the compact traces, non-unique ground truths, non-exhaustive indicators and the oversimplification and missing implicit elements are discussed (Sections III-A, III-C and IV-A, pp. 294, 296-298); not 2, there is no threats-to-validity discussion, for example of repeated runs or of possible exposure of course exams in training data; not 0, limits are named.</t>
  </si>
  <si>
    <t>Scored as reported. Evidence strength is limited: 12 compact exam traces from one course, one model, no stated number of runs, one ground truth per trace and no statistics or baselines. Reporting slips: 'About half of them (isConn = 7) present isolated components' (p. 297), where Table I counts seven connected diagrams, so five of twelve have isolated components; the differences in components, interfaces and primary components and interfaces are called consistently negative (p. 297), but Table I has positive values for some traces (for example Δcomp +4 for #04 and Δint +3 and ΔprimInt +4 for #09); the discussion names specMissMeth among the indicators of implicit elements (p. 298), where the domain-knowledge indicator is domMissMeth. We recomputed the aggregate values in Table I from the per-trace values, and they agree.</t>
  </si>
  <si>
    <t>Q1 = 2: code-level recovery captures the eroded rather than the intended architecture, and LLM-based recovery struggles with non-determinism; three research questions (Section 1, pp. 1-2); not 1, specific.
Q2 = 2: architecture erosion, C4, prompt chaining, LLM-based recovery and diagram generation are reviewed, and the gap in stability reporting and in realistic, fragmented inputs is positioned against (Sections 2-3, pp. 2-3); not 1, specific.
Q3 = 2: the five pipeline steps, the prompting techniques, the model version and settings, the projects, the interview and traceability procedure and the stability measures are described (Sections 4-5, pp. 3-4), with code, prompts and the interview guide archived; not 1, the study can be repeated on other data, though the company data cannot be shared.
Q4 = 2: two primary contributions are stated (Section 3, p. 3); not 1, specific.
Q5 = 2: themes with quotes and a summary table, the traceability analysis and stability statistics per project and step are reported (Section 6; Tables 2-3; Fig. 2, pp. 4-6); not 1, specific.
Q6 = 2: familiarity and recall bias, a single coder, construct validity of count-based stability, a single company and model, young projects and context-window limits are discussed (Section 7, Limitations, pp. 7-8); not 1, each is named.</t>
  </si>
  <si>
    <t>Scored as reported. Evidence strength is limited for a single study: two young projects of one company, three practitioners familiar with them, qualitative coding by one researcher supported by AI-assisted analysis, one model, and stability measured by counts of nodes and edges only; perceived accuracy stands in for a ground truth. Reporting notes: expert E1 is from Project B and E2 and E3 from Project A, so Project B rests on one interview (p. 3); the acknowledgements disclose generative AI use in qualitative analysis, code generation and 'peer-review simulation' (p. 8); per-run counts are shown only in Fig. 2, so we could recompute only Project A's Container coefficient of variation (9.6% for an even split of five and six, as reported).</t>
  </si>
  <si>
    <t>Q1 = 2: architectural knowledge needed to justify decisions is fragmented, and pattern catalogues are fixed and manually curated; one central research question with four parts (Sections I and IV, pp. 114, 116); not 1, specific.
Q2 = 2: pattern catalogues, knowledge graphs in software engineering and LLMs for extraction and architectural design are reviewed, and the work is positioned (Section II, pp. 114-115); not 1, specific, though brief.
Q3 = 1: the ontology, the four construction stages with an example prompt, the query templates, the loop, the model and temperature, the paper queries and the conditions are described (Sections III-IV, pp. 115-116); not 2, the number of participants and runs, the full prompts and any artefacts are not given; not 0, the design is explicit.
Q4 = 1: the framework and its two functions are stated (Section I, p. 114); not 2, contributions are not listed; not 0, they are stated.
Q5 = 1: one results table across eight conditions with an answer to the research question and one traced example (Section IV-B; Table I, p. 117); not 2, results are single counts without variation or statistics; not 0, the main values are given.
Q6 = 1: the single task, small sample, partial sources, recombinant uncertainty and simplified ontology are named (Section IV-C, p. 117); not 2, threats are not discussed in detail, for example the unstated number of participants or run-to-run variation at temperature 0.7; not 0, limits are named.</t>
  </si>
  <si>
    <t>Four-page short paper, scored as reported. Evidence strength is limited: one decision, three paper sets read only up to the introduction, an unstated number of participants and runs, one model at temperature 0.7 and no statistics; the unconstrained loop runs shared three of the expert's seven comparison points and matched at most one of those impact labels. Reporting notes: 'approximately 80%' and '5x' match the slowest loop condition (15 against 75 minutes), while the fastest gives 84%; 'Unconstrained analyses achieves' (p. 117). We checked Coverage, New and the label-match denominators in Table I against the stated definitions, and they are consistent.</t>
  </si>
  <si>
    <t>Q1 = 2: hierarchical composition of ROS 2 systems is only implicit across code and launch files, and existing recovery covers node-level wiring (Section 1, pp. 100-101); not 1, specific, though no research questions are posed.
Q2 = 2: ROS modelling approaches and LLM-based architecture generation and recovery are reviewed, and the extension of the earlier blueprint is positioned (Section 2, pp. 101-102); not 1, specific, though brief.
Q3 = 1: the blueprint, the agents, the two intermediate artefacts with their fields and the prompt template are described, and the repository and reference model are public (Sections 4-5, pp. 104-110); not 2, the LLM is not named, settings, runs and full prompts are not given, and the evaluation pipeline is deferred to the earlier preprint; not 0, the approach is explicit.
Q4 = 2: two enhancements are listed (Abstract, p. 99) and restated as the refinements of the process (Sections 1 and 4, pp. 101, 105-106); not 1, specific.
Q5 = 1: one results table and a short interpretation (Section 5.3; Table 4, pp. 111-112); not 2, the results come from one repository without variation or a baseline, and the comparison with the earlier prototype is not quantified; not 0, the values are given.
Q6 = 1: the remaining recall gap and the open challenges of implicit integration semantics are named (Section 6, p. 112); not 2, there is no threats-to-validity discussion, for example of the single, simple case or the author-built reference; not 0, limits are named.</t>
  </si>
  <si>
    <t>Scored as reported. Evidence strength is limited: one repository with one launch file, a reference model built by the authors, an unnamed model, no stated number of runs and no baseline in this paper. Reporting slips: the results credit improved recovery of namespace propagation and launch-induced hierarchy (Section 5.3, p. 112), but the case study's launch file applies no namespace scoping and has no nested includes (Section 5.1, p. 110); 'Generated PlantUML than syntactic similarity' is a broken sentence (Section 5.1, p. 110); typos such as 'stagged', 'booster', 'Dissembly' and 'Disassemby-Layer' (pp. 102-104).</t>
  </si>
  <si>
    <t>Q1 = 2: two challenges are set out, bridging loosely defined requirements and architecture, and architecting in a global and agile environment (Section 3, pp. 121-122); not 1, specific, though no research questions are posed.
Q2 = 2: the development process at Volvo CE, its product-line reference architecture and the architect's tasks are described, and each challenge is related to the literature (Sections 2-3, pp. 120-122); not 1, specific.
Q3 = 1: the model, the five requirements, the 40 modules and the source of the ground truth are named (Section 5, p. 124); not 2, the prompt, settings, number of runs and the definition of accuracy are not given; not 0, the evaluation task is stated.
Q4 = 1: the four use cases and the sharing of early experiences are stated (Abstract; Section 5, pp. 119, 123-125); not 2, the contributions are not listed, and the abstract names the use cases differently from Section 5; not 0, they are stated.
Q5 = 1: one results table with per-requirement and mean accuracy and one output excerpt (Section 5; Fig. 2; Table 1, pp. 124-125); not 2, the results are not interpreted and the 0.5 values are not explained; not 0, the values are given.
Q6 = 0: no limitation of the evaluation or of the use cases is discussed; the pitfalls in Section 4 (p. 123) are general and drawn from the literature; not 1, calling the evaluation preliminary (p. 124) names no specific limit.</t>
  </si>
  <si>
    <t>Scored as reported. Evidence strength is weak: a position paper whose single evaluation covers five requirements with one model, an unstated number of runs, ground truth from past feature development and no baseline; accuracy is not defined for requirements that map to several modules. Reporting slips: 'Hofmeister et al. [8]' and 'Capilla et al. [7]' do not match the reference list, where [8] is Grünbacher, Egyed and Medvidovic and [7] is Gillani, Niaz and Ullah (Section 3.1, p. 121); the abstract lists 'mapping requirements to modules' and 'evaluating generative AI for module classification' as separate use cases, whereas Section 5 has deriving concerns and mapping concerns to modules (pp. 119, 124); Use Case 3 maps concerns, but the evaluation maps requirements (p. 124; Table 1, p. 125). We recomputed the mean accuracy from Table 1: (1.0 + 1.0 + 1.0 + 0.5 + 0.5) / 5 = 0.8, as reported.</t>
  </si>
  <si>
    <t>Q1 = 2: the benefit of LLMs for evaluating architecture documents is unclear, and the quality of early artefacts matters when implementation is AI-supported; one main research question, refined into three (Sections 1 and 5.2, pp. 2-3, 12); not 1, specific.
Q2 = 2: the marketplace, its quality criteria and the production service are described, and architecture evaluation methods, documentation checkers and LLM work in software engineering and architecture are reviewed (Sections 2, 3 and 5.1, pp. 4-7, 9-10); not 1, specific.
Q3 = 1: the tool, dataset preparation, the models and hardware, the 25 prompts, three runs and two architects are described (Sections 4 and 5.2; Appendix A, pp. 7-12, 18-19); not 2, the projects are not named, model sizes and settings are not given, and how the two architects’ ratings were combined and how deviation is computed are not stated; not 0, the design is described.
Q4 = 1: the tool and the evaluation are summarised as what the paper presents (Section 6, p. 16); not 2, contributions are not listed; not 0, they are stated.
Q5 = 2: results for each research question and project, with charts, and a discussion of each (Section 5.2, pp. 13-16); not 1, specific, though values are given mainly in charts.
Q6 = 2: few projects and experts, the subjectivity of the experts, information lost by keyword filtering and the use of smaller models without RAG are discussed (Section 5.2, Discussion and Threats to Validity; Section 5.3, pp. 15-16); not 1, each is named, though the definition of the deviation measure and the small number of runs are not discussed.</t>
  </si>
  <si>
    <t>Scored on the version read, the PDF sent, which is an earlier version of the published chapter (13 references against 17). Evidence strength is limited: two unnamed projects, two architects, three runs per project, two locally hosted models without stated sizes or settings, and a deviation measure given in percent without a definition. Reporting slips: the method surveys two architects and compares the 'average human evaluation', but the results and charts speak of 'the human expert' (pp. 10, 13-15); broken figure references ('Figure 7Error! Reference source not found.', 'Figure 8Figure 6', p. 14). Per-statement values appear only in charts, so we could not recompute the reported 27% and 43%.</t>
  </si>
  <si>
    <t>Q1 = 2: there is little evidence on what ADRs contain and how they align with architectural-knowledge concepts; three research questions (Sections 1 and 3, pp. 2, 5); not 1, specific.
Q2 = 2: ADRs and the MADR template, earlier studies of ADR usage and the decision taxonomies used are described (Section 2; Tables 1-2, pp. 2-4); not 1, specific.
Q3 = 2: data collection and filtering, parsing, topic modelling, ground-truth construction, the embedding baseline, the prompting strategies, the model and temperature, and the checking criteria are described (Section 3, pp. 4-10), with data, code and prompt examples public; not 1, the study can be repeated.
Q4 = 2: the contributions are stated at the end of the introduction and restated in the conclusions (Sections 1 and 6, pp. 2, 15); not 1, specific.
Q5 = 2: results for each research question with a table and figures, and a discussion of implications for practitioners and tool builders (Sections 4-5; Table 3; Figs. 3-5, pp. 10-14); not 1, specific, though the classifier agreement is given only as a range.
Q6 = 2: internal, construct and external threats are discussed, including heading-based detection, prompt sensitivity, single-label classification and the open-source, English, pre-2021 corpus (Section 5.1, pp. 14-15); not 1, each is named, though inter-annotator agreement and the size of the LLM’s error are not quantified.</t>
  </si>
  <si>
    <t>Scored as reported, on the arXiv version (v1, 7 September 2026) of the ECSA 2026 research-track paper. Evidence strength is moderate for the corpus analysis and limited for the model's accuracy: agreement with a 200-ADR ground truth labelled by two authors is given only as a range (46-66%) across taxonomies and prompting strategies, inter-annotator agreement on the 50 double-labelled ADRs is not reported, and the review of 100 judge assessments is reported without figures, so the corpus-level distributions carry an error that is not quantified. Two of the three authors are authors of S8, the seed it cites. Reporting slips: 'Zimmermman' (Table 2, p. 4) and 'Zimmerman's' (Fig. 4c, p. 12); 'developement' (p. 2); 'chain-of-though' (p. 8). We checked that the Kruchten shares (64%, 18%, 14%) leave 4% for non-existence decisions, consistent with 'a small number' (p. 11).</t>
  </si>
  <si>
    <t>Q1 = 2: RAG-based architecture assistants have been evaluated mainly qualitatively, and ArchSec.AI needs an objective, quantitative assessment; one research question with hypotheses (Sections 1-2, pp. 1-2); not 1, specific.
Q2 = 2: ArchSec.AI, its corpus and RAG-based assistants for architecture with their evaluations are described (Section 1, pp. 1-2); not 1, specific, though brief.
Q3 = 1: the prompt template, hyperparameters, pattern selection, reference answers, RAGAs version and judge models are described, with the script on Zenodo (Section 2, p. 2); not 2, the generating model and the number of runs are not given, and who wrote the reference summaries and how is not described; not 0, the design is stated.
Q4 = 1: a preliminary quantitative evaluation that highlights areas for improvement is stated (Section 1, p. 2); not 2, contributions are not listed; not 0, they are stated.
Q5 = 2: per-question scores, means, an interpretation per pipeline and proposed remedies (Section 3; Table 1, pp. 2-3); not 1, specific, though the alternative hypothesis is accepted without a test.
Q6 = 2: construct, internal and external threats are discussed, including the single framework, LLM against human judges, zero-shot prompting only, the judge setup and the five patterns (Section 4, pp. 3-4); not 1, each is named.</t>
  </si>
  <si>
    <t>Four-page workshop paper, scored as reported. Evidence strength is weak: five questions, one tool, an unnamed generating model, one LLM judge, one run per question as far as reported, and hypotheses stated but not tested. Reporting slips: the reported mean faithfulness (0.7007) does not follow from Table 1, whose values average 0.694, more than rounding allows, while answer relevance (0.692 against 0.6960) and context recall (0.166 against 0.1667) agree within rounding; the corpus is given as 98 patterns (p. 2), over 300 (p. 3) and 97 classifications (p. 4); the threats section says future evaluations will both select 'a single LLM judge' and use 'multiple LLMs as a jury' (p. 4); 'ArchSec.AIrequire' (Abstract, p. 1). We recomputed the four means from Table 1.</t>
  </si>
  <si>
    <t>Q1 = 2: architecture documentation is often missing or incomplete, and LLM documentation work targets local artefacts, leaving system-level documentation from repositories unexplored; five research questions (Sections I-II and IV, pp. 201-202, 205); not 1, specific and operationalised.
Q2 = 2: architecture recovery, LLM-based documentation approaches by input and abstraction level, and the closest tool, CodeDocs-GenAI, with the study positioned against them (Section II, p. 202); not 1, specific.
Q3 = 2: the template and its design with three experts, the workflow, the prompt structure (full prompt in the supplementary material), the model-selection pilot, the questionnaire (Table II), the participants and repositories (Table I) and the analysis are described (Sections III-IV, pp. 203-206), with the tool, outputs and survey data on Zenodo; not 1, the process and the study can be followed and repeated. Not stated: model settings, the number of generation runs per repository and token counts.
Q4 = 2: three contributions are listed: the standards-oriented template, the LLM-based workflow and the open-source prototype (Section I, p. 202); not 1, specific.
Q5 = 2: an answer per research question with figures, tables and answer boxes, accounts of practitioner use, and conclusions with future work (Sections V and VII, pp. 206-210); not 1, specific.
Q6 = 2: internal, construct, external and conclusion validity are discussed, each with a mitigation, including participants judging their own repositories, perceptions rather than objective correctness, the three-expert template, the mostly academic sample and coder bias (Section VI, p. 210); not 1, each is named.</t>
  </si>
  <si>
    <t>Scored as reported. Evidence strength is moderate to weak: 22 participants, mostly academics recruited by convenience, each judging documentation of their own repository; perceptions rather than a ground truth; one model; no baseline; number of runs not reported. Reporting slips: the abstract and Section IV speak of 22 developers, while the sample is 15 researchers, 5 PhD students and 2 software developers (p. 205); the accuracy part of the questionnaire is said to end with an open-ended prompt for comments (p. 205), but Table II lists none, Q10-Q27 being all Likert items; Q15 (11 of 22 positive, 6 disagree) is read as showing that many viewed the documentation as a usable reference (p. 208); and the system overview and architectural context are named as having the most negative ratings, while the use case and code-level diagrams have as many (4 each, Fig. 5). We read all Likert counts from Figures 2-5: every bar sums to 22, and the counts quoted in the text agree with the figures; the mean generation time in Table IV (3 min 0.90 s) matches the text's 'approximately 3m 1s'; per-repository times and costs are not given, so the means could not be recomputed.</t>
  </si>
  <si>
    <t>Q1 = 2: little is known about LLMs' support for front-end architectures such as VIPER, and four research questions are stated (Section I, p. 6); not 1, specific.
Q2 = 2: related work on LLMs for architecture and design, the VIPER architecture, and a definition of architectural knowledge and of Bloom's levels (Sections II-III, pp. 6-8); not 1, specific.
Q3 = 1: the project, the question types per Bloom level with examples, the prompt template, the model and the question pilot are described (Section IV, p. 8); not 2, the questions themselves, the grading criteria beyond correct, partial and incorrect, who graded, and settings and runs are not given, and the counts in the text do not match Table I; not 0, the design is stated.
Q4 = 1: a Bloom-based question format proposed as a benchmark, and a structured approach for evaluating LLMs' cognitive abilities for software design (Abstract, p. 6; Section VII, p. 9); not 2, contributions are not listed explicitly; not 0, they are stated.
Q5 = 1: grades and counts per level (Table I, p. 9) and an interpretation per research question (Section VI, pp. 8-9); not 2, the insights are general, RQ3 is not answered, and no answer is shown or analysed; not 0, results are reported.
Q6 = 2: a limitations subsection names the small novice-built project, VIPER in Swift only, the single model, the project tree as the only context, the fit of Bloom's taxonomy, question tuning and subjective manual grading (Section VI-A, p. 9); not 1, each is named.</t>
  </si>
  <si>
    <t>Short workshop paper, scored as reported. Evidence strength is weak: one small project built by the first author with novices, one model, the project tree only, one answer per question as far as reported, and manual grading without a second rater; RQ3 is not answered. Reporting slips: the text gives 43 questions with between 4 and 7 per level (Section V, p. 8), but Table I totals 42, with 5-8 per level; the abstract calls VIPER 'a design pattern for iOS applications', while the paper treats it as an architecture; who graded the answers is not stated. We recomputed the per-level grades from Table I's counts (5/6 = 83%, 7.5/8 = 94%, 7/8 = 88%, 5/5 = 100%, 7.5/8 = 94%, 7/7 = 100%), which agree; over all 42 questions the score is 39 of 42 (92.9%), not reported by the authors.</t>
  </si>
  <si>
    <t>Q1 = 2: architecture pattern instances are rarely documented and hard to detect from source code, and existing detectors miss microservice patterns; a hypothesis and three research questions (Sections I-II, pp. 161-162); not 1, specific.
Q2 = 2: knowledge management tools, design-pattern detection, architecture knowledge retrieval, microservice and API pattern detection, and LLMs in software engineering are reviewed, with the gap stated per research question (Section II, p. 162); not 1, specific.
Q3 = 1: a method per research question, the prototype's pipeline and file filter, the pattern catalogue, the model choice, the repository selection, three runs and manual validation are described (Sections III-IV, pp. 162-164); not 2, the prompt and instructions, model settings and validation criteria are not given, and how the 83% relates to Table I is unclear; not 0, the design is stated.
Q4 = 1: ongoing PhD research, early experiments, a prototype, the research methodology and industrial impact are named (Abstract, p. 161); not 2, contributions are not listed explicitly; not 0, they are stated.
Q5 = 1: per-repository and per-run detections with correctness marks (Table I, p. 164), a precision figure and a discussion of advantages and challenges (pp. 164-165); not 2, precision only, and the advantages are claimed rather than tested; not 0, results are reported.
Q6 = 1: challenges are named: inconsistent output between runs, the premises of the study, undetected catalogue patterns, a generality-accuracy trade-off, low-quality architecture information and limited labelling capacity (Sections IV-C and V, pp. 164-165); not 2, there is no threats section, and the single verifier and the missing recall are not discussed as threats; not 0, limitations are stated.</t>
  </si>
  <si>
    <t>Six-page early-career paper, scored as reported. Evidence strength is weak: precision only, verified by one researcher, 22 top-starred repositories, three runs, one model chosen informally, no baseline. Reporting slips: the catalogue is given as 24 patterns, but 23 names are listed (24 if API gateway and backends for frontends count separately), and 'Multiple services per host' is detected (kubeshark, run 2) although it is not in the listed catalogue; whether the reported 83% includes medium- and low-certainty detections is not stated. We counted Table I: 103 high-certainty detections, 88 marked present (85.4%) and 15 absent; the 83% could not be recomputed because the other detections are only in an external folder, which we did not open.</t>
  </si>
  <si>
    <t>Q1 = 2: architecture descriptions of ensemble-based systems are hard to prepare, and whether generic LLMs understand them is unknown; three research questions (Section 1, pp. 641-642); not 1, specific.
Q2 = 2: the DEECo component model and its three DSLs are described with listings (Section 2, pp. 642-644), and related work on LLM evaluation, LLMs in architecture design and LLMs in collective adaptive systems is reviewed (Section 5, pp. 653-654); not 1, specific.
Q3 = 1: the question dimensions and steps, prompt variants, the two code-access approaches, the six models with versions (Table 1), the anonymised application and the runtime check are described, with all records shared (Sections 3-4, pp. 644-646); not 2, the criteria for judging answers, who judged them, settings and runs are not given, and how many answers were set aside is not stated; not 0, the design is stated.
Q4 = 1: the extension over the conference version, more models and two code-access approaches, is stated (Section 1, p. 642); not 2, contributions are not listed; not 0, they are stated.
Q5 = 2: results per step and per research question with listings, Tables 1-2 and boxed summaries, plus guidance on tool use and context (Section 4, pp. 645-652); not 1, specific.
Q6 = 2: construct, internal, external and reliability threats are discussed, including subjective judging, naming cues, chat-history carry-over, prompt variation, the simplified applications and stochastic outputs (Section 4.7, pp. 652-653); not 1, each is named.</t>
  </si>
  <si>
    <t>Scored as reported. Evidence strength is weak to moderate: three applications from the authors' own work, six models, results described with listings and no counts, answers judged by the authors, and answers set aside when a model ignored the tool or the code exceeded the context window, without saying how many; ensemble formation was checked against the runtime for ML-DEECo only. Reporting slips: the caption of Listing 8 repeats 'code tool; plain question' from Listing 6, while the text presents Listing 8 as answers with the code inlined (pp. 647-649). Nothing could be recomputed, as no counts are reported; we compared the anonymised results with FS28's and record the difference in the coverage note.</t>
  </si>
  <si>
    <t>Q1 = 2: little guidance exists for health researchers developing digital interventions, and the objective is to examine ChatGPT's capacity, advantages and limitations across ideation, content and software engineering (Abstract; Introduction, pp. 1-2); not 1, specific.
Q2 = 2: the PAMS intervention, its components, stakeholders and agile development are described (Methods, Settings and Intervention Development Context, p. 2), and related work in health care and software engineering is reviewed (Related Work, pp. 11-12); not 1, specific.
Q3 = 1: the recreation design, the prompt framework, the 11 evaluators and the Likert criteria with a debrief are described (Methods, pp. 2-3); not 2, the number of prompting iterations, model version and settings, how ratings were aggregated and the rating data are not given, and the architecture is rated together with code; not 0, the design is stated.
Q4 = 1: the paper says it provides insights and a prompt framework for GenAI-assisted development (Introduction, p. 2); not 2, contributions are not listed or delimited; not 0, they are stated.
Q5 = 2: specific lessons on time saved, team communication, limits of ChatGPT's outputs per phase and prompt structure (Discussion, pp. 10-11); not 1, specific.
Q6 = 2: a limitations section names the team's lack of prompt expertise, prompting bias from knowing the original design, the lack of objective quality measures, unblinded evaluators and technology limits (Limitations, p. 12); not 1, each is named.</t>
  </si>
  <si>
    <t>Scored as reported. Evidence strength is weak: one case, one generated architectural diagram shown beside the team's own without comparison, ratings that pool the architecture with code and are reported narratively, unblinded evaluators and prompters who steered towards the known design. Nothing could be recomputed, as no ratings are reported. From Figure 5A, the generated diagram leaves its external-service boxes unlabelled although REDCap and Twilio were named in the prompt (p. 9).</t>
  </si>
  <si>
    <t>Q1 = 2: empirical reports on students using GPTs across development phases are scarce; the objective and four research questions are stated (Section 1, pp. 1-2); not 1, specific.
Q2 = 2: the three projects, their clients and the students' backgrounds are described (Sections 3.1, 3.3 and 4.1, pp. 2-4), with related work on ChatGPT in design, code and testing (Section 2, p. 2); not 1, specific.
Q3 = 1: participants, projects, team set-up, the two surveys and the analysis are described, with the questionnaires shared (Section 3, pp. 2-3); not 2, how ChatGPT was used in each phase is not described, and the question counts in the text and Figure 1 disagree; not 0, the design is stated.
Q4 = 2: three contributions are listed (Section 1, p. 2); not 1, explicit.
Q5 = 2: per-RQ results with takeaways and five discussion points relating them to the literature (Sections 4-5, pp. 5-7); not 1, specific.
Q6 = 1: the small sample of seven, possible response bias and the unexplored reasons for divergent experiences are noted in the discussion (Section 5, p. 7); not 2, there is no threats-to-validity section and threats are not treated systematically; not 0, they are noted.</t>
  </si>
  <si>
    <t>Scored as reported. Evidence strength is weak: seven novice students, self-reported agreement, architecture covered by a handful of survey items, and no conversations or artefacts. The counts quoted in the text could not be checked against Figure 3, whose labels are unreadable in the PDF. Reporting slips: the entry survey is said to have 53 questions, but Figure 1's parts sum to 44, and Section 4.1 gives 35 life-cycle questions where Figures 1 and 2 give 33; the exit survey's 114 questions against parts summing to 110; and 11 RQ2 questions in Section 4.3 against 12 in Figure 1 (pp. 2-5).</t>
  </si>
  <si>
    <t>Q1 = 2: the aim, helping system architects with preliminary designs, and the problem that simply querying an LLM for components, connections and behaviour is not enough are stated (Section 1, p. 27); not 1, specific.
Q2 = 2: SysML, TTool, LLMs and ChatGPT are described (Section 2, pp. 27-29), with related work on AI assistance in modelling (Section 6, pp. 36-37); not 1, specific.
Q3 = 1: the framework, injected knowledge, feedback loop, questions and test environment, with the students' instruction and grading criteria, are described (Sections 3-5, pp. 29-36); not 2, who graded, the number of runs and the model settings are not stated, and how the students' times were obtained is unclear; not 0, the design is stated.
Q4 = 2: two primary contributions, the embedded knowledge and the feedback loop, are named (Section 7, p. 37), with the aim stated in the introduction (Section 1, p. 27); not 1, explicit.
Q5 = 2: specific lessons on knowledge length, splitting questions, resetting the chat, structure being easier than behaviour, and lower effectiveness on intricate systems (Sections 5.1 and 5.3, pp. 34-37); not 1, specific.
Q6 = 1: the challenge of full-scale problems and the disabled user interaction in the evaluation are noted (Sections 5.3 and 7, pp. 36-37); not 2, there is no threats-to-validity section, and threats such as grading and the student comparison are not discussed; not 0, they are noted.</t>
  </si>
  <si>
    <t>Scored as reported. Evidence strength is moderate to weak: three systems, a comparison with about 15 master's students under the same grading criteria, and public models and results, but graders, runs and settings not stated and user interaction disabled. Table 1 agrees with the text; the students' 2700 s for each diagram type, without a standard deviation, appears to be their allotted time rather than a measurement (pp. 35, 37). Reporting slips: Section 4.2.3 says the generated diagram has 5 blocks, as Figure 3 shows, but Section 4.3.2 says it has two blocks; the generated CoffeeMachine block holds the attribute 'true = false : bool' although blocks and attributes are said to be correctly defined (pp. 32-33).</t>
  </si>
  <si>
    <t>Q1 = 2: keeping diagrams consistent is hard, and output-token limits and stochastic generation over several queries introduce inconsistencies; two aims are stated (Section 1, p. 1); not 1, specific.
Q2 = 2: related work on UML and SysML consistency, LLMs in model-driven engineering, TTool and AI-driven consistency is reviewed (Section 2, pp. 2-3), and formal semantics of the two diagram types are given (Section 3, pp. 3-5); not 1, specific.
Q3 = 1: the framework's stages, the rules and the evaluation on three systems in all diagram pairings are described, with a step-by-step illustration (Sections 4-5, pp. 5-9); not 2, the models used are named inconsistently, and settings, runs and who classified the inconsistencies are not given; not 0, the design is stated.
Q4 = 2: the two aims are stated (Section 1, p. 1), the theoretical and methodological contributions are given in labelled sections (Sections 3-4, pp. 3-7) and summarised in the conclusions (Section 7, pp. 10-11); not 1, explicit.
Q5 = 2: specific lessons on rules in the request narrowing attention, the missing block type, correcting one inconsistency at a time, and decomposition for scale (Section 6, pp. 9-10); not 1, specific.
Q6 = 1: relatively simple diagrams, one pair of diagram types, subjective classification and the unquantified effect of erroneous detections are noted in the discussion (Section 6, pp. 9-10); not 2, there is no threats-to-validity section and the threats are framed as improvements; not 0, they are noted.</t>
  </si>
  <si>
    <t>Scored as reported. Evidence strength is weak to moderate: three systems with relatively simple diagrams, one pair of diagram types, counts classified by the authors, and no settings, runs, time or cost. Table 4 recomputed and agrees: 36 + 33 = 69 detected, 6 erroneous, and 30 + 30.5 = 60.5 corrected, 60.5/69 = 87.7%; 49 and 20 inconsistencies over 12 block and 12 use case diagram checks give the averages of 4 and 1.7 in the text (pp. 9-10). Reporting slips: erroneous detections are 8% in Section 5.3 but 7% in Section 6 (pp. 9-10); Section 4 names GPT-4-turbo and GPT-4o, while Section 5.2 says GPT 3.5 and GPT 4 were used (pp. 5, 9).</t>
  </si>
  <si>
    <t>Q1 = 2: three gaps in evaluating LLM-generated UML diagrams are named and four research questions stated (Section 1, pp. 2-3); not 1, specific.
Q2 = 2: UML's syntactic and semantic dimensions and related work on LLM-generated UML are described (Sections 1-2, pp. 1-4), with the iCoot system and the participants (Sections 3.1 and 3.5, pp. 5, 9-10); not 1, specific.
Q3 = 1: the prompt framework with its algorithms, the completeness and constraint-satisfaction metrics, the survey and the tests are described, with prompts and rule-based scores in the appendices (Sections 3-4.1, pp. 4-12; Appendices A-D); not 2, model settings and runs are not given, and whether the follow-up instructions listed in the prompts were used is unclear; not 0, the design is stated.
Q4 = 2: four contributions are listed (Section 1, p. 3); not 1, explicit.
Q5 = 2: per-diagram findings with element scores, and reasons why class and use case diagrams diverge more than deployment and sequence diagrams (Sections 4.2 and 5, pp. 15-17); not 1, specific.
Q6 = 2: a limitations section names the single model, the single domain, student evaluators and their possible bias, the lack of interactive tasks and of prompt-complexity analysis, and the conclusions add the pooled tests (Section 6, pp. 17-18; Section 7, p. 19); not 1, each is named.</t>
  </si>
  <si>
    <t>Scored as reported. Evidence strength is weak for the architectural part: one system, one deployment diagram generated from a prompt that already names its elements, student ratings pooled per element, and 'human-created' diagrams that are the textbook's. Checked: the exact Wilcoxon p-values agree with W = 0 (0.0078 for N = 8, 0.0039 for N = 9), and Cohen's d equals t divided by the square root of N for three diagram types but not for sequence (6.3026/√8 = 2.23 against 2.17) (p. 12); the appendix ratios agree (18/18, 21/26 = 80.77%, 14/18 = 77.78%, 24/26 = 92.31%). Reporting slips: the rule check rates the generated deployment diagram more complete than the textbook's (100% against 77.78%) while students rated it less complete (0.6486 against 0.7005) (pp. 10, 26); the conclusions give 65.9% for deployment completeness against 0.6486 in Table 1 (p. 18); Section 4.3 gives sequence correctness as 66.2% and then 68.3%, and cites the comparison study as [27] and as [30], the textbook (p. 16).</t>
  </si>
  <si>
    <t>Q1 = 2: using LLMs as engineering assistants 'raw' gives imperfect models, and the article adapts them as an MDE assistant (Introduction, pp. 1-2); not 1, specific.
Q2 = 2: related work on model generation from specifications, modelling assistants and LLMs in MDE, and TTool's context, are described (Related Works and TTool-AI: An Overview, pp. 2-4); not 1, specific.
Q3 = 1: the mechanisms, features and evaluation set-up with cohorts, specifications and grading criteria are described (pp. 4-15); not 2, who graded, the number of runs and the settings are not stated, student times are estimated, and not all the new features named in the abstract are evaluated; not 0, the design is stated.
Q4 = 2: the extension over the conference version is set out: a full description of the features, requirement engineering, model mutation and a broader evaluation (Introduction, p. 2); not 1, explicit.
Q5 = 2: specific findings per diagram type, on GPT-4o against GPT-3.5, on recurring naming mistakes and on the role of injected rules (Evaluation, pp. 15-16); not 1, specific.
Q6 = 2: threats to construct, internal and external validity name subjective grading, estimated student times and the comparison of a tool with students rather than with assisted engineers (Threats to Validity, pp. 16-17); not 1, each is named.</t>
  </si>
  <si>
    <t>Scored as reported. Evidence strength is moderate to weak: the GPT-3.5 series is FS59's; the new GPT-4o series covers two specifications, with block diagrams for only one, five diagrams per type, graders and runs not stated and student times estimated. Checked: Table 2 agrees with FS59's Table 1, and the internal-validity note confirms that student times were estimated from the exam allotment (pp. 15, 17). Reporting slips: the abstract says the new features were evaluated, but model mutation and requirements identification are only illustrated (pp. 1, 14); Figure 5 shows gpt-4-turbo selected, while the evaluation reports GPT-3.5 Turbo and GPT-4o (pp. 11, 14).</t>
  </si>
  <si>
    <t>Q1 = 2: understanding decentralised microservice systems with missing or outdated documentation is hard, and three research questions are stated (Introduction and Research Questions, pp. 1-2); not 1, specific.
Q2 = 2: microservice documentation, architecture reconstruction and LLM uses in software engineering are reviewed (Background and Related Work, pp. 3-4), and the benchmark is described (pp. 9-10); not 1, specific.
Q3 = 1: the extraction, call-graph construction, natural-language rendering, questions, prompts, conditions, metric and tests are described, with code and data shared (pp. 4-16); not 2, the model settings and the number of evaluators are not given, and the planned comparison between question categories is not reported; not 0, the design is stated.
Q4 = 1: the unique contribution is stated in prose (Unique Contribution to the Body of Knowledge, p. 4); not 2, contributions are not listed or delimited; not 0, it is stated.
Q5 = 2: an answer to each research question, and a discussion of the call graph against code, of prompt engineering and of response behaviour with examples (pp. 17-18); not 1, specific.
Q6 = 2: construct, internal, external and conclusion threats are discussed, including question coverage, prompt selection, call-graph assumptions, evaluator bias, one project and model, and hallucination (Threats to Validity, pp. 18-20); not 1, each is named.</t>
  </si>
  <si>
    <t>Scored as reported. Evidence strength is moderate to weak: one benchmark, 33 questions written by the authors, one model, an unknown number of evaluators, and no difference between knowledge bases significant at 0.05. Checked: the Friedman p-values in Table 5 agree with chi-square tests on two degrees of freedom (p. 17). Reporting slips: precision and recall are defined the wrong way round, which leaves F1 unchanged (p. 15); the Remote Calls scenario is missing from Table 5 (pp. 16-17); the construct-validity section names quality metrics not used in the evaluation (p. 19); the graph is a Component Call Graph in the introduction and a Control Call Graph in the statement of contribution (pp. 2, 4); and 'α = 01' should read 0.1 (p. 17).</t>
  </si>
  <si>
    <t>Q1 = 2: evidence on LLMs supporting documentation across the life cycle is lacking, and one research question is stated (Sections 1 and 3.1, pp. 1-2); not 1, specific.
Q2 = 2: related work on AI for software engineering, documentation problems and prompting is reviewed (Section 2, p. 2), and the oracle project and its documents are described (Section 3.2; Table 1, pp. 2-3); not 1, specific.
Q3 = 1: the interaction steps, prompt template, inter-rater assessment and effort criteria are described (Sections 3.3-3.5, pp. 3-4); not 2, the conversations, generated artefacts and the basis for judging comparability are not shown; not 0, the design is stated.
Q4 = 1: the aim and preliminary findings are stated (Section 1, p. 1); not 2, contributions are not listed or delimited; not 0, they are stated.
Q5 = 1: observations are given per artefact (Section 4, p. 4), but the conclusion reduces them to ChatGPT reducing time and effort (Section 6, p. 5); not 2, lessons are not drawn out; not 0, findings are reported.
Q6 = 2: a threats section names the model version, prompt sensitivity and inter-rater subjectivity, and the single case of moderate complexity (Section 5, pp. 4-5); not 1, each is named.</t>
  </si>
  <si>
    <t>Scored as reported. Evidence strength is weak: one student project supervised by the authors as the oracle, effort ratings by three authors, no artefacts shown, and the architecture covered by two artefacts. Nothing could be recomputed beyond checking that the text agrees with Table 3. Reporting slips: 'LMMs' in the research question (p. 2), a conclusion sentence without its verb (p. 5), and the model version given only in the threats to validity (p. 5).</t>
  </si>
  <si>
    <t>Q1 = 2: GenAI support beyond coding, for the design and operation of software systems, is less explored, and the FaaS challenges are named (Sections 1-2, pp. 79-81); not 1, specific.
Q2 = 2: the phases and challenges of serverless development and GenAI in software development are described (Section 2, pp. 80-81); not 1, specific.
Q3 = 1: the three scenarios, the four prompt formats and the deployment target are stated (Section 3.1, p. 81); not 2, prompts, outputs and how correctness was judged are not reported; not 0, the design is stated.
Q4 = 1: the paper offers a preliminary discussion and a roadmap (Sections 1 and 5, pp. 79, 82); not 2, contributions are not listed or delimited; not 0, they are stated.
Q5 = 1: observations on architecture selection, prompt format, granularity and security are given (Section 3.1, p. 81); not 2, they are stated briefly without supporting evidence; not 0, they are reported.
Q6 = 1: the authors note that the findings come from a limited setup and need validation (Section 3.1, p. 81); not 2, there is no limitations or threats section; not 0, a limitation is noted.</t>
  </si>
  <si>
    <t>Scored as reported. Evidence strength is very weak: three scenarios, observations without prompts, outputs, criteria or counts, and an architectural claim supported by no design shown; most of the paper proposes directions. Nothing could be recomputed. Reporting slip: the four prompt formats are numbered (1), (2), (2), (4) (p. 81).</t>
  </si>
  <si>
    <t>Q1 = 2: keeping heterogeneous views consistent is hard, rules miss semantic gaps and LLM generation over several queries adds inconsistencies; four research questions are stated (Section 1, pp. 2-3); not 1, specific.
Q2 = 2: related work on UML and SysML consistency, LLMs in MDE, AI-driven consistency and TTool is reviewed (Section 2, pp. 3-7), and the diagrams, dependency graphs and rules are formalised (Section 3, pp. 7-17); not 1, specific.
Q3 = 1: the two approaches, the evaluation systems, the TTool builds and the walkthrough are described, with data and prompts public (Sections 4-6.1, pp. 17-32; Data availability, p. 38); not 2, settings and runs are not given, who classified the detections is not stated, and the graph method is tested on models the authors designed; not 0, the design is stated.
Q4 = 2: five contributions are listed, with those that extend MODELS '24 and those that are new marked (Section 1, pp. 2-3), and summarised in the conclusions (Section 7, p. 35); not 1, explicit.
Q5 = 2: research questions are answered with specific findings: rules in the request narrow detection, so detection is run twice, and the LLM misses dependencies along paths that the graph method finds (Section 6.2, p. 34); not 1, specific.
Q6 = 2: internal, construct and external threats are discussed: subjective assessment and confirmation bias, dependence on tags, no false negatives or user time measured, and few case studies (Section 6.3, pp. 34-35); not 1, each is named.</t>
  </si>
  <si>
    <t>Scored as reported. Evidence strength is weak to moderate: the LLM evaluation reuses FS60's three relatively simple systems, with counts classified by the authors, no false negatives measured and no settings, runs, time or cost; the graph method is tested on three variants of one system designed by the authors. Table 7 recomputed and agrees: 36 + 33 = 69 detected, 6 erroneous (6 of 75, 8%), and 28.5 + 30.5 = 59 corrected, 59/69 = 85.5% (pp. 32-33); 49 and 20 inconsistencies over 12 block and 12 use case diagram checks give the averages of 4 and 1.7. Reporting slips: the threats section gives an average correction of 87%, FS60's figure, against 85.5% in Section 6.1.1 (pp. 32, 35); Table 7 lowers three internal-correction entries of the dynamic positioning system from FS60's Table 4 (3.5 to 3, 1 to 0.5, 3 to 2.5) without comment; subsection 5.1.2 is headed 'Graph comparison' but describes diagram generation (p. 24).</t>
  </si>
  <si>
    <t>Q1 = 2: identifying patterns and tactics in code is manual or relies on rule-based tools that miss modern tactics; two research questions on pattern and tactic extraction (Section 1, pp. 4363-4364); not 1, explicit.
Q2 = 1: tactics, patterns and Archie's limits are introduced, but the related work covers ChatGPT in other domains (design concepts, clinical data, bug detection) and no earlier work on LLMs for recovering architectural patterns and tactics; the only earlier tool discussed is Archie [6]-[8] (Section 1, pp. 4363-4364); not 2, the architectural context is general; not 0, the problem setting is described.
Q3 = 1: the pipeline, prompts, systems and metrics are described (Section 2, pp. 4364-4366; Figs. 1-4), but the ChatGPT version, the reference set for judging true and false positives, how false negatives were counted (Section 2.3 says they were not) and the results for four of the five systems are not given; not 2, the study could not be repeated from the paper; not 0, the design is stated.
Q4 = 2: four contributions are listed: the extraction experiments, the comparison with Archie, the metrics and the answers to the research questions (p. 4364); not 1, specific.
Q5 = 1: the insights (ChatGPT finds modern tactics and misses traditional ones; the tools are complementary) are stated, but rest on one system's tables, and the abstract's headline figures do not follow from them (Sections 3 and 5, pp. 4366-4369); not 2, not traceable to the reported data; not 0, the findings are discussed.
Q6 = 2: construct, internal and external threats are named, including prompt dependence, the missing F1, the undetailed verification of true and false positives, the five open-source systems and the single LLM (Section 4, p. 4368); not 1, each is explicit, though some mitigations are only asserted (for example 'by judging what are TP and FP').</t>
  </si>
  <si>
    <t>Scored as reported. Evidence strength is weak: results for one of five systems, positives judged by the authors without a stated reference set for each system, the model version unknown. Reporting slips: the abstract's pattern 'accuracy of up to 47.06%' and tactic 'precision of 28.25%' do not follow from Table 4 (pattern precision 5/9 = 55.6%, recall 50%; tactic precision 6/22 = 27.3%, recall 26.1%); Table 2 marks 19 Archie and 5 ChatGPT tactics while Tables 3-4 give 18 and 6 true positives; Section 2.3 says false negatives are not computed, yet Tables 3-4 report them; Figures 5-6 show each tool's share of the two tools' combined true positives, reported in the text as detection rates; Table 1 on patterns is headed 'Architectural tactic'; the data link is to a private dataset.</t>
  </si>
  <si>
    <t>Q1 = 2: architectural decay detected too late or too coarsely; the goal is to identify and predict smell-inducing issues before implementation, set out as two questions and four research questions (pp. 44-45, 48-49); not 1, explicit and operationalised.
Q2 = 2: architectural smells, their detection tools and usage scenarios are introduced, and a pre-study shows that recovered architectural design decision issues miss some smell-inducing ones (31.5% in Inkscape) and are mostly not smell-inducing (65-79%) (Table I), with related work on decay, smells and traceability (Sections II and VIII, pp. 45-46, 53); not 1, specific.
Q3 = 2: the traceability steps with formulas and thresholds, the three model families, the project selection criteria, the cross-validation, the significance tests and the temporal and cross-project experiments are described (Sections III-V, pp. 46-50), with a replication package; not 1, the study can be followed and repeated. Not stated in the paper: the prompt in full and the sampling settings of GPT-5-mini.
Q4 = 2: three contributions are listed: the smell-to-issue traceability approach, ArchGuard and the comparison of three model families (p. 45); not 1, specific.
Q5 = 2: results per research question with tables and answer boxes, and implications for practitioners and researchers (Sections VI-VII, pp. 50-53); not 1, specific and traceable to the tables.
Q6 = 2: external, internal and construct threats, with mitigations for the external and construct ones, and limitations with future work, including incomplete issue-commit links, detector accuracy and deliberate trade-offs (Sections VII-B and VII-C, pp. 52-53); not 1, each is named. Not discussed: the low precision of every configuration as a limit on use.</t>
  </si>
  <si>
    <t>Scored as reported. Evidence strength is moderate: three open-source projects, labels produced by two static detectors through issue-commit links, within-project cross-validation and a cross-project check; the language-model components are embeddings, a fine-tuned RoBERTa and a zero-shot model. We recomputed the totals in Table II, the shares in Table III, all averages in Tables IV and V and the deltas in Tables VI and VII. Reporting slips: two averages in Table IV do not follow from the per-project values (RoBERTa F1 .334, recomputed .280; GPT-5-mini F1 .066, recomputed .039); the text says precision changes by +.002 under the added-comments condition where Table VI shows -.002 (.243 to .241); the text gives Shepard a 40% precision loss and a 27% F1 decline across projects, where Table VII's values give 28% and 22% of the within-project values (the paper divides by the cross-project values); the RQ4 answer gives the F1 drop as 0.095 to 0.388, the Arcan range, but Table VII includes .080 (Shepard, Arcade); one precision value in Table V is printed '..357'.</t>
  </si>
  <si>
    <t>Q1 = 2: implementations silently diverge from the decisions in TDDs and ADRs and nothing verifies conformance across repositories, teams and time (p. 1332); not 1, explicit.
Q2 = 2: the industrial setting (120+ microservices, 20 teams, commits in GitHub, designs in Confluence, work in Jira) is described concretely (p. 1332); not 1, specific.
Q3 = 1: the agents, memory, grouping signals and validation checks are described, and the evaluation names its period and its two checks (Sections 2 and 5, pp. 1333-1335); not 2, the model, prompts and settings are not given and how a flag is judged true is stated only in outline; not 0, the system and evaluation can be followed.
Q4 = 2: three contributions are listed: cross-repository initiative discovery, design-to-implementation traceability and proactive governance (pp. 1332-1333); not 1, specific.
Q5 = 1: Section 5 gives the production figures and three observations (grouping depends on commit conventions, ADR validation suits concrete decisions, observability is the main value) (p. 1335); not 2, brief and without analysis of the false flags or the initiatives that were not matched; not 0, the insights follow from the deployment.
Q6 = 1: false negatives are not measured, so the true-positive rate is precision, not recall, and subjective patterns are checked poorly (p. 1335); not 2, there is no threats section and the dependence on one company, the unnamed model and the synthetic demonstration data are not discussed; not 0, the main limits are named.</t>
  </si>
  <si>
    <t>Scored as reported. Evidence strength is weak: a four-page paper; 18 drift flags in eight weeks at one company, 83% confirmed (consistent with 15 of 18), with no recall, no baseline and the model not named. Reporting slips: the average of 12 minutes from commit to drift flag is not reconciled with a synthesis agent said to run two to three times a week (pp. 1333, 1335); the reference list gives author lists for S20, S4-F10 (excluded study) and FS16 that differ from the published papers, although the titles and arXiv numbers are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</si>
</sst>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1"/>
      <color theme="1"/>
      <name val="Calibri"/>
    </font>
    <font>
      <sz val="10"/>
      <name val="Arial"/>
      <family val="2"/>
    </font>
    <font>
      <sz val="10"/>
      <name val="Arial"/>
      <family val="2"/>
    </font>
    <font>
      <sz val="14"/>
      <color theme="1"/>
      <name val="Times New Roman"/>
      <family val="1"/>
    </font>
    <font>
      <b/>
      <sz val="14"/>
      <name val="Times New Roman"/>
      <family val="1"/>
    </font>
    <font>
      <sz val="14"/>
      <name val="Times New Roman"/>
      <family val="1"/>
    </font>
    <font>
      <sz val="16"/>
      <color theme="1"/>
      <name val="Times New Roman"/>
      <family val="1"/>
    </font>
    <font>
      <b/>
      <sz val="22"/>
      <color rgb="FF1F3864"/>
      <name val="Times New Roman"/>
      <family val="1"/>
    </font>
    <font>
      <b/>
      <sz val="16"/>
      <color rgb="FFFFFFFF"/>
      <name val="Times New Roman"/>
      <family val="1"/>
    </font>
    <font>
      <b/>
      <sz val="18"/>
      <name val="Times New Roman"/>
      <family val="1"/>
    </font>
    <font>
      <sz val="18"/>
      <color theme="1"/>
      <name val="Times New Roman"/>
      <family val="1"/>
    </font>
    <font>
      <sz val="16"/>
      <color theme="1"/>
      <name val="Calibri"/>
      <family val="2"/>
    </font>
    <font>
      <i/>
      <sz val="14"/>
      <color rgb="FF595959"/>
      <name val="Times New Roman"/>
      <family val="1"/>
    </font>
  </fonts>
  <fills count="13">
    <fill>
      <patternFill patternType="none"/>
    </fill>
    <fill>
      <patternFill patternType="gray125"/>
    </fill>
    <fill>
      <patternFill patternType="solid">
        <fgColor rgb="FFEAF1FB"/>
      </patternFill>
    </fill>
    <fill>
      <patternFill patternType="solid">
        <fgColor rgb="FF1F3864"/>
      </patternFill>
    </fill>
    <fill>
      <patternFill patternType="solid">
        <fgColor rgb="FFE9F3EC"/>
      </patternFill>
    </fill>
    <fill>
      <patternFill patternType="solid">
        <fgColor rgb="FFF6DDDD"/>
      </patternFill>
    </fill>
    <fill>
      <patternFill patternType="solid">
        <fgColor rgb="FFEDEDED"/>
      </patternFill>
    </fill>
    <fill>
      <patternFill patternType="solid">
        <fgColor rgb="FFEDF7EE"/>
      </patternFill>
    </fill>
    <fill>
      <patternFill patternType="solid">
        <fgColor rgb="FFFFF7E0"/>
      </patternFill>
    </fill>
    <fill>
      <patternFill patternType="solid">
        <fgColor rgb="FFF3ECF8"/>
      </patternFill>
    </fill>
    <fill>
      <patternFill patternType="solid">
        <fgColor rgb="FFFBECEC"/>
      </patternFill>
    </fill>
    <fill>
      <patternFill patternType="solid">
        <fgColor rgb="FFE6F2F3"/>
      </patternFill>
    </fill>
    <fill>
      <patternFill patternType="solid">
        <fgColor rgb="FFFFF4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7">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0" xfId="0" applyFont="1" applyAlignment="1">
      <alignment horizontal="center"/>
    </xf>
    <xf numFmtId="0" fontId="8" fillId="3" borderId="1" xfId="0" applyFont="1" applyFill="1" applyBorder="1" applyAlignment="1">
      <alignment horizontal="center" vertical="center" wrapText="1"/>
    </xf>
    <xf numFmtId="0" fontId="6" fillId="0" borderId="0" xfId="0" applyFont="1" applyAlignment="1">
      <alignment horizontal="center"/>
    </xf>
    <xf numFmtId="0" fontId="9" fillId="0" borderId="0" xfId="0" applyFont="1"/>
    <xf numFmtId="0" fontId="10" fillId="0" borderId="0" xfId="0" applyFont="1"/>
    <xf numFmtId="0" fontId="9" fillId="0" borderId="1" xfId="0" applyFont="1" applyBorder="1" applyAlignment="1">
      <alignment horizontal="center" vertical="top" wrapText="1"/>
    </xf>
    <xf numFmtId="0" fontId="5" fillId="4" borderId="1" xfId="0" applyFont="1" applyFill="1" applyBorder="1" applyAlignment="1">
      <alignment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top" wrapText="1"/>
    </xf>
    <xf numFmtId="0" fontId="11" fillId="0" borderId="0" xfId="0" applyFont="1" applyAlignment="1">
      <alignment horizontal="center"/>
    </xf>
    <xf numFmtId="0" fontId="5" fillId="2"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5" fillId="2" borderId="1" xfId="0" applyFont="1" applyFill="1" applyBorder="1" applyAlignment="1">
      <alignment vertical="top" wrapText="1"/>
    </xf>
    <xf numFmtId="0" fontId="5" fillId="0" borderId="1" xfId="0" applyFont="1" applyBorder="1"/>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horizontal="center" vertical="top" wrapText="1"/>
    </xf>
    <xf numFmtId="0" fontId="7" fillId="0" borderId="0" xfId="0" applyFont="1" applyAlignment="1">
      <alignment horizontal="center"/>
    </xf>
    <xf numFmtId="0" fontId="12" fillId="0" borderId="0" xfId="0" applyFont="1" applyAlignment="1">
      <alignment vertical="top" wrapText="1"/>
    </xf>
  </cellXfs>
  <cellStyles count="6">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CC"/>
      <rgbColor rgb="FFE6F2F3"/>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9F3EC"/>
      <rgbColor rgb="FFEDF7EE"/>
      <rgbColor rgb="FFFFF7E0"/>
      <rgbColor rgb="FFEAF1FB"/>
      <rgbColor rgb="FFFBECEC"/>
      <rgbColor rgb="FFF3ECF8"/>
      <rgbColor rgb="FFF6DDD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workbookViewId="0"/>
  </sheetViews>
  <sheetFormatPr baseColWidth="10" defaultColWidth="8.6640625" defaultRowHeight="18" x14ac:dyDescent="0.2"/>
  <cols>
    <col min="1" max="1" width="3" style="3" customWidth="1"/>
    <col min="2" max="2" width="25.6640625" style="3" customWidth="1"/>
    <col min="3" max="3" width="181.6640625" style="3" customWidth="1"/>
    <col min="4" max="16384" width="8.6640625" style="3"/>
  </cols>
  <sheetData>
    <row r="1" spans="2:3" ht="28" x14ac:dyDescent="0.3">
      <c r="B1" s="35" t="s">
        <v>0</v>
      </c>
      <c r="C1" s="35"/>
    </row>
    <row r="2" spans="2:3" ht="38" x14ac:dyDescent="0.2">
      <c r="B2" s="4" t="s">
        <v>1</v>
      </c>
      <c r="C2" s="5" t="s">
        <v>2</v>
      </c>
    </row>
    <row r="3" spans="2:3" ht="76" x14ac:dyDescent="0.2">
      <c r="B3" s="4" t="s">
        <v>3</v>
      </c>
      <c r="C3" s="5" t="s">
        <v>4</v>
      </c>
    </row>
    <row r="4" spans="2:3" ht="409.6" x14ac:dyDescent="0.2">
      <c r="B4" s="4" t="s">
        <v>5</v>
      </c>
      <c r="C4" s="5" t="s">
        <v>6</v>
      </c>
    </row>
    <row r="5" spans="2:3" ht="95" x14ac:dyDescent="0.2">
      <c r="B5" s="4" t="s">
        <v>7</v>
      </c>
      <c r="C5" s="5" t="s">
        <v>8</v>
      </c>
    </row>
    <row r="6" spans="2:3" ht="95" x14ac:dyDescent="0.2">
      <c r="B6" s="4" t="s">
        <v>9</v>
      </c>
      <c r="C6" s="5" t="s">
        <v>10</v>
      </c>
    </row>
    <row r="7" spans="2:3" ht="38" x14ac:dyDescent="0.2">
      <c r="B7" s="4" t="s">
        <v>11</v>
      </c>
      <c r="C7" s="5" t="s">
        <v>12</v>
      </c>
    </row>
    <row r="8" spans="2:3" ht="114" x14ac:dyDescent="0.2">
      <c r="B8" s="4" t="s">
        <v>13</v>
      </c>
      <c r="C8" s="5" t="s">
        <v>14</v>
      </c>
    </row>
    <row r="9" spans="2:3" ht="38" x14ac:dyDescent="0.2">
      <c r="B9" s="4" t="s">
        <v>15</v>
      </c>
      <c r="C9" s="5" t="s">
        <v>16</v>
      </c>
    </row>
    <row r="10" spans="2:3" ht="38" x14ac:dyDescent="0.2">
      <c r="B10" s="4" t="s">
        <v>17</v>
      </c>
      <c r="C10" s="5" t="s">
        <v>18</v>
      </c>
    </row>
    <row r="11" spans="2:3" ht="398" x14ac:dyDescent="0.2">
      <c r="B11" s="4" t="s">
        <v>19</v>
      </c>
      <c r="C11" s="5" t="s">
        <v>20</v>
      </c>
    </row>
    <row r="12" spans="2:3" ht="57" x14ac:dyDescent="0.2">
      <c r="B12" s="4" t="s">
        <v>21</v>
      </c>
      <c r="C12" s="5" t="s">
        <v>22</v>
      </c>
    </row>
    <row r="13" spans="2:3" ht="57" x14ac:dyDescent="0.2">
      <c r="B13" s="4" t="s">
        <v>23</v>
      </c>
      <c r="C13" s="5" t="s">
        <v>24</v>
      </c>
    </row>
    <row r="14" spans="2:3" ht="76" x14ac:dyDescent="0.2">
      <c r="B14" s="4" t="s">
        <v>25</v>
      </c>
      <c r="C14" s="5" t="s">
        <v>26</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workbookViewId="0">
      <pane xSplit="2" ySplit="1" topLeftCell="C2" activePane="bottomRight" state="frozen"/>
      <selection pane="topRight"/>
      <selection pane="bottomLeft"/>
      <selection pane="bottomRight" activeCell="C2" sqref="C2"/>
    </sheetView>
  </sheetViews>
  <sheetFormatPr baseColWidth="10" defaultColWidth="8.6640625" defaultRowHeight="18" x14ac:dyDescent="0.2"/>
  <cols>
    <col min="1" max="1" width="6.5" style="3" customWidth="1"/>
    <col min="2" max="2" width="29.33203125" style="3" customWidth="1"/>
    <col min="3" max="3" width="54.33203125" style="3" customWidth="1"/>
    <col min="4" max="4" width="8.33203125" style="3" customWidth="1"/>
    <col min="5" max="5" width="26.6640625" style="3" customWidth="1"/>
    <col min="6" max="6" width="21.6640625" style="3" customWidth="1"/>
    <col min="7" max="7" width="8.5" style="3" customWidth="1"/>
    <col min="8" max="8" width="12.5" style="3" customWidth="1"/>
    <col min="9" max="9" width="12.1640625" style="3" customWidth="1"/>
    <col min="10" max="10" width="14.33203125" style="3" customWidth="1"/>
    <col min="11" max="11" width="10.1640625" style="3" customWidth="1"/>
    <col min="12" max="16384" width="8.6640625" style="3"/>
  </cols>
  <sheetData>
    <row r="1" spans="1:11" s="10" customFormat="1" ht="42" x14ac:dyDescent="0.2">
      <c r="A1" s="9" t="s">
        <v>27</v>
      </c>
      <c r="B1" s="9" t="s">
        <v>28</v>
      </c>
      <c r="C1" s="9" t="s">
        <v>29</v>
      </c>
      <c r="D1" s="9" t="s">
        <v>30</v>
      </c>
      <c r="E1" s="9" t="s">
        <v>31</v>
      </c>
      <c r="F1" s="9" t="s">
        <v>32</v>
      </c>
      <c r="G1" s="9" t="s">
        <v>33</v>
      </c>
      <c r="H1" s="9" t="s">
        <v>34</v>
      </c>
      <c r="I1" s="9" t="s">
        <v>35</v>
      </c>
      <c r="J1" s="9" t="s">
        <v>36</v>
      </c>
      <c r="K1" s="9" t="s">
        <v>37</v>
      </c>
    </row>
    <row r="2" spans="1:11" ht="57" x14ac:dyDescent="0.2">
      <c r="A2" s="6" t="s">
        <v>38</v>
      </c>
      <c r="B2" s="5" t="s">
        <v>39</v>
      </c>
      <c r="C2" s="5" t="s">
        <v>40</v>
      </c>
      <c r="D2" s="6">
        <v>2024</v>
      </c>
      <c r="E2" s="5" t="s">
        <v>41</v>
      </c>
      <c r="F2" s="6">
        <v>22</v>
      </c>
      <c r="G2" s="6">
        <f>COUNTIF(Citing_Studies!$B$2:$B$1000,A2)</f>
        <v>22</v>
      </c>
      <c r="H2" s="6">
        <f>COUNTIFS(Citing_Studies!$B$2:$B$1000,A2,Citing_Studies!$G$2:$G$1000,"Included*")</f>
        <v>7</v>
      </c>
      <c r="I2" s="6">
        <f>COUNTIFS(Citing_Studies!$B$2:$B$1000,A2,Citing_Studies!$G$2:$G$1000,"Excluded*")</f>
        <v>12</v>
      </c>
      <c r="J2" s="6">
        <f>COUNTIFS(Citing_Studies!$B$2:$B$1000,A2,Citing_Studies!$G$2:$G$1000,"Duplicate*")</f>
        <v>3</v>
      </c>
      <c r="K2" s="5" t="str">
        <f t="shared" ref="K2:K24" si="0">IF(F2="","Not started",IF(G2=F2,"Complete","To log: "&amp;(F2-G2)))</f>
        <v>Complete</v>
      </c>
    </row>
    <row r="3" spans="1:11" ht="38" x14ac:dyDescent="0.2">
      <c r="A3" s="6" t="s">
        <v>42</v>
      </c>
      <c r="B3" s="5" t="s">
        <v>43</v>
      </c>
      <c r="C3" s="5" t="s">
        <v>44</v>
      </c>
      <c r="D3" s="6">
        <v>2025</v>
      </c>
      <c r="E3" s="5" t="s">
        <v>41</v>
      </c>
      <c r="F3" s="6">
        <v>2</v>
      </c>
      <c r="G3" s="6">
        <f>COUNTIF(Citing_Studies!$B$2:$B$1000,A3)</f>
        <v>2</v>
      </c>
      <c r="H3" s="6">
        <f>COUNTIFS(Citing_Studies!$B$2:$B$1000,A3,Citing_Studies!$G$2:$G$1000,"Included*")</f>
        <v>0</v>
      </c>
      <c r="I3" s="6">
        <f>COUNTIFS(Citing_Studies!$B$2:$B$1000,A3,Citing_Studies!$G$2:$G$1000,"Excluded*")</f>
        <v>1</v>
      </c>
      <c r="J3" s="6">
        <f>COUNTIFS(Citing_Studies!$B$2:$B$1000,A3,Citing_Studies!$G$2:$G$1000,"Duplicate*")</f>
        <v>1</v>
      </c>
      <c r="K3" s="5" t="str">
        <f t="shared" si="0"/>
        <v>Complete</v>
      </c>
    </row>
    <row r="4" spans="1:11" ht="38" x14ac:dyDescent="0.2">
      <c r="A4" s="6" t="s">
        <v>45</v>
      </c>
      <c r="B4" s="5" t="s">
        <v>46</v>
      </c>
      <c r="C4" s="5" t="s">
        <v>47</v>
      </c>
      <c r="D4" s="6">
        <v>2025</v>
      </c>
      <c r="E4" s="5" t="s">
        <v>41</v>
      </c>
      <c r="F4" s="6">
        <v>13</v>
      </c>
      <c r="G4" s="6">
        <f>COUNTIF(Citing_Studies!$B$2:$B$1000,A4)</f>
        <v>13</v>
      </c>
      <c r="H4" s="6">
        <f>COUNTIFS(Citing_Studies!$B$2:$B$1000,A4,Citing_Studies!$G$2:$G$1000,"Included*")</f>
        <v>5</v>
      </c>
      <c r="I4" s="6">
        <f>COUNTIFS(Citing_Studies!$B$2:$B$1000,A4,Citing_Studies!$G$2:$G$1000,"Excluded*")</f>
        <v>5</v>
      </c>
      <c r="J4" s="6">
        <f>COUNTIFS(Citing_Studies!$B$2:$B$1000,A4,Citing_Studies!$G$2:$G$1000,"Duplicate*")</f>
        <v>3</v>
      </c>
      <c r="K4" s="5" t="str">
        <f t="shared" si="0"/>
        <v>Complete</v>
      </c>
    </row>
    <row r="5" spans="1:11" ht="38" x14ac:dyDescent="0.2">
      <c r="A5" s="6" t="s">
        <v>48</v>
      </c>
      <c r="B5" s="5" t="s">
        <v>49</v>
      </c>
      <c r="C5" s="5" t="s">
        <v>50</v>
      </c>
      <c r="D5" s="6">
        <v>2024</v>
      </c>
      <c r="E5" s="5" t="s">
        <v>41</v>
      </c>
      <c r="F5" s="6">
        <v>119</v>
      </c>
      <c r="G5" s="6">
        <f>COUNTIF(Citing_Studies!$B$2:$B$1000,A5)</f>
        <v>119</v>
      </c>
      <c r="H5" s="6">
        <f>COUNTIFS(Citing_Studies!$B$2:$B$1000,A5,Citing_Studies!$G$2:$G$1000,"Included*")</f>
        <v>31</v>
      </c>
      <c r="I5" s="6">
        <f>COUNTIFS(Citing_Studies!$B$2:$B$1000,A5,Citing_Studies!$G$2:$G$1000,"Excluded*")</f>
        <v>63</v>
      </c>
      <c r="J5" s="6">
        <f>COUNTIFS(Citing_Studies!$B$2:$B$1000,A5,Citing_Studies!$G$2:$G$1000,"Duplicate*")</f>
        <v>25</v>
      </c>
      <c r="K5" s="5" t="str">
        <f t="shared" si="0"/>
        <v>Complete</v>
      </c>
    </row>
    <row r="6" spans="1:11" ht="57" x14ac:dyDescent="0.2">
      <c r="A6" s="6" t="s">
        <v>51</v>
      </c>
      <c r="B6" s="5" t="s">
        <v>52</v>
      </c>
      <c r="C6" s="5" t="s">
        <v>53</v>
      </c>
      <c r="D6" s="6">
        <v>2025</v>
      </c>
      <c r="E6" s="5" t="s">
        <v>41</v>
      </c>
      <c r="F6" s="6">
        <v>31</v>
      </c>
      <c r="G6" s="6">
        <f>COUNTIF(Citing_Studies!$B$2:$B$1000,A6)</f>
        <v>31</v>
      </c>
      <c r="H6" s="6">
        <f>COUNTIFS(Citing_Studies!$B$2:$B$1000,A6,Citing_Studies!$G$2:$G$1000,"Included*")</f>
        <v>1</v>
      </c>
      <c r="I6" s="6">
        <f>COUNTIFS(Citing_Studies!$B$2:$B$1000,A6,Citing_Studies!$G$2:$G$1000,"Excluded*")</f>
        <v>7</v>
      </c>
      <c r="J6" s="6">
        <f>COUNTIFS(Citing_Studies!$B$2:$B$1000,A6,Citing_Studies!$G$2:$G$1000,"Duplicate*")</f>
        <v>23</v>
      </c>
      <c r="K6" s="5" t="str">
        <f t="shared" si="0"/>
        <v>Complete</v>
      </c>
    </row>
    <row r="7" spans="1:11" ht="57" x14ac:dyDescent="0.2">
      <c r="A7" s="6" t="s">
        <v>54</v>
      </c>
      <c r="B7" s="5" t="s">
        <v>55</v>
      </c>
      <c r="C7" s="5" t="s">
        <v>56</v>
      </c>
      <c r="D7" s="6">
        <v>2025</v>
      </c>
      <c r="E7" s="5" t="s">
        <v>41</v>
      </c>
      <c r="F7" s="6">
        <v>2</v>
      </c>
      <c r="G7" s="6">
        <f>COUNTIF(Citing_Studies!$B$2:$B$1000,A7)</f>
        <v>2</v>
      </c>
      <c r="H7" s="6">
        <f>COUNTIFS(Citing_Studies!$B$2:$B$1000,A7,Citing_Studies!$G$2:$G$1000,"Included*")</f>
        <v>0</v>
      </c>
      <c r="I7" s="6">
        <f>COUNTIFS(Citing_Studies!$B$2:$B$1000,A7,Citing_Studies!$G$2:$G$1000,"Excluded*")</f>
        <v>2</v>
      </c>
      <c r="J7" s="6">
        <f>COUNTIFS(Citing_Studies!$B$2:$B$1000,A7,Citing_Studies!$G$2:$G$1000,"Duplicate*")</f>
        <v>0</v>
      </c>
      <c r="K7" s="5" t="str">
        <f t="shared" si="0"/>
        <v>Complete</v>
      </c>
    </row>
    <row r="8" spans="1:11" ht="57" x14ac:dyDescent="0.2">
      <c r="A8" s="6" t="s">
        <v>57</v>
      </c>
      <c r="B8" s="5" t="s">
        <v>58</v>
      </c>
      <c r="C8" s="5" t="s">
        <v>59</v>
      </c>
      <c r="D8" s="6">
        <v>2024</v>
      </c>
      <c r="E8" s="5" t="s">
        <v>41</v>
      </c>
      <c r="F8" s="6">
        <v>56</v>
      </c>
      <c r="G8" s="6">
        <f>COUNTIF(Citing_Studies!$B$2:$B$1000,A8)</f>
        <v>56</v>
      </c>
      <c r="H8" s="6">
        <f>COUNTIFS(Citing_Studies!$B$2:$B$1000,A8,Citing_Studies!$G$2:$G$1000,"Included*")</f>
        <v>4</v>
      </c>
      <c r="I8" s="6">
        <f>COUNTIFS(Citing_Studies!$B$2:$B$1000,A8,Citing_Studies!$G$2:$G$1000,"Excluded*")</f>
        <v>17</v>
      </c>
      <c r="J8" s="6">
        <f>COUNTIFS(Citing_Studies!$B$2:$B$1000,A8,Citing_Studies!$G$2:$G$1000,"Duplicate*")</f>
        <v>35</v>
      </c>
      <c r="K8" s="5" t="str">
        <f t="shared" si="0"/>
        <v>Complete</v>
      </c>
    </row>
    <row r="9" spans="1:11" ht="38" x14ac:dyDescent="0.2">
      <c r="A9" s="6" t="s">
        <v>60</v>
      </c>
      <c r="B9" s="5" t="s">
        <v>61</v>
      </c>
      <c r="C9" s="5" t="s">
        <v>62</v>
      </c>
      <c r="D9" s="6">
        <v>2024</v>
      </c>
      <c r="E9" s="5" t="s">
        <v>41</v>
      </c>
      <c r="F9" s="6">
        <v>59</v>
      </c>
      <c r="G9" s="6">
        <f>COUNTIF(Citing_Studies!$B$2:$B$1000,A9)</f>
        <v>59</v>
      </c>
      <c r="H9" s="6">
        <f>COUNTIFS(Citing_Studies!$B$2:$B$1000,A9,Citing_Studies!$G$2:$G$1000,"Included*")</f>
        <v>4</v>
      </c>
      <c r="I9" s="6">
        <f>COUNTIFS(Citing_Studies!$B$2:$B$1000,A9,Citing_Studies!$G$2:$G$1000,"Excluded*")</f>
        <v>15</v>
      </c>
      <c r="J9" s="6">
        <f>COUNTIFS(Citing_Studies!$B$2:$B$1000,A9,Citing_Studies!$G$2:$G$1000,"Duplicate*")</f>
        <v>40</v>
      </c>
      <c r="K9" s="5" t="str">
        <f t="shared" si="0"/>
        <v>Complete</v>
      </c>
    </row>
    <row r="10" spans="1:11" ht="38" x14ac:dyDescent="0.2">
      <c r="A10" s="6" t="s">
        <v>63</v>
      </c>
      <c r="B10" s="5" t="s">
        <v>49</v>
      </c>
      <c r="C10" s="5" t="s">
        <v>64</v>
      </c>
      <c r="D10" s="6">
        <v>2024</v>
      </c>
      <c r="E10" s="5" t="s">
        <v>41</v>
      </c>
      <c r="F10" s="6">
        <v>24</v>
      </c>
      <c r="G10" s="6">
        <f>COUNTIF(Citing_Studies!$B$2:$B$1000,A10)</f>
        <v>24</v>
      </c>
      <c r="H10" s="6">
        <f>COUNTIFS(Citing_Studies!$B$2:$B$1000,A10,Citing_Studies!$G$2:$G$1000,"Included*")</f>
        <v>0</v>
      </c>
      <c r="I10" s="6">
        <f>COUNTIFS(Citing_Studies!$B$2:$B$1000,A10,Citing_Studies!$G$2:$G$1000,"Excluded*")</f>
        <v>5</v>
      </c>
      <c r="J10" s="6">
        <f>COUNTIFS(Citing_Studies!$B$2:$B$1000,A10,Citing_Studies!$G$2:$G$1000,"Duplicate*")</f>
        <v>19</v>
      </c>
      <c r="K10" s="5" t="str">
        <f t="shared" si="0"/>
        <v>Complete</v>
      </c>
    </row>
    <row r="11" spans="1:11" ht="38" x14ac:dyDescent="0.2">
      <c r="A11" s="6" t="s">
        <v>65</v>
      </c>
      <c r="B11" s="5" t="s">
        <v>66</v>
      </c>
      <c r="C11" s="5" t="s">
        <v>67</v>
      </c>
      <c r="D11" s="6">
        <v>2024</v>
      </c>
      <c r="E11" s="5" t="s">
        <v>41</v>
      </c>
      <c r="F11" s="6">
        <v>72</v>
      </c>
      <c r="G11" s="6">
        <f>COUNTIF(Citing_Studies!$B$2:$B$1000,A11)</f>
        <v>72</v>
      </c>
      <c r="H11" s="6">
        <f>COUNTIFS(Citing_Studies!$B$2:$B$1000,A11,Citing_Studies!$G$2:$G$1000,"Included*")</f>
        <v>4</v>
      </c>
      <c r="I11" s="6">
        <f>COUNTIFS(Citing_Studies!$B$2:$B$1000,A11,Citing_Studies!$G$2:$G$1000,"Excluded*")</f>
        <v>33</v>
      </c>
      <c r="J11" s="6">
        <f>COUNTIFS(Citing_Studies!$B$2:$B$1000,A11,Citing_Studies!$G$2:$G$1000,"Duplicate*")</f>
        <v>35</v>
      </c>
      <c r="K11" s="5" t="str">
        <f t="shared" si="0"/>
        <v>Complete</v>
      </c>
    </row>
    <row r="12" spans="1:11" ht="57" x14ac:dyDescent="0.2">
      <c r="A12" s="6" t="s">
        <v>68</v>
      </c>
      <c r="B12" s="5" t="s">
        <v>69</v>
      </c>
      <c r="C12" s="5" t="s">
        <v>70</v>
      </c>
      <c r="D12" s="6">
        <v>2023</v>
      </c>
      <c r="E12" s="5" t="s">
        <v>41</v>
      </c>
      <c r="F12" s="6">
        <v>277</v>
      </c>
      <c r="G12" s="6">
        <f>COUNTIF(Citing_Studies!$B$2:$B$1000,A12)</f>
        <v>277</v>
      </c>
      <c r="H12" s="6">
        <f>COUNTIFS(Citing_Studies!$B$2:$B$1000,A12,Citing_Studies!$G$2:$G$1000,"Included*")</f>
        <v>11</v>
      </c>
      <c r="I12" s="6">
        <f>COUNTIFS(Citing_Studies!$B$2:$B$1000,A12,Citing_Studies!$G$2:$G$1000,"Excluded*")</f>
        <v>227</v>
      </c>
      <c r="J12" s="6">
        <f>COUNTIFS(Citing_Studies!$B$2:$B$1000,A12,Citing_Studies!$G$2:$G$1000,"Duplicate*")</f>
        <v>39</v>
      </c>
      <c r="K12" s="5" t="str">
        <f t="shared" si="0"/>
        <v>Complete</v>
      </c>
    </row>
    <row r="13" spans="1:11" ht="38" x14ac:dyDescent="0.2">
      <c r="A13" s="6" t="s">
        <v>71</v>
      </c>
      <c r="B13" s="5" t="s">
        <v>72</v>
      </c>
      <c r="C13" s="5" t="s">
        <v>73</v>
      </c>
      <c r="D13" s="6">
        <v>2020</v>
      </c>
      <c r="E13" s="5" t="s">
        <v>41</v>
      </c>
      <c r="F13" s="6">
        <v>27</v>
      </c>
      <c r="G13" s="6">
        <f>COUNTIF(Citing_Studies!$B$2:$B$1000,A13)</f>
        <v>27</v>
      </c>
      <c r="H13" s="6">
        <f>COUNTIFS(Citing_Studies!$B$2:$B$1000,A13,Citing_Studies!$G$2:$G$1000,"Included*")</f>
        <v>0</v>
      </c>
      <c r="I13" s="6">
        <f>COUNTIFS(Citing_Studies!$B$2:$B$1000,A13,Citing_Studies!$G$2:$G$1000,"Excluded*")</f>
        <v>23</v>
      </c>
      <c r="J13" s="6">
        <f>COUNTIFS(Citing_Studies!$B$2:$B$1000,A13,Citing_Studies!$G$2:$G$1000,"Duplicate*")</f>
        <v>4</v>
      </c>
      <c r="K13" s="5" t="str">
        <f t="shared" si="0"/>
        <v>Complete</v>
      </c>
    </row>
    <row r="14" spans="1:11" ht="57" x14ac:dyDescent="0.2">
      <c r="A14" s="6" t="s">
        <v>74</v>
      </c>
      <c r="B14" s="5" t="s">
        <v>75</v>
      </c>
      <c r="C14" s="5" t="s">
        <v>76</v>
      </c>
      <c r="D14" s="6">
        <v>2025</v>
      </c>
      <c r="E14" s="5" t="s">
        <v>41</v>
      </c>
      <c r="F14" s="6">
        <v>10</v>
      </c>
      <c r="G14" s="6">
        <f>COUNTIF(Citing_Studies!$B$2:$B$1000,A14)</f>
        <v>10</v>
      </c>
      <c r="H14" s="6">
        <f>COUNTIFS(Citing_Studies!$B$2:$B$1000,A14,Citing_Studies!$G$2:$G$1000,"Included*")</f>
        <v>0</v>
      </c>
      <c r="I14" s="6">
        <f>COUNTIFS(Citing_Studies!$B$2:$B$1000,A14,Citing_Studies!$G$2:$G$1000,"Excluded*")</f>
        <v>10</v>
      </c>
      <c r="J14" s="6">
        <f>COUNTIFS(Citing_Studies!$B$2:$B$1000,A14,Citing_Studies!$G$2:$G$1000,"Duplicate*")</f>
        <v>0</v>
      </c>
      <c r="K14" s="5" t="str">
        <f t="shared" si="0"/>
        <v>Complete</v>
      </c>
    </row>
    <row r="15" spans="1:11" ht="38" x14ac:dyDescent="0.2">
      <c r="A15" s="6" t="s">
        <v>77</v>
      </c>
      <c r="B15" s="5" t="s">
        <v>78</v>
      </c>
      <c r="C15" s="5" t="s">
        <v>79</v>
      </c>
      <c r="D15" s="6">
        <v>2026</v>
      </c>
      <c r="E15" s="5" t="s">
        <v>41</v>
      </c>
      <c r="F15" s="6">
        <v>2</v>
      </c>
      <c r="G15" s="6">
        <f>COUNTIF(Citing_Studies!$B$2:$B$1000,A15)</f>
        <v>2</v>
      </c>
      <c r="H15" s="6">
        <f>COUNTIFS(Citing_Studies!$B$2:$B$1000,A15,Citing_Studies!$G$2:$G$1000,"Included*")</f>
        <v>0</v>
      </c>
      <c r="I15" s="6">
        <f>COUNTIFS(Citing_Studies!$B$2:$B$1000,A15,Citing_Studies!$G$2:$G$1000,"Excluded*")</f>
        <v>2</v>
      </c>
      <c r="J15" s="6">
        <f>COUNTIFS(Citing_Studies!$B$2:$B$1000,A15,Citing_Studies!$G$2:$G$1000,"Duplicate*")</f>
        <v>0</v>
      </c>
      <c r="K15" s="5" t="str">
        <f t="shared" si="0"/>
        <v>Complete</v>
      </c>
    </row>
    <row r="16" spans="1:11" ht="57" x14ac:dyDescent="0.2">
      <c r="A16" s="6" t="s">
        <v>80</v>
      </c>
      <c r="B16" s="5" t="s">
        <v>81</v>
      </c>
      <c r="C16" s="5" t="s">
        <v>82</v>
      </c>
      <c r="D16" s="6">
        <v>2025</v>
      </c>
      <c r="E16" s="5" t="s">
        <v>41</v>
      </c>
      <c r="F16" s="6">
        <v>28</v>
      </c>
      <c r="G16" s="6">
        <f>COUNTIF(Citing_Studies!$B$2:$B$1000,A16)</f>
        <v>28</v>
      </c>
      <c r="H16" s="6">
        <f>COUNTIFS(Citing_Studies!$B$2:$B$1000,A16,Citing_Studies!$G$2:$G$1000,"Included*")</f>
        <v>0</v>
      </c>
      <c r="I16" s="6">
        <f>COUNTIFS(Citing_Studies!$B$2:$B$1000,A16,Citing_Studies!$G$2:$G$1000,"Excluded*")</f>
        <v>26</v>
      </c>
      <c r="J16" s="6">
        <f>COUNTIFS(Citing_Studies!$B$2:$B$1000,A16,Citing_Studies!$G$2:$G$1000,"Duplicate*")</f>
        <v>2</v>
      </c>
      <c r="K16" s="5" t="str">
        <f t="shared" si="0"/>
        <v>Complete</v>
      </c>
    </row>
    <row r="17" spans="1:11" ht="38" x14ac:dyDescent="0.2">
      <c r="A17" s="6" t="s">
        <v>83</v>
      </c>
      <c r="B17" s="5" t="s">
        <v>84</v>
      </c>
      <c r="C17" s="5" t="s">
        <v>85</v>
      </c>
      <c r="D17" s="6">
        <v>2025</v>
      </c>
      <c r="E17" s="5" t="s">
        <v>41</v>
      </c>
      <c r="F17" s="6">
        <v>8</v>
      </c>
      <c r="G17" s="6">
        <f>COUNTIF(Citing_Studies!$B$2:$B$1000,A17)</f>
        <v>8</v>
      </c>
      <c r="H17" s="6">
        <f>COUNTIFS(Citing_Studies!$B$2:$B$1000,A17,Citing_Studies!$G$2:$G$1000,"Included*")</f>
        <v>0</v>
      </c>
      <c r="I17" s="6">
        <f>COUNTIFS(Citing_Studies!$B$2:$B$1000,A17,Citing_Studies!$G$2:$G$1000,"Excluded*")</f>
        <v>7</v>
      </c>
      <c r="J17" s="6">
        <f>COUNTIFS(Citing_Studies!$B$2:$B$1000,A17,Citing_Studies!$G$2:$G$1000,"Duplicate*")</f>
        <v>1</v>
      </c>
      <c r="K17" s="5" t="str">
        <f t="shared" si="0"/>
        <v>Complete</v>
      </c>
    </row>
    <row r="18" spans="1:11" ht="38" x14ac:dyDescent="0.2">
      <c r="A18" s="6" t="s">
        <v>86</v>
      </c>
      <c r="B18" s="5" t="s">
        <v>87</v>
      </c>
      <c r="C18" s="5" t="s">
        <v>88</v>
      </c>
      <c r="D18" s="6">
        <v>2026</v>
      </c>
      <c r="E18" s="5" t="s">
        <v>41</v>
      </c>
      <c r="F18" s="6">
        <v>0</v>
      </c>
      <c r="G18" s="6">
        <f>COUNTIF(Citing_Studies!$B$2:$B$1000,A18)</f>
        <v>0</v>
      </c>
      <c r="H18" s="6">
        <f>COUNTIFS(Citing_Studies!$B$2:$B$1000,A18,Citing_Studies!$G$2:$G$1000,"Included*")</f>
        <v>0</v>
      </c>
      <c r="I18" s="6">
        <f>COUNTIFS(Citing_Studies!$B$2:$B$1000,A18,Citing_Studies!$G$2:$G$1000,"Excluded*")</f>
        <v>0</v>
      </c>
      <c r="J18" s="6">
        <f>COUNTIFS(Citing_Studies!$B$2:$B$1000,A18,Citing_Studies!$G$2:$G$1000,"Duplicate*")</f>
        <v>0</v>
      </c>
      <c r="K18" s="5" t="str">
        <f t="shared" si="0"/>
        <v>Complete</v>
      </c>
    </row>
    <row r="19" spans="1:11" ht="38" x14ac:dyDescent="0.2">
      <c r="A19" s="6" t="s">
        <v>89</v>
      </c>
      <c r="B19" s="5" t="s">
        <v>90</v>
      </c>
      <c r="C19" s="5" t="s">
        <v>91</v>
      </c>
      <c r="D19" s="6">
        <v>2026</v>
      </c>
      <c r="E19" s="5" t="s">
        <v>41</v>
      </c>
      <c r="F19" s="6">
        <v>0</v>
      </c>
      <c r="G19" s="6">
        <f>COUNTIF(Citing_Studies!$B$2:$B$1000,A19)</f>
        <v>0</v>
      </c>
      <c r="H19" s="6">
        <f>COUNTIFS(Citing_Studies!$B$2:$B$1000,A19,Citing_Studies!$G$2:$G$1000,"Included*")</f>
        <v>0</v>
      </c>
      <c r="I19" s="6">
        <f>COUNTIFS(Citing_Studies!$B$2:$B$1000,A19,Citing_Studies!$G$2:$G$1000,"Excluded*")</f>
        <v>0</v>
      </c>
      <c r="J19" s="6">
        <f>COUNTIFS(Citing_Studies!$B$2:$B$1000,A19,Citing_Studies!$G$2:$G$1000,"Duplicate*")</f>
        <v>0</v>
      </c>
      <c r="K19" s="5" t="str">
        <f t="shared" si="0"/>
        <v>Complete</v>
      </c>
    </row>
    <row r="20" spans="1:11" ht="57" x14ac:dyDescent="0.2">
      <c r="A20" s="6" t="s">
        <v>92</v>
      </c>
      <c r="B20" s="5" t="s">
        <v>55</v>
      </c>
      <c r="C20" s="5" t="s">
        <v>93</v>
      </c>
      <c r="D20" s="6">
        <v>2026</v>
      </c>
      <c r="E20" s="5" t="s">
        <v>41</v>
      </c>
      <c r="F20" s="6">
        <v>0</v>
      </c>
      <c r="G20" s="6">
        <f>COUNTIF(Citing_Studies!$B$2:$B$1000,A20)</f>
        <v>0</v>
      </c>
      <c r="H20" s="6">
        <f>COUNTIFS(Citing_Studies!$B$2:$B$1000,A20,Citing_Studies!$G$2:$G$1000,"Included*")</f>
        <v>0</v>
      </c>
      <c r="I20" s="6">
        <f>COUNTIFS(Citing_Studies!$B$2:$B$1000,A20,Citing_Studies!$G$2:$G$1000,"Excluded*")</f>
        <v>0</v>
      </c>
      <c r="J20" s="6">
        <f>COUNTIFS(Citing_Studies!$B$2:$B$1000,A20,Citing_Studies!$G$2:$G$1000,"Duplicate*")</f>
        <v>0</v>
      </c>
      <c r="K20" s="5" t="str">
        <f t="shared" si="0"/>
        <v>Complete</v>
      </c>
    </row>
    <row r="21" spans="1:11" ht="57" x14ac:dyDescent="0.2">
      <c r="A21" s="6" t="s">
        <v>94</v>
      </c>
      <c r="B21" s="5" t="s">
        <v>95</v>
      </c>
      <c r="C21" s="5" t="s">
        <v>96</v>
      </c>
      <c r="D21" s="6">
        <v>2026</v>
      </c>
      <c r="E21" s="5" t="s">
        <v>41</v>
      </c>
      <c r="F21" s="6">
        <v>7</v>
      </c>
      <c r="G21" s="6">
        <f>COUNTIF(Citing_Studies!$B$2:$B$1000,A21)</f>
        <v>7</v>
      </c>
      <c r="H21" s="6">
        <f>COUNTIFS(Citing_Studies!$B$2:$B$1000,A21,Citing_Studies!$G$2:$G$1000,"Included*")</f>
        <v>2</v>
      </c>
      <c r="I21" s="6">
        <f>COUNTIFS(Citing_Studies!$B$2:$B$1000,A21,Citing_Studies!$G$2:$G$1000,"Excluded*")</f>
        <v>5</v>
      </c>
      <c r="J21" s="6">
        <f>COUNTIFS(Citing_Studies!$B$2:$B$1000,A21,Citing_Studies!$G$2:$G$1000,"Duplicate*")</f>
        <v>0</v>
      </c>
      <c r="K21" s="5" t="str">
        <f t="shared" si="0"/>
        <v>Complete</v>
      </c>
    </row>
    <row r="22" spans="1:11" ht="38" x14ac:dyDescent="0.2">
      <c r="A22" s="6" t="s">
        <v>97</v>
      </c>
      <c r="B22" s="5" t="s">
        <v>98</v>
      </c>
      <c r="C22" s="5" t="s">
        <v>99</v>
      </c>
      <c r="D22" s="6">
        <v>2025</v>
      </c>
      <c r="E22" s="5" t="s">
        <v>41</v>
      </c>
      <c r="F22" s="6">
        <v>18</v>
      </c>
      <c r="G22" s="6">
        <f>COUNTIF(Citing_Studies!$B$2:$B$1000,A22)</f>
        <v>18</v>
      </c>
      <c r="H22" s="6">
        <f>COUNTIFS(Citing_Studies!$B$2:$B$1000,A22,Citing_Studies!$G$2:$G$1000,"Included*")</f>
        <v>0</v>
      </c>
      <c r="I22" s="6">
        <f>COUNTIFS(Citing_Studies!$B$2:$B$1000,A22,Citing_Studies!$G$2:$G$1000,"Excluded*")</f>
        <v>14</v>
      </c>
      <c r="J22" s="6">
        <f>COUNTIFS(Citing_Studies!$B$2:$B$1000,A22,Citing_Studies!$G$2:$G$1000,"Duplicate*")</f>
        <v>4</v>
      </c>
      <c r="K22" s="5" t="str">
        <f t="shared" si="0"/>
        <v>Complete</v>
      </c>
    </row>
    <row r="23" spans="1:11" ht="38" x14ac:dyDescent="0.2">
      <c r="A23" s="6" t="s">
        <v>100</v>
      </c>
      <c r="B23" s="5" t="s">
        <v>101</v>
      </c>
      <c r="C23" s="5" t="s">
        <v>102</v>
      </c>
      <c r="D23" s="6">
        <v>2026</v>
      </c>
      <c r="E23" s="5" t="s">
        <v>41</v>
      </c>
      <c r="F23" s="6">
        <v>1</v>
      </c>
      <c r="G23" s="6">
        <f>COUNTIF(Citing_Studies!$B$2:$B$1000,A23)</f>
        <v>1</v>
      </c>
      <c r="H23" s="6">
        <f>COUNTIFS(Citing_Studies!$B$2:$B$1000,A23,Citing_Studies!$G$2:$G$1000,"Included*")</f>
        <v>0</v>
      </c>
      <c r="I23" s="6">
        <f>COUNTIFS(Citing_Studies!$B$2:$B$1000,A23,Citing_Studies!$G$2:$G$1000,"Excluded*")</f>
        <v>0</v>
      </c>
      <c r="J23" s="6">
        <f>COUNTIFS(Citing_Studies!$B$2:$B$1000,A23,Citing_Studies!$G$2:$G$1000,"Duplicate*")</f>
        <v>1</v>
      </c>
      <c r="K23" s="5" t="str">
        <f t="shared" si="0"/>
        <v>Complete</v>
      </c>
    </row>
    <row r="24" spans="1:11" ht="38" x14ac:dyDescent="0.2">
      <c r="A24" s="6" t="s">
        <v>103</v>
      </c>
      <c r="B24" s="5" t="s">
        <v>104</v>
      </c>
      <c r="C24" s="5" t="s">
        <v>105</v>
      </c>
      <c r="D24" s="6">
        <v>2025</v>
      </c>
      <c r="E24" s="5" t="s">
        <v>41</v>
      </c>
      <c r="F24" s="6">
        <v>3</v>
      </c>
      <c r="G24" s="6">
        <f>COUNTIF(Citing_Studies!$B$2:$B$1000,A24)</f>
        <v>3</v>
      </c>
      <c r="H24" s="6">
        <f>COUNTIFS(Citing_Studies!$B$2:$B$1000,A24,Citing_Studies!$G$2:$G$1000,"Included*")</f>
        <v>0</v>
      </c>
      <c r="I24" s="6">
        <f>COUNTIFS(Citing_Studies!$B$2:$B$1000,A24,Citing_Studies!$G$2:$G$1000,"Excluded*")</f>
        <v>3</v>
      </c>
      <c r="J24" s="6">
        <f>COUNTIFS(Citing_Studies!$B$2:$B$1000,A24,Citing_Studies!$G$2:$G$1000,"Duplicate*")</f>
        <v>0</v>
      </c>
      <c r="K24" s="5" t="str">
        <f t="shared" si="0"/>
        <v>Complete</v>
      </c>
    </row>
    <row r="25" spans="1:11" s="12" customFormat="1" ht="23" x14ac:dyDescent="0.25">
      <c r="A25" s="11" t="s">
        <v>106</v>
      </c>
      <c r="F25" s="13">
        <f>SUM(F2:F24)</f>
        <v>781</v>
      </c>
      <c r="G25" s="13">
        <f>SUM(G2:G24)</f>
        <v>781</v>
      </c>
      <c r="H25" s="13">
        <f>SUM(H2:H24)</f>
        <v>69</v>
      </c>
      <c r="I25" s="13">
        <f>SUM(I2:I24)</f>
        <v>477</v>
      </c>
      <c r="J25" s="13">
        <f>SUM(J2:J24)</f>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82"/>
  <sheetViews>
    <sheetView workbookViewId="0">
      <pane xSplit="2" ySplit="1" topLeftCell="C40" activePane="bottomRight" state="frozen"/>
      <selection pane="topRight"/>
      <selection pane="bottomLeft"/>
      <selection pane="bottomRight" activeCell="C2" sqref="C2"/>
    </sheetView>
  </sheetViews>
  <sheetFormatPr baseColWidth="10" defaultColWidth="8.6640625" defaultRowHeight="15" x14ac:dyDescent="0.2"/>
  <cols>
    <col min="1" max="1" width="8.33203125" customWidth="1"/>
    <col min="2" max="2" width="5.83203125" customWidth="1"/>
    <col min="3" max="3" width="28" customWidth="1"/>
    <col min="4" max="4" width="45" customWidth="1"/>
    <col min="5" max="5" width="8.33203125" customWidth="1"/>
    <col min="6" max="6" width="30" customWidth="1"/>
    <col min="7" max="7" width="17" customWidth="1"/>
    <col min="8" max="8" width="18.83203125" customWidth="1"/>
    <col min="9" max="9" width="86.5" customWidth="1"/>
    <col min="10" max="10" width="22.1640625" customWidth="1"/>
  </cols>
  <sheetData>
    <row r="1" spans="1:10" s="20" customFormat="1" ht="42" x14ac:dyDescent="0.25">
      <c r="A1" s="9" t="s">
        <v>107</v>
      </c>
      <c r="B1" s="9" t="s">
        <v>27</v>
      </c>
      <c r="C1" s="9" t="s">
        <v>28</v>
      </c>
      <c r="D1" s="9" t="s">
        <v>29</v>
      </c>
      <c r="E1" s="9" t="s">
        <v>30</v>
      </c>
      <c r="F1" s="9" t="s">
        <v>108</v>
      </c>
      <c r="G1" s="9" t="s">
        <v>109</v>
      </c>
      <c r="H1" s="9" t="s">
        <v>110</v>
      </c>
      <c r="I1" s="9" t="s">
        <v>111</v>
      </c>
      <c r="J1" s="9" t="s">
        <v>112</v>
      </c>
    </row>
    <row r="2" spans="1:10" ht="57" x14ac:dyDescent="0.2">
      <c r="A2" s="14" t="s">
        <v>113</v>
      </c>
      <c r="B2" s="15" t="s">
        <v>38</v>
      </c>
      <c r="C2" s="14" t="s">
        <v>114</v>
      </c>
      <c r="D2" s="14" t="s">
        <v>115</v>
      </c>
      <c r="E2" s="15">
        <v>2025</v>
      </c>
      <c r="F2" s="14" t="s">
        <v>116</v>
      </c>
      <c r="G2" s="14" t="s">
        <v>7197</v>
      </c>
      <c r="H2" s="14"/>
      <c r="I2" s="14" t="s">
        <v>7198</v>
      </c>
      <c r="J2" s="14" t="s">
        <v>117</v>
      </c>
    </row>
    <row r="3" spans="1:10" ht="57" x14ac:dyDescent="0.2">
      <c r="A3" s="16" t="s">
        <v>118</v>
      </c>
      <c r="B3" s="17" t="s">
        <v>38</v>
      </c>
      <c r="C3" s="16" t="s">
        <v>119</v>
      </c>
      <c r="D3" s="16" t="s">
        <v>120</v>
      </c>
      <c r="E3" s="17">
        <v>2025</v>
      </c>
      <c r="F3" s="16" t="s">
        <v>121</v>
      </c>
      <c r="G3" s="16" t="s">
        <v>35</v>
      </c>
      <c r="H3" s="16" t="s">
        <v>122</v>
      </c>
      <c r="I3" s="16" t="s">
        <v>7199</v>
      </c>
      <c r="J3" s="16" t="s">
        <v>123</v>
      </c>
    </row>
    <row r="4" spans="1:10" ht="76" x14ac:dyDescent="0.2">
      <c r="A4" s="14" t="s">
        <v>124</v>
      </c>
      <c r="B4" s="15" t="s">
        <v>38</v>
      </c>
      <c r="C4" s="14" t="s">
        <v>125</v>
      </c>
      <c r="D4" s="14" t="s">
        <v>126</v>
      </c>
      <c r="E4" s="15">
        <v>2026</v>
      </c>
      <c r="F4" s="14" t="s">
        <v>127</v>
      </c>
      <c r="G4" s="14" t="s">
        <v>7200</v>
      </c>
      <c r="H4" s="14"/>
      <c r="I4" s="14" t="s">
        <v>7201</v>
      </c>
      <c r="J4" s="14" t="s">
        <v>128</v>
      </c>
    </row>
    <row r="5" spans="1:10" ht="57" x14ac:dyDescent="0.2">
      <c r="A5" s="16" t="s">
        <v>129</v>
      </c>
      <c r="B5" s="17" t="s">
        <v>38</v>
      </c>
      <c r="C5" s="16" t="s">
        <v>130</v>
      </c>
      <c r="D5" s="16" t="s">
        <v>131</v>
      </c>
      <c r="E5" s="17">
        <v>2026</v>
      </c>
      <c r="F5" s="16" t="s">
        <v>132</v>
      </c>
      <c r="G5" s="16" t="s">
        <v>35</v>
      </c>
      <c r="H5" s="16" t="s">
        <v>133</v>
      </c>
      <c r="I5" s="16" t="s">
        <v>7202</v>
      </c>
      <c r="J5" s="16" t="s">
        <v>123</v>
      </c>
    </row>
    <row r="6" spans="1:10" ht="57" x14ac:dyDescent="0.2">
      <c r="A6" s="16" t="s">
        <v>134</v>
      </c>
      <c r="B6" s="17" t="s">
        <v>38</v>
      </c>
      <c r="C6" s="16" t="s">
        <v>135</v>
      </c>
      <c r="D6" s="16" t="s">
        <v>136</v>
      </c>
      <c r="E6" s="17">
        <v>2025</v>
      </c>
      <c r="F6" s="16" t="s">
        <v>137</v>
      </c>
      <c r="G6" s="16" t="s">
        <v>35</v>
      </c>
      <c r="H6" s="16" t="s">
        <v>138</v>
      </c>
      <c r="I6" s="16" t="s">
        <v>7203</v>
      </c>
      <c r="J6" s="16" t="s">
        <v>57</v>
      </c>
    </row>
    <row r="7" spans="1:10" ht="57" x14ac:dyDescent="0.2">
      <c r="A7" s="14" t="s">
        <v>139</v>
      </c>
      <c r="B7" s="15" t="s">
        <v>38</v>
      </c>
      <c r="C7" s="14" t="s">
        <v>140</v>
      </c>
      <c r="D7" s="14" t="s">
        <v>141</v>
      </c>
      <c r="E7" s="15">
        <v>2026</v>
      </c>
      <c r="F7" s="14" t="s">
        <v>142</v>
      </c>
      <c r="G7" s="14" t="s">
        <v>7204</v>
      </c>
      <c r="H7" s="14"/>
      <c r="I7" s="14" t="s">
        <v>7205</v>
      </c>
      <c r="J7" s="14" t="s">
        <v>143</v>
      </c>
    </row>
    <row r="8" spans="1:10" ht="57" x14ac:dyDescent="0.2">
      <c r="A8" s="16" t="s">
        <v>144</v>
      </c>
      <c r="B8" s="17" t="s">
        <v>38</v>
      </c>
      <c r="C8" s="16" t="s">
        <v>145</v>
      </c>
      <c r="D8" s="16" t="s">
        <v>146</v>
      </c>
      <c r="E8" s="17">
        <v>2025</v>
      </c>
      <c r="F8" s="16" t="s">
        <v>147</v>
      </c>
      <c r="G8" s="16" t="s">
        <v>35</v>
      </c>
      <c r="H8" s="16" t="s">
        <v>148</v>
      </c>
      <c r="I8" s="16" t="s">
        <v>7206</v>
      </c>
      <c r="J8" s="16" t="s">
        <v>68</v>
      </c>
    </row>
    <row r="9" spans="1:10" ht="76" x14ac:dyDescent="0.2">
      <c r="A9" s="14" t="s">
        <v>149</v>
      </c>
      <c r="B9" s="15" t="s">
        <v>38</v>
      </c>
      <c r="C9" s="14" t="s">
        <v>150</v>
      </c>
      <c r="D9" s="14" t="s">
        <v>151</v>
      </c>
      <c r="E9" s="15">
        <v>2026</v>
      </c>
      <c r="F9" s="14" t="s">
        <v>152</v>
      </c>
      <c r="G9" s="14" t="s">
        <v>7207</v>
      </c>
      <c r="H9" s="14"/>
      <c r="I9" s="14" t="s">
        <v>7208</v>
      </c>
      <c r="J9" s="14" t="s">
        <v>153</v>
      </c>
    </row>
    <row r="10" spans="1:10" ht="57" x14ac:dyDescent="0.2">
      <c r="A10" s="16" t="s">
        <v>154</v>
      </c>
      <c r="B10" s="17" t="s">
        <v>38</v>
      </c>
      <c r="C10" s="16" t="s">
        <v>155</v>
      </c>
      <c r="D10" s="16" t="s">
        <v>156</v>
      </c>
      <c r="E10" s="17">
        <v>2025</v>
      </c>
      <c r="F10" s="16" t="s">
        <v>157</v>
      </c>
      <c r="G10" s="16" t="s">
        <v>35</v>
      </c>
      <c r="H10" s="16" t="s">
        <v>133</v>
      </c>
      <c r="I10" s="16" t="s">
        <v>7209</v>
      </c>
      <c r="J10" s="16" t="s">
        <v>123</v>
      </c>
    </row>
    <row r="11" spans="1:10" ht="57" x14ac:dyDescent="0.2">
      <c r="A11" s="14" t="s">
        <v>158</v>
      </c>
      <c r="B11" s="15" t="s">
        <v>38</v>
      </c>
      <c r="C11" s="14" t="s">
        <v>159</v>
      </c>
      <c r="D11" s="14" t="s">
        <v>160</v>
      </c>
      <c r="E11" s="15">
        <v>2026</v>
      </c>
      <c r="F11" s="14" t="s">
        <v>161</v>
      </c>
      <c r="G11" s="14" t="s">
        <v>7210</v>
      </c>
      <c r="H11" s="14"/>
      <c r="I11" s="14" t="s">
        <v>7211</v>
      </c>
      <c r="J11" s="14" t="s">
        <v>162</v>
      </c>
    </row>
    <row r="12" spans="1:10" ht="57" x14ac:dyDescent="0.2">
      <c r="A12" s="18" t="s">
        <v>163</v>
      </c>
      <c r="B12" s="19" t="s">
        <v>38</v>
      </c>
      <c r="C12" s="18" t="s">
        <v>114</v>
      </c>
      <c r="D12" s="18" t="s">
        <v>115</v>
      </c>
      <c r="E12" s="19">
        <v>2025</v>
      </c>
      <c r="F12" s="18" t="s">
        <v>164</v>
      </c>
      <c r="G12" s="18" t="s">
        <v>7212</v>
      </c>
      <c r="H12" s="18" t="s">
        <v>165</v>
      </c>
      <c r="I12" s="18" t="s">
        <v>7213</v>
      </c>
      <c r="J12" s="18" t="s">
        <v>166</v>
      </c>
    </row>
    <row r="13" spans="1:10" ht="57" x14ac:dyDescent="0.2">
      <c r="A13" s="16" t="s">
        <v>167</v>
      </c>
      <c r="B13" s="17" t="s">
        <v>38</v>
      </c>
      <c r="C13" s="16" t="s">
        <v>168</v>
      </c>
      <c r="D13" s="16" t="s">
        <v>169</v>
      </c>
      <c r="E13" s="17">
        <v>2026</v>
      </c>
      <c r="F13" s="16" t="s">
        <v>170</v>
      </c>
      <c r="G13" s="16" t="s">
        <v>35</v>
      </c>
      <c r="H13" s="16" t="s">
        <v>148</v>
      </c>
      <c r="I13" s="16" t="s">
        <v>7214</v>
      </c>
      <c r="J13" s="16" t="s">
        <v>123</v>
      </c>
    </row>
    <row r="14" spans="1:10" ht="57" x14ac:dyDescent="0.2">
      <c r="A14" s="14" t="s">
        <v>171</v>
      </c>
      <c r="B14" s="15" t="s">
        <v>38</v>
      </c>
      <c r="C14" s="14" t="s">
        <v>172</v>
      </c>
      <c r="D14" s="14" t="s">
        <v>173</v>
      </c>
      <c r="E14" s="15">
        <v>2025</v>
      </c>
      <c r="F14" s="14" t="s">
        <v>174</v>
      </c>
      <c r="G14" s="14" t="s">
        <v>7215</v>
      </c>
      <c r="H14" s="14"/>
      <c r="I14" s="14" t="s">
        <v>7216</v>
      </c>
      <c r="J14" s="14" t="s">
        <v>175</v>
      </c>
    </row>
    <row r="15" spans="1:10" ht="57" x14ac:dyDescent="0.2">
      <c r="A15" s="14" t="s">
        <v>176</v>
      </c>
      <c r="B15" s="15" t="s">
        <v>38</v>
      </c>
      <c r="C15" s="14" t="s">
        <v>177</v>
      </c>
      <c r="D15" s="14" t="s">
        <v>178</v>
      </c>
      <c r="E15" s="15">
        <v>2025</v>
      </c>
      <c r="F15" s="14" t="s">
        <v>179</v>
      </c>
      <c r="G15" s="14" t="s">
        <v>7217</v>
      </c>
      <c r="H15" s="14"/>
      <c r="I15" s="14" t="s">
        <v>7218</v>
      </c>
      <c r="J15" s="14" t="s">
        <v>180</v>
      </c>
    </row>
    <row r="16" spans="1:10" ht="57" x14ac:dyDescent="0.2">
      <c r="A16" s="16" t="s">
        <v>181</v>
      </c>
      <c r="B16" s="17" t="s">
        <v>38</v>
      </c>
      <c r="C16" s="16" t="s">
        <v>182</v>
      </c>
      <c r="D16" s="16" t="s">
        <v>183</v>
      </c>
      <c r="E16" s="17">
        <v>2025</v>
      </c>
      <c r="F16" s="16" t="s">
        <v>184</v>
      </c>
      <c r="G16" s="16" t="s">
        <v>35</v>
      </c>
      <c r="H16" s="16" t="s">
        <v>185</v>
      </c>
      <c r="I16" s="16" t="s">
        <v>7219</v>
      </c>
      <c r="J16" s="16" t="s">
        <v>186</v>
      </c>
    </row>
    <row r="17" spans="1:10" ht="57" x14ac:dyDescent="0.2">
      <c r="A17" s="18" t="s">
        <v>187</v>
      </c>
      <c r="B17" s="19" t="s">
        <v>38</v>
      </c>
      <c r="C17" s="18" t="s">
        <v>145</v>
      </c>
      <c r="D17" s="18" t="s">
        <v>146</v>
      </c>
      <c r="E17" s="19">
        <v>2025</v>
      </c>
      <c r="F17" s="18" t="s">
        <v>188</v>
      </c>
      <c r="G17" s="18" t="s">
        <v>7220</v>
      </c>
      <c r="H17" s="18" t="s">
        <v>165</v>
      </c>
      <c r="I17" s="18" t="s">
        <v>7221</v>
      </c>
      <c r="J17" s="18" t="s">
        <v>189</v>
      </c>
    </row>
    <row r="18" spans="1:10" ht="95" x14ac:dyDescent="0.2">
      <c r="A18" s="16" t="s">
        <v>190</v>
      </c>
      <c r="B18" s="17" t="s">
        <v>38</v>
      </c>
      <c r="C18" s="16" t="s">
        <v>191</v>
      </c>
      <c r="D18" s="16" t="s">
        <v>192</v>
      </c>
      <c r="E18" s="17">
        <v>2025</v>
      </c>
      <c r="F18" s="16" t="s">
        <v>193</v>
      </c>
      <c r="G18" s="16" t="s">
        <v>35</v>
      </c>
      <c r="H18" s="16" t="s">
        <v>185</v>
      </c>
      <c r="I18" s="16" t="s">
        <v>7222</v>
      </c>
      <c r="J18" s="16" t="s">
        <v>194</v>
      </c>
    </row>
    <row r="19" spans="1:10" ht="76" x14ac:dyDescent="0.2">
      <c r="A19" s="16" t="s">
        <v>195</v>
      </c>
      <c r="B19" s="17" t="s">
        <v>38</v>
      </c>
      <c r="C19" s="16" t="s">
        <v>196</v>
      </c>
      <c r="D19" s="16" t="s">
        <v>197</v>
      </c>
      <c r="E19" s="17">
        <v>2026</v>
      </c>
      <c r="F19" s="16" t="s">
        <v>198</v>
      </c>
      <c r="G19" s="16" t="s">
        <v>35</v>
      </c>
      <c r="H19" s="16" t="s">
        <v>148</v>
      </c>
      <c r="I19" s="16" t="s">
        <v>7223</v>
      </c>
      <c r="J19" s="16" t="s">
        <v>123</v>
      </c>
    </row>
    <row r="20" spans="1:10" ht="95" x14ac:dyDescent="0.2">
      <c r="A20" s="16" t="s">
        <v>199</v>
      </c>
      <c r="B20" s="17" t="s">
        <v>38</v>
      </c>
      <c r="C20" s="16" t="s">
        <v>200</v>
      </c>
      <c r="D20" s="16" t="s">
        <v>201</v>
      </c>
      <c r="E20" s="17">
        <v>2024</v>
      </c>
      <c r="F20" s="16" t="s">
        <v>202</v>
      </c>
      <c r="G20" s="16" t="s">
        <v>35</v>
      </c>
      <c r="H20" s="16" t="s">
        <v>203</v>
      </c>
      <c r="I20" s="16" t="s">
        <v>7224</v>
      </c>
      <c r="J20" s="16" t="s">
        <v>204</v>
      </c>
    </row>
    <row r="21" spans="1:10" ht="57" x14ac:dyDescent="0.2">
      <c r="A21" s="16" t="s">
        <v>205</v>
      </c>
      <c r="B21" s="17" t="s">
        <v>38</v>
      </c>
      <c r="C21" s="16" t="s">
        <v>206</v>
      </c>
      <c r="D21" s="16" t="s">
        <v>207</v>
      </c>
      <c r="E21" s="17">
        <v>2026</v>
      </c>
      <c r="F21" s="16" t="s">
        <v>208</v>
      </c>
      <c r="G21" s="16" t="s">
        <v>35</v>
      </c>
      <c r="H21" s="16" t="s">
        <v>133</v>
      </c>
      <c r="I21" s="16" t="s">
        <v>7225</v>
      </c>
      <c r="J21" s="16" t="s">
        <v>123</v>
      </c>
    </row>
    <row r="22" spans="1:10" ht="57" x14ac:dyDescent="0.2">
      <c r="A22" s="16" t="s">
        <v>209</v>
      </c>
      <c r="B22" s="17" t="s">
        <v>38</v>
      </c>
      <c r="C22" s="16" t="s">
        <v>210</v>
      </c>
      <c r="D22" s="16" t="s">
        <v>211</v>
      </c>
      <c r="E22" s="17">
        <v>2026</v>
      </c>
      <c r="F22" s="16" t="s">
        <v>212</v>
      </c>
      <c r="G22" s="16" t="s">
        <v>35</v>
      </c>
      <c r="H22" s="16" t="s">
        <v>185</v>
      </c>
      <c r="I22" s="16" t="s">
        <v>7226</v>
      </c>
      <c r="J22" s="16" t="s">
        <v>123</v>
      </c>
    </row>
    <row r="23" spans="1:10" ht="57" x14ac:dyDescent="0.2">
      <c r="A23" s="18" t="s">
        <v>213</v>
      </c>
      <c r="B23" s="19" t="s">
        <v>38</v>
      </c>
      <c r="C23" s="18" t="s">
        <v>43</v>
      </c>
      <c r="D23" s="18" t="s">
        <v>44</v>
      </c>
      <c r="E23" s="19">
        <v>2025</v>
      </c>
      <c r="F23" s="18" t="s">
        <v>214</v>
      </c>
      <c r="G23" s="18" t="s">
        <v>7227</v>
      </c>
      <c r="H23" s="18" t="s">
        <v>215</v>
      </c>
      <c r="I23" s="18" t="s">
        <v>7228</v>
      </c>
      <c r="J23" s="18" t="s">
        <v>186</v>
      </c>
    </row>
    <row r="24" spans="1:10" ht="152" x14ac:dyDescent="0.2">
      <c r="A24" s="16" t="s">
        <v>216</v>
      </c>
      <c r="B24" s="17" t="s">
        <v>42</v>
      </c>
      <c r="C24" s="16" t="s">
        <v>217</v>
      </c>
      <c r="D24" s="16" t="s">
        <v>218</v>
      </c>
      <c r="E24" s="17">
        <v>2026</v>
      </c>
      <c r="F24" s="16" t="s">
        <v>219</v>
      </c>
      <c r="G24" s="16" t="s">
        <v>35</v>
      </c>
      <c r="H24" s="16" t="s">
        <v>133</v>
      </c>
      <c r="I24" s="16" t="s">
        <v>7229</v>
      </c>
      <c r="J24" s="16" t="s">
        <v>63</v>
      </c>
    </row>
    <row r="25" spans="1:10" ht="95" x14ac:dyDescent="0.2">
      <c r="A25" s="18" t="s">
        <v>220</v>
      </c>
      <c r="B25" s="19" t="s">
        <v>42</v>
      </c>
      <c r="C25" s="18" t="s">
        <v>217</v>
      </c>
      <c r="D25" s="18" t="s">
        <v>221</v>
      </c>
      <c r="E25" s="19">
        <v>2026</v>
      </c>
      <c r="F25" s="18" t="s">
        <v>222</v>
      </c>
      <c r="G25" s="18" t="s">
        <v>7230</v>
      </c>
      <c r="H25" s="18" t="s">
        <v>165</v>
      </c>
      <c r="I25" s="18" t="s">
        <v>7231</v>
      </c>
      <c r="J25" s="18" t="s">
        <v>223</v>
      </c>
    </row>
    <row r="26" spans="1:10" ht="76" x14ac:dyDescent="0.2">
      <c r="A26" s="18" t="s">
        <v>224</v>
      </c>
      <c r="B26" s="19" t="s">
        <v>45</v>
      </c>
      <c r="C26" s="18" t="s">
        <v>125</v>
      </c>
      <c r="D26" s="18" t="s">
        <v>126</v>
      </c>
      <c r="E26" s="19">
        <v>2026</v>
      </c>
      <c r="F26" s="18" t="s">
        <v>127</v>
      </c>
      <c r="G26" s="18" t="s">
        <v>7232</v>
      </c>
      <c r="H26" s="18" t="s">
        <v>165</v>
      </c>
      <c r="I26" s="18" t="s">
        <v>7233</v>
      </c>
      <c r="J26" s="18" t="s">
        <v>225</v>
      </c>
    </row>
    <row r="27" spans="1:10" ht="114" x14ac:dyDescent="0.2">
      <c r="A27" s="16" t="s">
        <v>226</v>
      </c>
      <c r="B27" s="17" t="s">
        <v>45</v>
      </c>
      <c r="C27" s="16" t="s">
        <v>227</v>
      </c>
      <c r="D27" s="16" t="s">
        <v>228</v>
      </c>
      <c r="E27" s="17">
        <v>2026</v>
      </c>
      <c r="F27" s="16" t="s">
        <v>229</v>
      </c>
      <c r="G27" s="16" t="s">
        <v>35</v>
      </c>
      <c r="H27" s="16" t="s">
        <v>148</v>
      </c>
      <c r="I27" s="16" t="s">
        <v>7234</v>
      </c>
      <c r="J27" s="16" t="s">
        <v>123</v>
      </c>
    </row>
    <row r="28" spans="1:10" ht="76" x14ac:dyDescent="0.2">
      <c r="A28" s="14" t="s">
        <v>230</v>
      </c>
      <c r="B28" s="15" t="s">
        <v>45</v>
      </c>
      <c r="C28" s="14" t="s">
        <v>231</v>
      </c>
      <c r="D28" s="14" t="s">
        <v>232</v>
      </c>
      <c r="E28" s="15">
        <v>2026</v>
      </c>
      <c r="F28" s="14" t="s">
        <v>233</v>
      </c>
      <c r="G28" s="14" t="s">
        <v>7235</v>
      </c>
      <c r="H28" s="14"/>
      <c r="I28" s="14" t="s">
        <v>7236</v>
      </c>
      <c r="J28" s="14" t="s">
        <v>234</v>
      </c>
    </row>
    <row r="29" spans="1:10" ht="133" x14ac:dyDescent="0.2">
      <c r="A29" s="14" t="s">
        <v>235</v>
      </c>
      <c r="B29" s="15" t="s">
        <v>45</v>
      </c>
      <c r="C29" s="14" t="s">
        <v>236</v>
      </c>
      <c r="D29" s="14" t="s">
        <v>237</v>
      </c>
      <c r="E29" s="15">
        <v>2026</v>
      </c>
      <c r="F29" s="14" t="s">
        <v>238</v>
      </c>
      <c r="G29" s="14" t="s">
        <v>7237</v>
      </c>
      <c r="H29" s="14"/>
      <c r="I29" s="14" t="s">
        <v>7238</v>
      </c>
      <c r="J29" s="14" t="s">
        <v>239</v>
      </c>
    </row>
    <row r="30" spans="1:10" ht="114" x14ac:dyDescent="0.2">
      <c r="A30" s="14" t="s">
        <v>240</v>
      </c>
      <c r="B30" s="15" t="s">
        <v>45</v>
      </c>
      <c r="C30" s="14" t="s">
        <v>49</v>
      </c>
      <c r="D30" s="14" t="s">
        <v>241</v>
      </c>
      <c r="E30" s="15">
        <v>2026</v>
      </c>
      <c r="F30" s="14" t="s">
        <v>242</v>
      </c>
      <c r="G30" s="14" t="s">
        <v>7239</v>
      </c>
      <c r="H30" s="14"/>
      <c r="I30" s="14" t="s">
        <v>7240</v>
      </c>
      <c r="J30" s="14" t="s">
        <v>48</v>
      </c>
    </row>
    <row r="31" spans="1:10" ht="171" x14ac:dyDescent="0.2">
      <c r="A31" s="14" t="s">
        <v>243</v>
      </c>
      <c r="B31" s="15" t="s">
        <v>45</v>
      </c>
      <c r="C31" s="14" t="s">
        <v>244</v>
      </c>
      <c r="D31" s="14" t="s">
        <v>245</v>
      </c>
      <c r="E31" s="15">
        <v>2026</v>
      </c>
      <c r="F31" s="14" t="s">
        <v>246</v>
      </c>
      <c r="G31" s="14" t="s">
        <v>7241</v>
      </c>
      <c r="H31" s="14"/>
      <c r="I31" s="14" t="s">
        <v>7242</v>
      </c>
      <c r="J31" s="14" t="s">
        <v>247</v>
      </c>
    </row>
    <row r="32" spans="1:10" ht="133" x14ac:dyDescent="0.2">
      <c r="A32" s="14" t="s">
        <v>248</v>
      </c>
      <c r="B32" s="15" t="s">
        <v>45</v>
      </c>
      <c r="C32" s="14" t="s">
        <v>249</v>
      </c>
      <c r="D32" s="14" t="s">
        <v>250</v>
      </c>
      <c r="E32" s="15">
        <v>2026</v>
      </c>
      <c r="F32" s="14" t="s">
        <v>251</v>
      </c>
      <c r="G32" s="14" t="s">
        <v>7243</v>
      </c>
      <c r="H32" s="14"/>
      <c r="I32" s="14" t="s">
        <v>7244</v>
      </c>
      <c r="J32" s="14" t="s">
        <v>252</v>
      </c>
    </row>
    <row r="33" spans="1:10" ht="209" x14ac:dyDescent="0.2">
      <c r="A33" s="16" t="s">
        <v>253</v>
      </c>
      <c r="B33" s="17" t="s">
        <v>45</v>
      </c>
      <c r="C33" s="16" t="s">
        <v>254</v>
      </c>
      <c r="D33" s="16" t="s">
        <v>255</v>
      </c>
      <c r="E33" s="17">
        <v>2024</v>
      </c>
      <c r="F33" s="16" t="s">
        <v>256</v>
      </c>
      <c r="G33" s="16" t="s">
        <v>35</v>
      </c>
      <c r="H33" s="16" t="s">
        <v>133</v>
      </c>
      <c r="I33" s="16" t="s">
        <v>7245</v>
      </c>
      <c r="J33" s="16" t="s">
        <v>257</v>
      </c>
    </row>
    <row r="34" spans="1:10" ht="133" x14ac:dyDescent="0.2">
      <c r="A34" s="16" t="s">
        <v>258</v>
      </c>
      <c r="B34" s="17" t="s">
        <v>45</v>
      </c>
      <c r="C34" s="16" t="s">
        <v>259</v>
      </c>
      <c r="D34" s="16" t="s">
        <v>260</v>
      </c>
      <c r="E34" s="17">
        <v>2026</v>
      </c>
      <c r="F34" s="16" t="s">
        <v>261</v>
      </c>
      <c r="G34" s="16" t="s">
        <v>35</v>
      </c>
      <c r="H34" s="16" t="s">
        <v>185</v>
      </c>
      <c r="I34" s="16" t="s">
        <v>7246</v>
      </c>
      <c r="J34" s="16" t="s">
        <v>65</v>
      </c>
    </row>
    <row r="35" spans="1:10" ht="76" x14ac:dyDescent="0.2">
      <c r="A35" s="18" t="s">
        <v>262</v>
      </c>
      <c r="B35" s="19" t="s">
        <v>45</v>
      </c>
      <c r="C35" s="18" t="s">
        <v>191</v>
      </c>
      <c r="D35" s="18" t="s">
        <v>192</v>
      </c>
      <c r="E35" s="19">
        <v>2025</v>
      </c>
      <c r="F35" s="18" t="s">
        <v>193</v>
      </c>
      <c r="G35" s="18" t="s">
        <v>7247</v>
      </c>
      <c r="H35" s="18" t="s">
        <v>165</v>
      </c>
      <c r="I35" s="18" t="s">
        <v>7248</v>
      </c>
      <c r="J35" s="18" t="s">
        <v>263</v>
      </c>
    </row>
    <row r="36" spans="1:10" ht="57" x14ac:dyDescent="0.2">
      <c r="A36" s="18" t="s">
        <v>264</v>
      </c>
      <c r="B36" s="19" t="s">
        <v>45</v>
      </c>
      <c r="C36" s="18" t="s">
        <v>236</v>
      </c>
      <c r="D36" s="18" t="s">
        <v>237</v>
      </c>
      <c r="E36" s="19">
        <v>2026</v>
      </c>
      <c r="F36" s="18" t="s">
        <v>265</v>
      </c>
      <c r="G36" s="18" t="s">
        <v>7249</v>
      </c>
      <c r="H36" s="18" t="s">
        <v>165</v>
      </c>
      <c r="I36" s="18" t="s">
        <v>7250</v>
      </c>
      <c r="J36" s="18" t="s">
        <v>266</v>
      </c>
    </row>
    <row r="37" spans="1:10" ht="247" x14ac:dyDescent="0.2">
      <c r="A37" s="16" t="s">
        <v>267</v>
      </c>
      <c r="B37" s="17" t="s">
        <v>45</v>
      </c>
      <c r="C37" s="16" t="s">
        <v>268</v>
      </c>
      <c r="D37" s="16" t="s">
        <v>269</v>
      </c>
      <c r="E37" s="17">
        <v>2026</v>
      </c>
      <c r="F37" s="16" t="s">
        <v>270</v>
      </c>
      <c r="G37" s="16" t="s">
        <v>35</v>
      </c>
      <c r="H37" s="16" t="s">
        <v>271</v>
      </c>
      <c r="I37" s="16" t="s">
        <v>7251</v>
      </c>
      <c r="J37" s="16" t="s">
        <v>272</v>
      </c>
    </row>
    <row r="38" spans="1:10" ht="95" x14ac:dyDescent="0.2">
      <c r="A38" s="16" t="s">
        <v>273</v>
      </c>
      <c r="B38" s="17" t="s">
        <v>45</v>
      </c>
      <c r="C38" s="16" t="s">
        <v>274</v>
      </c>
      <c r="D38" s="16" t="s">
        <v>275</v>
      </c>
      <c r="E38" s="17">
        <v>2026</v>
      </c>
      <c r="F38" s="16" t="s">
        <v>276</v>
      </c>
      <c r="G38" s="16" t="s">
        <v>35</v>
      </c>
      <c r="H38" s="16" t="s">
        <v>277</v>
      </c>
      <c r="I38" s="16" t="s">
        <v>7252</v>
      </c>
      <c r="J38" s="16" t="s">
        <v>186</v>
      </c>
    </row>
    <row r="39" spans="1:10" ht="133" x14ac:dyDescent="0.2">
      <c r="A39" s="16" t="s">
        <v>278</v>
      </c>
      <c r="B39" s="17" t="s">
        <v>48</v>
      </c>
      <c r="C39" s="16" t="s">
        <v>279</v>
      </c>
      <c r="D39" s="16" t="s">
        <v>280</v>
      </c>
      <c r="E39" s="17">
        <v>2026</v>
      </c>
      <c r="F39" s="16" t="s">
        <v>281</v>
      </c>
      <c r="G39" s="16" t="s">
        <v>35</v>
      </c>
      <c r="H39" s="16" t="s">
        <v>148</v>
      </c>
      <c r="I39" s="16" t="s">
        <v>7253</v>
      </c>
      <c r="J39" s="16" t="s">
        <v>123</v>
      </c>
    </row>
    <row r="40" spans="1:10" ht="171" x14ac:dyDescent="0.2">
      <c r="A40" s="16" t="s">
        <v>282</v>
      </c>
      <c r="B40" s="17" t="s">
        <v>48</v>
      </c>
      <c r="C40" s="16" t="s">
        <v>283</v>
      </c>
      <c r="D40" s="16" t="s">
        <v>284</v>
      </c>
      <c r="E40" s="17">
        <v>2025</v>
      </c>
      <c r="F40" s="16" t="s">
        <v>285</v>
      </c>
      <c r="G40" s="16" t="s">
        <v>35</v>
      </c>
      <c r="H40" s="16" t="s">
        <v>185</v>
      </c>
      <c r="I40" s="16" t="s">
        <v>7254</v>
      </c>
      <c r="J40" s="16" t="s">
        <v>123</v>
      </c>
    </row>
    <row r="41" spans="1:10" ht="95" x14ac:dyDescent="0.2">
      <c r="A41" s="18" t="s">
        <v>286</v>
      </c>
      <c r="B41" s="19" t="s">
        <v>48</v>
      </c>
      <c r="C41" s="18" t="s">
        <v>125</v>
      </c>
      <c r="D41" s="18" t="s">
        <v>126</v>
      </c>
      <c r="E41" s="19">
        <v>2026</v>
      </c>
      <c r="F41" s="18" t="s">
        <v>127</v>
      </c>
      <c r="G41" s="18" t="s">
        <v>7232</v>
      </c>
      <c r="H41" s="18" t="s">
        <v>165</v>
      </c>
      <c r="I41" s="18" t="s">
        <v>7255</v>
      </c>
      <c r="J41" s="18" t="s">
        <v>225</v>
      </c>
    </row>
    <row r="42" spans="1:10" ht="209" x14ac:dyDescent="0.2">
      <c r="A42" s="16" t="s">
        <v>287</v>
      </c>
      <c r="B42" s="17" t="s">
        <v>48</v>
      </c>
      <c r="C42" s="16" t="s">
        <v>288</v>
      </c>
      <c r="D42" s="16" t="s">
        <v>289</v>
      </c>
      <c r="E42" s="17">
        <v>2025</v>
      </c>
      <c r="F42" s="16" t="s">
        <v>290</v>
      </c>
      <c r="G42" s="16" t="s">
        <v>35</v>
      </c>
      <c r="H42" s="16" t="s">
        <v>148</v>
      </c>
      <c r="I42" s="16" t="s">
        <v>7256</v>
      </c>
      <c r="J42" s="16" t="s">
        <v>123</v>
      </c>
    </row>
    <row r="43" spans="1:10" ht="209" x14ac:dyDescent="0.2">
      <c r="A43" s="16" t="s">
        <v>291</v>
      </c>
      <c r="B43" s="17" t="s">
        <v>48</v>
      </c>
      <c r="C43" s="16" t="s">
        <v>292</v>
      </c>
      <c r="D43" s="16" t="s">
        <v>293</v>
      </c>
      <c r="E43" s="17">
        <v>2026</v>
      </c>
      <c r="F43" s="16" t="s">
        <v>294</v>
      </c>
      <c r="G43" s="16" t="s">
        <v>35</v>
      </c>
      <c r="H43" s="16" t="s">
        <v>138</v>
      </c>
      <c r="I43" s="16" t="s">
        <v>7257</v>
      </c>
      <c r="J43" s="16" t="s">
        <v>65</v>
      </c>
    </row>
    <row r="44" spans="1:10" ht="190" x14ac:dyDescent="0.2">
      <c r="A44" s="16" t="s">
        <v>295</v>
      </c>
      <c r="B44" s="17" t="s">
        <v>48</v>
      </c>
      <c r="C44" s="16" t="s">
        <v>296</v>
      </c>
      <c r="D44" s="16" t="s">
        <v>297</v>
      </c>
      <c r="E44" s="17">
        <v>2024</v>
      </c>
      <c r="F44" s="16" t="s">
        <v>298</v>
      </c>
      <c r="G44" s="16" t="s">
        <v>35</v>
      </c>
      <c r="H44" s="16" t="s">
        <v>148</v>
      </c>
      <c r="I44" s="16" t="s">
        <v>7258</v>
      </c>
      <c r="J44" s="16" t="s">
        <v>123</v>
      </c>
    </row>
    <row r="45" spans="1:10" ht="209" x14ac:dyDescent="0.2">
      <c r="A45" s="16" t="s">
        <v>299</v>
      </c>
      <c r="B45" s="17" t="s">
        <v>48</v>
      </c>
      <c r="C45" s="16" t="s">
        <v>300</v>
      </c>
      <c r="D45" s="16" t="s">
        <v>301</v>
      </c>
      <c r="E45" s="17">
        <v>2025</v>
      </c>
      <c r="F45" s="16" t="s">
        <v>302</v>
      </c>
      <c r="G45" s="16" t="s">
        <v>35</v>
      </c>
      <c r="H45" s="16" t="s">
        <v>148</v>
      </c>
      <c r="I45" s="16" t="s">
        <v>7259</v>
      </c>
      <c r="J45" s="16" t="s">
        <v>123</v>
      </c>
    </row>
    <row r="46" spans="1:10" ht="209" x14ac:dyDescent="0.2">
      <c r="A46" s="16" t="s">
        <v>303</v>
      </c>
      <c r="B46" s="17" t="s">
        <v>48</v>
      </c>
      <c r="C46" s="16" t="s">
        <v>304</v>
      </c>
      <c r="D46" s="16" t="s">
        <v>305</v>
      </c>
      <c r="E46" s="17">
        <v>2026</v>
      </c>
      <c r="F46" s="16" t="s">
        <v>306</v>
      </c>
      <c r="G46" s="16" t="s">
        <v>35</v>
      </c>
      <c r="H46" s="16" t="s">
        <v>148</v>
      </c>
      <c r="I46" s="16" t="s">
        <v>7260</v>
      </c>
      <c r="J46" s="16" t="s">
        <v>123</v>
      </c>
    </row>
    <row r="47" spans="1:10" ht="114" x14ac:dyDescent="0.2">
      <c r="A47" s="18" t="s">
        <v>307</v>
      </c>
      <c r="B47" s="19" t="s">
        <v>48</v>
      </c>
      <c r="C47" s="18" t="s">
        <v>114</v>
      </c>
      <c r="D47" s="18" t="s">
        <v>115</v>
      </c>
      <c r="E47" s="19">
        <v>2025</v>
      </c>
      <c r="F47" s="18" t="s">
        <v>116</v>
      </c>
      <c r="G47" s="18" t="s">
        <v>7212</v>
      </c>
      <c r="H47" s="18" t="s">
        <v>165</v>
      </c>
      <c r="I47" s="18" t="s">
        <v>7261</v>
      </c>
      <c r="J47" s="18" t="s">
        <v>166</v>
      </c>
    </row>
    <row r="48" spans="1:10" ht="76" x14ac:dyDescent="0.2">
      <c r="A48" s="14" t="s">
        <v>308</v>
      </c>
      <c r="B48" s="15" t="s">
        <v>48</v>
      </c>
      <c r="C48" s="14" t="s">
        <v>309</v>
      </c>
      <c r="D48" s="14" t="s">
        <v>310</v>
      </c>
      <c r="E48" s="15">
        <v>2025</v>
      </c>
      <c r="F48" s="14" t="s">
        <v>311</v>
      </c>
      <c r="G48" s="14" t="s">
        <v>35</v>
      </c>
      <c r="H48" s="14" t="s">
        <v>185</v>
      </c>
      <c r="I48" s="14" t="s">
        <v>7262</v>
      </c>
      <c r="J48" s="14" t="s">
        <v>312</v>
      </c>
    </row>
    <row r="49" spans="1:10" ht="266" x14ac:dyDescent="0.2">
      <c r="A49" s="16" t="s">
        <v>313</v>
      </c>
      <c r="B49" s="17" t="s">
        <v>48</v>
      </c>
      <c r="C49" s="16" t="s">
        <v>314</v>
      </c>
      <c r="D49" s="16" t="s">
        <v>315</v>
      </c>
      <c r="E49" s="17">
        <v>2025</v>
      </c>
      <c r="F49" s="16" t="s">
        <v>316</v>
      </c>
      <c r="G49" s="16" t="s">
        <v>35</v>
      </c>
      <c r="H49" s="16" t="s">
        <v>148</v>
      </c>
      <c r="I49" s="16" t="s">
        <v>7263</v>
      </c>
      <c r="J49" s="16" t="s">
        <v>123</v>
      </c>
    </row>
    <row r="50" spans="1:10" ht="114" x14ac:dyDescent="0.2">
      <c r="A50" s="18" t="s">
        <v>317</v>
      </c>
      <c r="B50" s="19" t="s">
        <v>48</v>
      </c>
      <c r="C50" s="18" t="s">
        <v>61</v>
      </c>
      <c r="D50" s="18" t="s">
        <v>62</v>
      </c>
      <c r="E50" s="19">
        <v>2024</v>
      </c>
      <c r="F50" s="18" t="s">
        <v>318</v>
      </c>
      <c r="G50" s="18" t="s">
        <v>7264</v>
      </c>
      <c r="H50" s="18" t="s">
        <v>215</v>
      </c>
      <c r="I50" s="18" t="s">
        <v>7265</v>
      </c>
      <c r="J50" s="18" t="s">
        <v>186</v>
      </c>
    </row>
    <row r="51" spans="1:10" ht="171" x14ac:dyDescent="0.2">
      <c r="A51" s="14" t="s">
        <v>319</v>
      </c>
      <c r="B51" s="15" t="s">
        <v>48</v>
      </c>
      <c r="C51" s="14" t="s">
        <v>320</v>
      </c>
      <c r="D51" s="14" t="s">
        <v>321</v>
      </c>
      <c r="E51" s="15">
        <v>2026</v>
      </c>
      <c r="F51" s="14" t="s">
        <v>322</v>
      </c>
      <c r="G51" s="14" t="s">
        <v>7266</v>
      </c>
      <c r="H51" s="14"/>
      <c r="I51" s="14" t="s">
        <v>7267</v>
      </c>
      <c r="J51" s="14" t="s">
        <v>323</v>
      </c>
    </row>
    <row r="52" spans="1:10" ht="152" x14ac:dyDescent="0.2">
      <c r="A52" s="18" t="s">
        <v>324</v>
      </c>
      <c r="B52" s="19" t="s">
        <v>48</v>
      </c>
      <c r="C52" s="18" t="s">
        <v>52</v>
      </c>
      <c r="D52" s="18" t="s">
        <v>53</v>
      </c>
      <c r="E52" s="19">
        <v>2025</v>
      </c>
      <c r="F52" s="18" t="s">
        <v>325</v>
      </c>
      <c r="G52" s="18" t="s">
        <v>7268</v>
      </c>
      <c r="H52" s="18" t="s">
        <v>215</v>
      </c>
      <c r="I52" s="18" t="s">
        <v>7269</v>
      </c>
      <c r="J52" s="18" t="s">
        <v>186</v>
      </c>
    </row>
    <row r="53" spans="1:10" ht="209" x14ac:dyDescent="0.2">
      <c r="A53" s="14" t="s">
        <v>326</v>
      </c>
      <c r="B53" s="15" t="s">
        <v>48</v>
      </c>
      <c r="C53" s="14" t="s">
        <v>327</v>
      </c>
      <c r="D53" s="14" t="s">
        <v>328</v>
      </c>
      <c r="E53" s="15">
        <v>2025</v>
      </c>
      <c r="F53" s="14" t="s">
        <v>329</v>
      </c>
      <c r="G53" s="14" t="s">
        <v>7270</v>
      </c>
      <c r="H53" s="14"/>
      <c r="I53" s="14" t="s">
        <v>7271</v>
      </c>
      <c r="J53" s="14" t="s">
        <v>123</v>
      </c>
    </row>
    <row r="54" spans="1:10" ht="171" x14ac:dyDescent="0.2">
      <c r="A54" s="14" t="s">
        <v>330</v>
      </c>
      <c r="B54" s="15" t="s">
        <v>48</v>
      </c>
      <c r="C54" s="14" t="s">
        <v>331</v>
      </c>
      <c r="D54" s="14" t="s">
        <v>332</v>
      </c>
      <c r="E54" s="15">
        <v>2025</v>
      </c>
      <c r="F54" s="14" t="s">
        <v>333</v>
      </c>
      <c r="G54" s="14" t="s">
        <v>7272</v>
      </c>
      <c r="H54" s="14"/>
      <c r="I54" s="14" t="s">
        <v>7273</v>
      </c>
      <c r="J54" s="14" t="s">
        <v>334</v>
      </c>
    </row>
    <row r="55" spans="1:10" ht="209" x14ac:dyDescent="0.2">
      <c r="A55" s="16" t="s">
        <v>335</v>
      </c>
      <c r="B55" s="17" t="s">
        <v>48</v>
      </c>
      <c r="C55" s="16" t="s">
        <v>336</v>
      </c>
      <c r="D55" s="16" t="s">
        <v>337</v>
      </c>
      <c r="E55" s="17">
        <v>2026</v>
      </c>
      <c r="F55" s="16" t="s">
        <v>338</v>
      </c>
      <c r="G55" s="16" t="s">
        <v>35</v>
      </c>
      <c r="H55" s="16" t="s">
        <v>148</v>
      </c>
      <c r="I55" s="16" t="s">
        <v>7274</v>
      </c>
      <c r="J55" s="16" t="s">
        <v>123</v>
      </c>
    </row>
    <row r="56" spans="1:10" ht="209" x14ac:dyDescent="0.2">
      <c r="A56" s="16" t="s">
        <v>339</v>
      </c>
      <c r="B56" s="17" t="s">
        <v>48</v>
      </c>
      <c r="C56" s="16" t="s">
        <v>340</v>
      </c>
      <c r="D56" s="16" t="s">
        <v>341</v>
      </c>
      <c r="E56" s="17">
        <v>2025</v>
      </c>
      <c r="F56" s="16" t="s">
        <v>342</v>
      </c>
      <c r="G56" s="16" t="s">
        <v>35</v>
      </c>
      <c r="H56" s="16" t="s">
        <v>138</v>
      </c>
      <c r="I56" s="16" t="s">
        <v>7275</v>
      </c>
      <c r="J56" s="16" t="s">
        <v>63</v>
      </c>
    </row>
    <row r="57" spans="1:10" ht="152" x14ac:dyDescent="0.2">
      <c r="A57" s="14" t="s">
        <v>343</v>
      </c>
      <c r="B57" s="15" t="s">
        <v>48</v>
      </c>
      <c r="C57" s="14" t="s">
        <v>344</v>
      </c>
      <c r="D57" s="14" t="s">
        <v>345</v>
      </c>
      <c r="E57" s="15">
        <v>2026</v>
      </c>
      <c r="F57" s="14" t="s">
        <v>346</v>
      </c>
      <c r="G57" s="14" t="s">
        <v>7276</v>
      </c>
      <c r="H57" s="14"/>
      <c r="I57" s="14" t="s">
        <v>7277</v>
      </c>
      <c r="J57" s="14" t="s">
        <v>63</v>
      </c>
    </row>
    <row r="58" spans="1:10" ht="133" x14ac:dyDescent="0.2">
      <c r="A58" s="18" t="s">
        <v>347</v>
      </c>
      <c r="B58" s="19" t="s">
        <v>48</v>
      </c>
      <c r="C58" s="18" t="s">
        <v>95</v>
      </c>
      <c r="D58" s="18" t="s">
        <v>96</v>
      </c>
      <c r="E58" s="19">
        <v>2026</v>
      </c>
      <c r="F58" s="18" t="s">
        <v>348</v>
      </c>
      <c r="G58" s="18" t="s">
        <v>7278</v>
      </c>
      <c r="H58" s="18" t="s">
        <v>215</v>
      </c>
      <c r="I58" s="18" t="s">
        <v>7279</v>
      </c>
      <c r="J58" s="18" t="s">
        <v>186</v>
      </c>
    </row>
    <row r="59" spans="1:10" ht="190" x14ac:dyDescent="0.2">
      <c r="A59" s="16" t="s">
        <v>349</v>
      </c>
      <c r="B59" s="17" t="s">
        <v>48</v>
      </c>
      <c r="C59" s="16" t="s">
        <v>350</v>
      </c>
      <c r="D59" s="16" t="s">
        <v>351</v>
      </c>
      <c r="E59" s="17">
        <v>2024</v>
      </c>
      <c r="F59" s="16" t="s">
        <v>352</v>
      </c>
      <c r="G59" s="16" t="s">
        <v>35</v>
      </c>
      <c r="H59" s="16" t="s">
        <v>138</v>
      </c>
      <c r="I59" s="16" t="s">
        <v>7280</v>
      </c>
      <c r="J59" s="16" t="s">
        <v>180</v>
      </c>
    </row>
    <row r="60" spans="1:10" ht="171" x14ac:dyDescent="0.2">
      <c r="A60" s="16" t="s">
        <v>353</v>
      </c>
      <c r="B60" s="17" t="s">
        <v>48</v>
      </c>
      <c r="C60" s="16" t="s">
        <v>354</v>
      </c>
      <c r="D60" s="16" t="s">
        <v>355</v>
      </c>
      <c r="E60" s="17">
        <v>2026</v>
      </c>
      <c r="F60" s="16" t="s">
        <v>356</v>
      </c>
      <c r="G60" s="16" t="s">
        <v>35</v>
      </c>
      <c r="H60" s="16" t="s">
        <v>148</v>
      </c>
      <c r="I60" s="16" t="s">
        <v>7281</v>
      </c>
      <c r="J60" s="16" t="s">
        <v>123</v>
      </c>
    </row>
    <row r="61" spans="1:10" ht="152" x14ac:dyDescent="0.2">
      <c r="A61" s="18" t="s">
        <v>357</v>
      </c>
      <c r="B61" s="19" t="s">
        <v>48</v>
      </c>
      <c r="C61" s="18" t="s">
        <v>49</v>
      </c>
      <c r="D61" s="18" t="s">
        <v>64</v>
      </c>
      <c r="E61" s="19">
        <v>2024</v>
      </c>
      <c r="F61" s="18" t="s">
        <v>358</v>
      </c>
      <c r="G61" s="18" t="s">
        <v>7282</v>
      </c>
      <c r="H61" s="18" t="s">
        <v>215</v>
      </c>
      <c r="I61" s="18" t="s">
        <v>7283</v>
      </c>
      <c r="J61" s="18" t="s">
        <v>186</v>
      </c>
    </row>
    <row r="62" spans="1:10" ht="190" x14ac:dyDescent="0.2">
      <c r="A62" s="14" t="s">
        <v>359</v>
      </c>
      <c r="B62" s="15" t="s">
        <v>48</v>
      </c>
      <c r="C62" s="14" t="s">
        <v>360</v>
      </c>
      <c r="D62" s="14" t="s">
        <v>361</v>
      </c>
      <c r="E62" s="15">
        <v>2026</v>
      </c>
      <c r="F62" s="14" t="s">
        <v>362</v>
      </c>
      <c r="G62" s="14" t="s">
        <v>7284</v>
      </c>
      <c r="H62" s="14"/>
      <c r="I62" s="14" t="s">
        <v>7285</v>
      </c>
      <c r="J62" s="14" t="s">
        <v>65</v>
      </c>
    </row>
    <row r="63" spans="1:10" ht="171" x14ac:dyDescent="0.2">
      <c r="A63" s="16" t="s">
        <v>363</v>
      </c>
      <c r="B63" s="17" t="s">
        <v>48</v>
      </c>
      <c r="C63" s="16" t="s">
        <v>364</v>
      </c>
      <c r="D63" s="16" t="s">
        <v>365</v>
      </c>
      <c r="E63" s="17">
        <v>2025</v>
      </c>
      <c r="F63" s="16" t="s">
        <v>366</v>
      </c>
      <c r="G63" s="16" t="s">
        <v>35</v>
      </c>
      <c r="H63" s="16" t="s">
        <v>148</v>
      </c>
      <c r="I63" s="16" t="s">
        <v>7286</v>
      </c>
      <c r="J63" s="16" t="s">
        <v>123</v>
      </c>
    </row>
    <row r="64" spans="1:10" ht="190" x14ac:dyDescent="0.2">
      <c r="A64" s="16" t="s">
        <v>367</v>
      </c>
      <c r="B64" s="17" t="s">
        <v>48</v>
      </c>
      <c r="C64" s="16" t="s">
        <v>368</v>
      </c>
      <c r="D64" s="16" t="s">
        <v>369</v>
      </c>
      <c r="E64" s="17">
        <v>2026</v>
      </c>
      <c r="F64" s="16" t="s">
        <v>370</v>
      </c>
      <c r="G64" s="16" t="s">
        <v>35</v>
      </c>
      <c r="H64" s="16" t="s">
        <v>148</v>
      </c>
      <c r="I64" s="16" t="s">
        <v>7287</v>
      </c>
      <c r="J64" s="16" t="s">
        <v>123</v>
      </c>
    </row>
    <row r="65" spans="1:10" ht="247" x14ac:dyDescent="0.2">
      <c r="A65" s="16" t="s">
        <v>371</v>
      </c>
      <c r="B65" s="17" t="s">
        <v>48</v>
      </c>
      <c r="C65" s="16" t="s">
        <v>372</v>
      </c>
      <c r="D65" s="16" t="s">
        <v>373</v>
      </c>
      <c r="E65" s="17">
        <v>2025</v>
      </c>
      <c r="F65" s="16" t="s">
        <v>374</v>
      </c>
      <c r="G65" s="16" t="s">
        <v>35</v>
      </c>
      <c r="H65" s="16" t="s">
        <v>185</v>
      </c>
      <c r="I65" s="16" t="s">
        <v>7288</v>
      </c>
      <c r="J65" s="16" t="s">
        <v>180</v>
      </c>
    </row>
    <row r="66" spans="1:10" ht="228" x14ac:dyDescent="0.2">
      <c r="A66" s="16" t="s">
        <v>375</v>
      </c>
      <c r="B66" s="17" t="s">
        <v>48</v>
      </c>
      <c r="C66" s="16" t="s">
        <v>376</v>
      </c>
      <c r="D66" s="16" t="s">
        <v>377</v>
      </c>
      <c r="E66" s="17">
        <v>2025</v>
      </c>
      <c r="F66" s="16" t="s">
        <v>378</v>
      </c>
      <c r="G66" s="16" t="s">
        <v>35</v>
      </c>
      <c r="H66" s="16" t="s">
        <v>185</v>
      </c>
      <c r="I66" s="16" t="s">
        <v>7289</v>
      </c>
      <c r="J66" s="16" t="s">
        <v>379</v>
      </c>
    </row>
    <row r="67" spans="1:10" ht="190" x14ac:dyDescent="0.2">
      <c r="A67" s="14" t="s">
        <v>380</v>
      </c>
      <c r="B67" s="15" t="s">
        <v>48</v>
      </c>
      <c r="C67" s="14" t="s">
        <v>381</v>
      </c>
      <c r="D67" s="14" t="s">
        <v>382</v>
      </c>
      <c r="E67" s="15">
        <v>2025</v>
      </c>
      <c r="F67" s="14" t="s">
        <v>383</v>
      </c>
      <c r="G67" s="14" t="s">
        <v>7290</v>
      </c>
      <c r="H67" s="14"/>
      <c r="I67" s="14" t="s">
        <v>7291</v>
      </c>
      <c r="J67" s="14" t="s">
        <v>384</v>
      </c>
    </row>
    <row r="68" spans="1:10" ht="228" x14ac:dyDescent="0.2">
      <c r="A68" s="16" t="s">
        <v>385</v>
      </c>
      <c r="B68" s="17" t="s">
        <v>48</v>
      </c>
      <c r="C68" s="16" t="s">
        <v>386</v>
      </c>
      <c r="D68" s="16" t="s">
        <v>387</v>
      </c>
      <c r="E68" s="17">
        <v>2026</v>
      </c>
      <c r="F68" s="16" t="s">
        <v>388</v>
      </c>
      <c r="G68" s="16" t="s">
        <v>35</v>
      </c>
      <c r="H68" s="16" t="s">
        <v>148</v>
      </c>
      <c r="I68" s="16" t="s">
        <v>7292</v>
      </c>
      <c r="J68" s="16" t="s">
        <v>60</v>
      </c>
    </row>
    <row r="69" spans="1:10" ht="171" x14ac:dyDescent="0.2">
      <c r="A69" s="18" t="s">
        <v>389</v>
      </c>
      <c r="B69" s="19" t="s">
        <v>48</v>
      </c>
      <c r="C69" s="18" t="s">
        <v>46</v>
      </c>
      <c r="D69" s="18" t="s">
        <v>47</v>
      </c>
      <c r="E69" s="19">
        <v>2025</v>
      </c>
      <c r="F69" s="18" t="s">
        <v>390</v>
      </c>
      <c r="G69" s="18" t="s">
        <v>7293</v>
      </c>
      <c r="H69" s="18" t="s">
        <v>215</v>
      </c>
      <c r="I69" s="18" t="s">
        <v>7294</v>
      </c>
      <c r="J69" s="18" t="s">
        <v>186</v>
      </c>
    </row>
    <row r="70" spans="1:10" ht="171" x14ac:dyDescent="0.2">
      <c r="A70" s="14" t="s">
        <v>391</v>
      </c>
      <c r="B70" s="15" t="s">
        <v>48</v>
      </c>
      <c r="C70" s="14" t="s">
        <v>392</v>
      </c>
      <c r="D70" s="14" t="s">
        <v>393</v>
      </c>
      <c r="E70" s="15">
        <v>2025</v>
      </c>
      <c r="F70" s="14" t="s">
        <v>394</v>
      </c>
      <c r="G70" s="14" t="s">
        <v>7295</v>
      </c>
      <c r="H70" s="14"/>
      <c r="I70" s="14" t="s">
        <v>7296</v>
      </c>
      <c r="J70" s="14" t="s">
        <v>68</v>
      </c>
    </row>
    <row r="71" spans="1:10" ht="171" x14ac:dyDescent="0.2">
      <c r="A71" s="14" t="s">
        <v>395</v>
      </c>
      <c r="B71" s="15" t="s">
        <v>48</v>
      </c>
      <c r="C71" s="14" t="s">
        <v>396</v>
      </c>
      <c r="D71" s="14" t="s">
        <v>397</v>
      </c>
      <c r="E71" s="15">
        <v>2025</v>
      </c>
      <c r="F71" s="14" t="s">
        <v>398</v>
      </c>
      <c r="G71" s="14" t="s">
        <v>7297</v>
      </c>
      <c r="H71" s="14"/>
      <c r="I71" s="14" t="s">
        <v>7298</v>
      </c>
      <c r="J71" s="14" t="s">
        <v>60</v>
      </c>
    </row>
    <row r="72" spans="1:10" ht="190" x14ac:dyDescent="0.2">
      <c r="A72" s="14" t="s">
        <v>399</v>
      </c>
      <c r="B72" s="15" t="s">
        <v>48</v>
      </c>
      <c r="C72" s="14" t="s">
        <v>400</v>
      </c>
      <c r="D72" s="14" t="s">
        <v>401</v>
      </c>
      <c r="E72" s="15">
        <v>2026</v>
      </c>
      <c r="F72" s="14" t="s">
        <v>402</v>
      </c>
      <c r="G72" s="14" t="s">
        <v>7299</v>
      </c>
      <c r="H72" s="14"/>
      <c r="I72" s="14" t="s">
        <v>7300</v>
      </c>
      <c r="J72" s="14" t="s">
        <v>403</v>
      </c>
    </row>
    <row r="73" spans="1:10" ht="190" x14ac:dyDescent="0.2">
      <c r="A73" s="16" t="s">
        <v>404</v>
      </c>
      <c r="B73" s="17" t="s">
        <v>48</v>
      </c>
      <c r="C73" s="16" t="s">
        <v>405</v>
      </c>
      <c r="D73" s="16" t="s">
        <v>406</v>
      </c>
      <c r="E73" s="17">
        <v>2026</v>
      </c>
      <c r="F73" s="16" t="s">
        <v>407</v>
      </c>
      <c r="G73" s="16" t="s">
        <v>35</v>
      </c>
      <c r="H73" s="16" t="s">
        <v>148</v>
      </c>
      <c r="I73" s="16" t="s">
        <v>7301</v>
      </c>
      <c r="J73" s="16" t="s">
        <v>123</v>
      </c>
    </row>
    <row r="74" spans="1:10" ht="285" x14ac:dyDescent="0.2">
      <c r="A74" s="14" t="s">
        <v>408</v>
      </c>
      <c r="B74" s="15" t="s">
        <v>48</v>
      </c>
      <c r="C74" s="14" t="s">
        <v>409</v>
      </c>
      <c r="D74" s="14" t="s">
        <v>410</v>
      </c>
      <c r="E74" s="15">
        <v>2026</v>
      </c>
      <c r="F74" s="14" t="s">
        <v>411</v>
      </c>
      <c r="G74" s="14" t="s">
        <v>7302</v>
      </c>
      <c r="H74" s="14"/>
      <c r="I74" s="14" t="s">
        <v>7303</v>
      </c>
      <c r="J74" s="14" t="s">
        <v>123</v>
      </c>
    </row>
    <row r="75" spans="1:10" ht="190" x14ac:dyDescent="0.2">
      <c r="A75" s="16" t="s">
        <v>412</v>
      </c>
      <c r="B75" s="17" t="s">
        <v>48</v>
      </c>
      <c r="C75" s="16" t="s">
        <v>413</v>
      </c>
      <c r="D75" s="16" t="s">
        <v>414</v>
      </c>
      <c r="E75" s="17">
        <v>2026</v>
      </c>
      <c r="F75" s="16" t="s">
        <v>415</v>
      </c>
      <c r="G75" s="16" t="s">
        <v>35</v>
      </c>
      <c r="H75" s="16" t="s">
        <v>148</v>
      </c>
      <c r="I75" s="16" t="s">
        <v>7304</v>
      </c>
      <c r="J75" s="16" t="s">
        <v>123</v>
      </c>
    </row>
    <row r="76" spans="1:10" ht="209" x14ac:dyDescent="0.2">
      <c r="A76" s="14" t="s">
        <v>416</v>
      </c>
      <c r="B76" s="15" t="s">
        <v>48</v>
      </c>
      <c r="C76" s="14" t="s">
        <v>417</v>
      </c>
      <c r="D76" s="14" t="s">
        <v>418</v>
      </c>
      <c r="E76" s="15">
        <v>2026</v>
      </c>
      <c r="F76" s="14" t="s">
        <v>419</v>
      </c>
      <c r="G76" s="14" t="s">
        <v>7305</v>
      </c>
      <c r="H76" s="14"/>
      <c r="I76" s="14" t="s">
        <v>7306</v>
      </c>
      <c r="J76" s="14" t="s">
        <v>323</v>
      </c>
    </row>
    <row r="77" spans="1:10" ht="304" x14ac:dyDescent="0.2">
      <c r="A77" s="16" t="s">
        <v>420</v>
      </c>
      <c r="B77" s="17" t="s">
        <v>48</v>
      </c>
      <c r="C77" s="16" t="s">
        <v>231</v>
      </c>
      <c r="D77" s="16" t="s">
        <v>421</v>
      </c>
      <c r="E77" s="17">
        <v>2026</v>
      </c>
      <c r="F77" s="16" t="s">
        <v>422</v>
      </c>
      <c r="G77" s="16" t="s">
        <v>35</v>
      </c>
      <c r="H77" s="16" t="s">
        <v>148</v>
      </c>
      <c r="I77" s="16" t="s">
        <v>7307</v>
      </c>
      <c r="J77" s="16" t="s">
        <v>65</v>
      </c>
    </row>
    <row r="78" spans="1:10" ht="228" x14ac:dyDescent="0.2">
      <c r="A78" s="14" t="s">
        <v>423</v>
      </c>
      <c r="B78" s="15" t="s">
        <v>48</v>
      </c>
      <c r="C78" s="14" t="s">
        <v>424</v>
      </c>
      <c r="D78" s="14" t="s">
        <v>425</v>
      </c>
      <c r="E78" s="15">
        <v>2024</v>
      </c>
      <c r="F78" s="14" t="s">
        <v>426</v>
      </c>
      <c r="G78" s="14" t="s">
        <v>7308</v>
      </c>
      <c r="H78" s="14"/>
      <c r="I78" s="14" t="s">
        <v>7309</v>
      </c>
      <c r="J78" s="14" t="s">
        <v>57</v>
      </c>
    </row>
    <row r="79" spans="1:10" ht="114" x14ac:dyDescent="0.2">
      <c r="A79" s="18" t="s">
        <v>427</v>
      </c>
      <c r="B79" s="19" t="s">
        <v>48</v>
      </c>
      <c r="C79" s="18" t="s">
        <v>140</v>
      </c>
      <c r="D79" s="18" t="s">
        <v>141</v>
      </c>
      <c r="E79" s="19">
        <v>2026</v>
      </c>
      <c r="F79" s="18" t="s">
        <v>428</v>
      </c>
      <c r="G79" s="18" t="s">
        <v>7310</v>
      </c>
      <c r="H79" s="18" t="s">
        <v>165</v>
      </c>
      <c r="I79" s="18" t="s">
        <v>7311</v>
      </c>
      <c r="J79" s="18" t="s">
        <v>429</v>
      </c>
    </row>
    <row r="80" spans="1:10" ht="171" x14ac:dyDescent="0.2">
      <c r="A80" s="18" t="s">
        <v>430</v>
      </c>
      <c r="B80" s="19" t="s">
        <v>48</v>
      </c>
      <c r="C80" s="18" t="s">
        <v>236</v>
      </c>
      <c r="D80" s="18" t="s">
        <v>237</v>
      </c>
      <c r="E80" s="19">
        <v>2026</v>
      </c>
      <c r="F80" s="18" t="s">
        <v>431</v>
      </c>
      <c r="G80" s="18" t="s">
        <v>7249</v>
      </c>
      <c r="H80" s="18" t="s">
        <v>165</v>
      </c>
      <c r="I80" s="18" t="s">
        <v>7312</v>
      </c>
      <c r="J80" s="18" t="s">
        <v>266</v>
      </c>
    </row>
    <row r="81" spans="1:10" ht="228" x14ac:dyDescent="0.2">
      <c r="A81" s="16" t="s">
        <v>432</v>
      </c>
      <c r="B81" s="17" t="s">
        <v>48</v>
      </c>
      <c r="C81" s="16" t="s">
        <v>433</v>
      </c>
      <c r="D81" s="16" t="s">
        <v>434</v>
      </c>
      <c r="E81" s="17">
        <v>2026</v>
      </c>
      <c r="F81" s="16" t="s">
        <v>435</v>
      </c>
      <c r="G81" s="16" t="s">
        <v>35</v>
      </c>
      <c r="H81" s="16" t="s">
        <v>185</v>
      </c>
      <c r="I81" s="16" t="s">
        <v>7313</v>
      </c>
      <c r="J81" s="16" t="s">
        <v>123</v>
      </c>
    </row>
    <row r="82" spans="1:10" ht="266" x14ac:dyDescent="0.2">
      <c r="A82" s="16" t="s">
        <v>436</v>
      </c>
      <c r="B82" s="17" t="s">
        <v>48</v>
      </c>
      <c r="C82" s="16" t="s">
        <v>437</v>
      </c>
      <c r="D82" s="16" t="s">
        <v>438</v>
      </c>
      <c r="E82" s="17">
        <v>2026</v>
      </c>
      <c r="F82" s="16" t="s">
        <v>439</v>
      </c>
      <c r="G82" s="16" t="s">
        <v>35</v>
      </c>
      <c r="H82" s="16" t="s">
        <v>138</v>
      </c>
      <c r="I82" s="16" t="s">
        <v>7314</v>
      </c>
      <c r="J82" s="16" t="s">
        <v>65</v>
      </c>
    </row>
    <row r="83" spans="1:10" ht="171" x14ac:dyDescent="0.2">
      <c r="A83" s="14" t="s">
        <v>440</v>
      </c>
      <c r="B83" s="15" t="s">
        <v>48</v>
      </c>
      <c r="C83" s="14" t="s">
        <v>441</v>
      </c>
      <c r="D83" s="14" t="s">
        <v>442</v>
      </c>
      <c r="E83" s="15">
        <v>2025</v>
      </c>
      <c r="F83" s="14" t="s">
        <v>443</v>
      </c>
      <c r="G83" s="14" t="s">
        <v>7315</v>
      </c>
      <c r="H83" s="14"/>
      <c r="I83" s="14" t="s">
        <v>7316</v>
      </c>
      <c r="J83" s="14" t="s">
        <v>444</v>
      </c>
    </row>
    <row r="84" spans="1:10" ht="171" x14ac:dyDescent="0.2">
      <c r="A84" s="16" t="s">
        <v>445</v>
      </c>
      <c r="B84" s="17" t="s">
        <v>48</v>
      </c>
      <c r="C84" s="16" t="s">
        <v>446</v>
      </c>
      <c r="D84" s="16" t="s">
        <v>447</v>
      </c>
      <c r="E84" s="17">
        <v>2026</v>
      </c>
      <c r="F84" s="16" t="s">
        <v>448</v>
      </c>
      <c r="G84" s="16" t="s">
        <v>35</v>
      </c>
      <c r="H84" s="16" t="s">
        <v>148</v>
      </c>
      <c r="I84" s="16" t="s">
        <v>7317</v>
      </c>
      <c r="J84" s="16" t="s">
        <v>123</v>
      </c>
    </row>
    <row r="85" spans="1:10" ht="228" x14ac:dyDescent="0.2">
      <c r="A85" s="14" t="s">
        <v>449</v>
      </c>
      <c r="B85" s="15" t="s">
        <v>48</v>
      </c>
      <c r="C85" s="14" t="s">
        <v>450</v>
      </c>
      <c r="D85" s="14" t="s">
        <v>451</v>
      </c>
      <c r="E85" s="15">
        <v>2026</v>
      </c>
      <c r="F85" s="14" t="s">
        <v>452</v>
      </c>
      <c r="G85" s="14" t="s">
        <v>7318</v>
      </c>
      <c r="H85" s="14"/>
      <c r="I85" s="14" t="s">
        <v>7319</v>
      </c>
      <c r="J85" s="14" t="s">
        <v>60</v>
      </c>
    </row>
    <row r="86" spans="1:10" ht="266" x14ac:dyDescent="0.2">
      <c r="A86" s="16" t="s">
        <v>453</v>
      </c>
      <c r="B86" s="17" t="s">
        <v>48</v>
      </c>
      <c r="C86" s="16" t="s">
        <v>454</v>
      </c>
      <c r="D86" s="16" t="s">
        <v>455</v>
      </c>
      <c r="E86" s="17">
        <v>2025</v>
      </c>
      <c r="F86" s="16" t="s">
        <v>456</v>
      </c>
      <c r="G86" s="16" t="s">
        <v>35</v>
      </c>
      <c r="H86" s="16" t="s">
        <v>133</v>
      </c>
      <c r="I86" s="16" t="s">
        <v>7320</v>
      </c>
      <c r="J86" s="16" t="s">
        <v>123</v>
      </c>
    </row>
    <row r="87" spans="1:10" ht="190" x14ac:dyDescent="0.2">
      <c r="A87" s="16" t="s">
        <v>457</v>
      </c>
      <c r="B87" s="17" t="s">
        <v>48</v>
      </c>
      <c r="C87" s="16" t="s">
        <v>458</v>
      </c>
      <c r="D87" s="16" t="s">
        <v>459</v>
      </c>
      <c r="E87" s="17">
        <v>2026</v>
      </c>
      <c r="F87" s="16" t="s">
        <v>460</v>
      </c>
      <c r="G87" s="16" t="s">
        <v>35</v>
      </c>
      <c r="H87" s="16" t="s">
        <v>148</v>
      </c>
      <c r="I87" s="16" t="s">
        <v>7321</v>
      </c>
      <c r="J87" s="16" t="s">
        <v>123</v>
      </c>
    </row>
    <row r="88" spans="1:10" ht="304" x14ac:dyDescent="0.2">
      <c r="A88" s="16" t="s">
        <v>461</v>
      </c>
      <c r="B88" s="17" t="s">
        <v>48</v>
      </c>
      <c r="C88" s="16" t="s">
        <v>462</v>
      </c>
      <c r="D88" s="16" t="s">
        <v>463</v>
      </c>
      <c r="E88" s="17">
        <v>2026</v>
      </c>
      <c r="F88" s="16" t="s">
        <v>464</v>
      </c>
      <c r="G88" s="16" t="s">
        <v>35</v>
      </c>
      <c r="H88" s="16" t="s">
        <v>122</v>
      </c>
      <c r="I88" s="16" t="s">
        <v>7322</v>
      </c>
      <c r="J88" s="16" t="s">
        <v>465</v>
      </c>
    </row>
    <row r="89" spans="1:10" ht="133" x14ac:dyDescent="0.2">
      <c r="A89" s="18" t="s">
        <v>466</v>
      </c>
      <c r="B89" s="19" t="s">
        <v>48</v>
      </c>
      <c r="C89" s="18" t="s">
        <v>231</v>
      </c>
      <c r="D89" s="18" t="s">
        <v>232</v>
      </c>
      <c r="E89" s="19">
        <v>2026</v>
      </c>
      <c r="F89" s="18" t="s">
        <v>467</v>
      </c>
      <c r="G89" s="18" t="s">
        <v>7323</v>
      </c>
      <c r="H89" s="18" t="s">
        <v>165</v>
      </c>
      <c r="I89" s="18" t="s">
        <v>7324</v>
      </c>
      <c r="J89" s="18" t="s">
        <v>468</v>
      </c>
    </row>
    <row r="90" spans="1:10" ht="171" x14ac:dyDescent="0.2">
      <c r="A90" s="14" t="s">
        <v>469</v>
      </c>
      <c r="B90" s="15" t="s">
        <v>48</v>
      </c>
      <c r="C90" s="14" t="s">
        <v>470</v>
      </c>
      <c r="D90" s="14" t="s">
        <v>471</v>
      </c>
      <c r="E90" s="15">
        <v>2026</v>
      </c>
      <c r="F90" s="14" t="s">
        <v>472</v>
      </c>
      <c r="G90" s="14" t="s">
        <v>7325</v>
      </c>
      <c r="H90" s="14"/>
      <c r="I90" s="14" t="s">
        <v>7326</v>
      </c>
      <c r="J90" s="14" t="s">
        <v>323</v>
      </c>
    </row>
    <row r="91" spans="1:10" ht="171" x14ac:dyDescent="0.2">
      <c r="A91" s="14" t="s">
        <v>473</v>
      </c>
      <c r="B91" s="15" t="s">
        <v>48</v>
      </c>
      <c r="C91" s="14" t="s">
        <v>474</v>
      </c>
      <c r="D91" s="14" t="s">
        <v>475</v>
      </c>
      <c r="E91" s="15">
        <v>2024</v>
      </c>
      <c r="F91" s="14" t="s">
        <v>476</v>
      </c>
      <c r="G91" s="14" t="s">
        <v>7327</v>
      </c>
      <c r="H91" s="14"/>
      <c r="I91" s="14" t="s">
        <v>7328</v>
      </c>
      <c r="J91" s="14" t="s">
        <v>68</v>
      </c>
    </row>
    <row r="92" spans="1:10" ht="190" x14ac:dyDescent="0.2">
      <c r="A92" s="14" t="s">
        <v>477</v>
      </c>
      <c r="B92" s="15" t="s">
        <v>48</v>
      </c>
      <c r="C92" s="14" t="s">
        <v>478</v>
      </c>
      <c r="D92" s="14" t="s">
        <v>479</v>
      </c>
      <c r="E92" s="15">
        <v>2026</v>
      </c>
      <c r="F92" s="14" t="s">
        <v>480</v>
      </c>
      <c r="G92" s="14" t="s">
        <v>7329</v>
      </c>
      <c r="H92" s="14"/>
      <c r="I92" s="14" t="s">
        <v>7330</v>
      </c>
      <c r="J92" s="14" t="s">
        <v>481</v>
      </c>
    </row>
    <row r="93" spans="1:10" ht="323" x14ac:dyDescent="0.2">
      <c r="A93" s="16" t="s">
        <v>482</v>
      </c>
      <c r="B93" s="17" t="s">
        <v>48</v>
      </c>
      <c r="C93" s="16" t="s">
        <v>483</v>
      </c>
      <c r="D93" s="16" t="s">
        <v>484</v>
      </c>
      <c r="E93" s="17">
        <v>2026</v>
      </c>
      <c r="F93" s="16" t="s">
        <v>485</v>
      </c>
      <c r="G93" s="16" t="s">
        <v>35</v>
      </c>
      <c r="H93" s="16" t="s">
        <v>138</v>
      </c>
      <c r="I93" s="16" t="s">
        <v>7331</v>
      </c>
      <c r="J93" s="16" t="s">
        <v>486</v>
      </c>
    </row>
    <row r="94" spans="1:10" ht="247" x14ac:dyDescent="0.2">
      <c r="A94" s="16" t="s">
        <v>487</v>
      </c>
      <c r="B94" s="17" t="s">
        <v>48</v>
      </c>
      <c r="C94" s="16" t="s">
        <v>488</v>
      </c>
      <c r="D94" s="16" t="s">
        <v>489</v>
      </c>
      <c r="E94" s="17">
        <v>2026</v>
      </c>
      <c r="F94" s="16" t="s">
        <v>490</v>
      </c>
      <c r="G94" s="16" t="s">
        <v>35</v>
      </c>
      <c r="H94" s="16" t="s">
        <v>148</v>
      </c>
      <c r="I94" s="16" t="s">
        <v>7332</v>
      </c>
      <c r="J94" s="16" t="s">
        <v>60</v>
      </c>
    </row>
    <row r="95" spans="1:10" ht="209" x14ac:dyDescent="0.2">
      <c r="A95" s="16" t="s">
        <v>491</v>
      </c>
      <c r="B95" s="17" t="s">
        <v>48</v>
      </c>
      <c r="C95" s="16" t="s">
        <v>492</v>
      </c>
      <c r="D95" s="16" t="s">
        <v>493</v>
      </c>
      <c r="E95" s="17">
        <v>2026</v>
      </c>
      <c r="F95" s="16" t="s">
        <v>494</v>
      </c>
      <c r="G95" s="16" t="s">
        <v>35</v>
      </c>
      <c r="H95" s="16" t="s">
        <v>138</v>
      </c>
      <c r="I95" s="16" t="s">
        <v>7333</v>
      </c>
      <c r="J95" s="16" t="s">
        <v>57</v>
      </c>
    </row>
    <row r="96" spans="1:10" ht="285" x14ac:dyDescent="0.2">
      <c r="A96" s="16" t="s">
        <v>495</v>
      </c>
      <c r="B96" s="17" t="s">
        <v>48</v>
      </c>
      <c r="C96" s="16" t="s">
        <v>496</v>
      </c>
      <c r="D96" s="16" t="s">
        <v>497</v>
      </c>
      <c r="E96" s="17">
        <v>2026</v>
      </c>
      <c r="F96" s="16" t="s">
        <v>498</v>
      </c>
      <c r="G96" s="16" t="s">
        <v>35</v>
      </c>
      <c r="H96" s="16" t="s">
        <v>185</v>
      </c>
      <c r="I96" s="16" t="s">
        <v>7334</v>
      </c>
      <c r="J96" s="16" t="s">
        <v>444</v>
      </c>
    </row>
    <row r="97" spans="1:10" ht="209" x14ac:dyDescent="0.2">
      <c r="A97" s="14" t="s">
        <v>499</v>
      </c>
      <c r="B97" s="15" t="s">
        <v>48</v>
      </c>
      <c r="C97" s="14" t="s">
        <v>500</v>
      </c>
      <c r="D97" s="14" t="s">
        <v>501</v>
      </c>
      <c r="E97" s="15">
        <v>2025</v>
      </c>
      <c r="F97" s="14" t="s">
        <v>502</v>
      </c>
      <c r="G97" s="14" t="s">
        <v>7335</v>
      </c>
      <c r="H97" s="14"/>
      <c r="I97" s="14" t="s">
        <v>7336</v>
      </c>
      <c r="J97" s="14" t="s">
        <v>65</v>
      </c>
    </row>
    <row r="98" spans="1:10" ht="285" x14ac:dyDescent="0.2">
      <c r="A98" s="16" t="s">
        <v>503</v>
      </c>
      <c r="B98" s="17" t="s">
        <v>48</v>
      </c>
      <c r="C98" s="16" t="s">
        <v>504</v>
      </c>
      <c r="D98" s="16" t="s">
        <v>505</v>
      </c>
      <c r="E98" s="17">
        <v>2025</v>
      </c>
      <c r="F98" s="16" t="s">
        <v>506</v>
      </c>
      <c r="G98" s="16" t="s">
        <v>35</v>
      </c>
      <c r="H98" s="16" t="s">
        <v>138</v>
      </c>
      <c r="I98" s="16" t="s">
        <v>7337</v>
      </c>
      <c r="J98" s="16" t="s">
        <v>123</v>
      </c>
    </row>
    <row r="99" spans="1:10" ht="285" x14ac:dyDescent="0.2">
      <c r="A99" s="14" t="s">
        <v>507</v>
      </c>
      <c r="B99" s="15" t="s">
        <v>48</v>
      </c>
      <c r="C99" s="14" t="s">
        <v>508</v>
      </c>
      <c r="D99" s="14" t="s">
        <v>509</v>
      </c>
      <c r="E99" s="15">
        <v>2025</v>
      </c>
      <c r="F99" s="14" t="s">
        <v>510</v>
      </c>
      <c r="G99" s="14" t="s">
        <v>7338</v>
      </c>
      <c r="H99" s="14"/>
      <c r="I99" s="14" t="s">
        <v>7339</v>
      </c>
      <c r="J99" s="14" t="s">
        <v>123</v>
      </c>
    </row>
    <row r="100" spans="1:10" ht="247" x14ac:dyDescent="0.2">
      <c r="A100" s="16" t="s">
        <v>511</v>
      </c>
      <c r="B100" s="17" t="s">
        <v>48</v>
      </c>
      <c r="C100" s="16" t="s">
        <v>512</v>
      </c>
      <c r="D100" s="16" t="s">
        <v>513</v>
      </c>
      <c r="E100" s="17">
        <v>2026</v>
      </c>
      <c r="F100" s="16" t="s">
        <v>514</v>
      </c>
      <c r="G100" s="16" t="s">
        <v>35</v>
      </c>
      <c r="H100" s="16" t="s">
        <v>185</v>
      </c>
      <c r="I100" s="16" t="s">
        <v>7340</v>
      </c>
      <c r="J100" s="16" t="s">
        <v>465</v>
      </c>
    </row>
    <row r="101" spans="1:10" ht="209" x14ac:dyDescent="0.2">
      <c r="A101" s="16" t="s">
        <v>515</v>
      </c>
      <c r="B101" s="17" t="s">
        <v>48</v>
      </c>
      <c r="C101" s="16" t="s">
        <v>516</v>
      </c>
      <c r="D101" s="16" t="s">
        <v>517</v>
      </c>
      <c r="E101" s="17">
        <v>2026</v>
      </c>
      <c r="F101" s="16" t="s">
        <v>518</v>
      </c>
      <c r="G101" s="16" t="s">
        <v>35</v>
      </c>
      <c r="H101" s="16" t="s">
        <v>185</v>
      </c>
      <c r="I101" s="16" t="s">
        <v>7341</v>
      </c>
      <c r="J101" s="16" t="s">
        <v>123</v>
      </c>
    </row>
    <row r="102" spans="1:10" ht="190" x14ac:dyDescent="0.2">
      <c r="A102" s="18" t="s">
        <v>519</v>
      </c>
      <c r="B102" s="19" t="s">
        <v>48</v>
      </c>
      <c r="C102" s="18" t="s">
        <v>504</v>
      </c>
      <c r="D102" s="18" t="s">
        <v>520</v>
      </c>
      <c r="E102" s="19">
        <v>2024</v>
      </c>
      <c r="F102" s="18" t="s">
        <v>521</v>
      </c>
      <c r="G102" s="18" t="s">
        <v>7342</v>
      </c>
      <c r="H102" s="18" t="s">
        <v>165</v>
      </c>
      <c r="I102" s="18" t="s">
        <v>7343</v>
      </c>
      <c r="J102" s="18" t="s">
        <v>522</v>
      </c>
    </row>
    <row r="103" spans="1:10" ht="266" x14ac:dyDescent="0.2">
      <c r="A103" s="16" t="s">
        <v>523</v>
      </c>
      <c r="B103" s="17" t="s">
        <v>48</v>
      </c>
      <c r="C103" s="16" t="s">
        <v>524</v>
      </c>
      <c r="D103" s="16" t="s">
        <v>525</v>
      </c>
      <c r="E103" s="17">
        <v>2026</v>
      </c>
      <c r="F103" s="16" t="s">
        <v>526</v>
      </c>
      <c r="G103" s="16" t="s">
        <v>35</v>
      </c>
      <c r="H103" s="16" t="s">
        <v>185</v>
      </c>
      <c r="I103" s="16" t="s">
        <v>7344</v>
      </c>
      <c r="J103" s="16" t="s">
        <v>123</v>
      </c>
    </row>
    <row r="104" spans="1:10" ht="247" x14ac:dyDescent="0.2">
      <c r="A104" s="14" t="s">
        <v>527</v>
      </c>
      <c r="B104" s="15" t="s">
        <v>48</v>
      </c>
      <c r="C104" s="14" t="s">
        <v>528</v>
      </c>
      <c r="D104" s="14" t="s">
        <v>529</v>
      </c>
      <c r="E104" s="15">
        <v>2026</v>
      </c>
      <c r="F104" s="14" t="s">
        <v>530</v>
      </c>
      <c r="G104" s="14" t="s">
        <v>7345</v>
      </c>
      <c r="H104" s="14"/>
      <c r="I104" s="14" t="s">
        <v>7346</v>
      </c>
      <c r="J104" s="14" t="s">
        <v>531</v>
      </c>
    </row>
    <row r="105" spans="1:10" ht="342" x14ac:dyDescent="0.2">
      <c r="A105" s="16" t="s">
        <v>532</v>
      </c>
      <c r="B105" s="17" t="s">
        <v>48</v>
      </c>
      <c r="C105" s="16" t="s">
        <v>533</v>
      </c>
      <c r="D105" s="16" t="s">
        <v>534</v>
      </c>
      <c r="E105" s="17">
        <v>2025</v>
      </c>
      <c r="F105" s="16" t="s">
        <v>535</v>
      </c>
      <c r="G105" s="16" t="s">
        <v>35</v>
      </c>
      <c r="H105" s="16" t="s">
        <v>203</v>
      </c>
      <c r="I105" s="16" t="s">
        <v>7347</v>
      </c>
      <c r="J105" s="16" t="s">
        <v>204</v>
      </c>
    </row>
    <row r="106" spans="1:10" ht="190" x14ac:dyDescent="0.2">
      <c r="A106" s="14" t="s">
        <v>536</v>
      </c>
      <c r="B106" s="15" t="s">
        <v>48</v>
      </c>
      <c r="C106" s="14" t="s">
        <v>537</v>
      </c>
      <c r="D106" s="14" t="s">
        <v>538</v>
      </c>
      <c r="E106" s="15">
        <v>2026</v>
      </c>
      <c r="F106" s="14" t="s">
        <v>539</v>
      </c>
      <c r="G106" s="14" t="s">
        <v>7348</v>
      </c>
      <c r="H106" s="14"/>
      <c r="I106" s="14" t="s">
        <v>7349</v>
      </c>
      <c r="J106" s="14" t="s">
        <v>204</v>
      </c>
    </row>
    <row r="107" spans="1:10" ht="209" x14ac:dyDescent="0.2">
      <c r="A107" s="16" t="s">
        <v>540</v>
      </c>
      <c r="B107" s="17" t="s">
        <v>48</v>
      </c>
      <c r="C107" s="16" t="s">
        <v>541</v>
      </c>
      <c r="D107" s="16" t="s">
        <v>542</v>
      </c>
      <c r="E107" s="17">
        <v>2026</v>
      </c>
      <c r="F107" s="16" t="s">
        <v>543</v>
      </c>
      <c r="G107" s="16" t="s">
        <v>35</v>
      </c>
      <c r="H107" s="16" t="s">
        <v>148</v>
      </c>
      <c r="I107" s="16" t="s">
        <v>7350</v>
      </c>
      <c r="J107" s="16" t="s">
        <v>123</v>
      </c>
    </row>
    <row r="108" spans="1:10" ht="228" x14ac:dyDescent="0.2">
      <c r="A108" s="14" t="s">
        <v>544</v>
      </c>
      <c r="B108" s="15" t="s">
        <v>48</v>
      </c>
      <c r="C108" s="14" t="s">
        <v>545</v>
      </c>
      <c r="D108" s="14" t="s">
        <v>546</v>
      </c>
      <c r="E108" s="15">
        <v>2026</v>
      </c>
      <c r="F108" s="14" t="s">
        <v>547</v>
      </c>
      <c r="G108" s="14" t="s">
        <v>7351</v>
      </c>
      <c r="H108" s="14"/>
      <c r="I108" s="14" t="s">
        <v>7352</v>
      </c>
      <c r="J108" s="14" t="s">
        <v>65</v>
      </c>
    </row>
    <row r="109" spans="1:10" ht="152" x14ac:dyDescent="0.2">
      <c r="A109" s="18" t="s">
        <v>548</v>
      </c>
      <c r="B109" s="19" t="s">
        <v>48</v>
      </c>
      <c r="C109" s="18" t="s">
        <v>159</v>
      </c>
      <c r="D109" s="18" t="s">
        <v>160</v>
      </c>
      <c r="E109" s="19">
        <v>2026</v>
      </c>
      <c r="F109" s="18" t="s">
        <v>549</v>
      </c>
      <c r="G109" s="18" t="s">
        <v>7353</v>
      </c>
      <c r="H109" s="18" t="s">
        <v>165</v>
      </c>
      <c r="I109" s="18" t="s">
        <v>7354</v>
      </c>
      <c r="J109" s="18" t="s">
        <v>550</v>
      </c>
    </row>
    <row r="110" spans="1:10" ht="114" x14ac:dyDescent="0.2">
      <c r="A110" s="18" t="s">
        <v>551</v>
      </c>
      <c r="B110" s="19" t="s">
        <v>48</v>
      </c>
      <c r="C110" s="18" t="s">
        <v>244</v>
      </c>
      <c r="D110" s="18" t="s">
        <v>245</v>
      </c>
      <c r="E110" s="19">
        <v>2026</v>
      </c>
      <c r="F110" s="18" t="s">
        <v>552</v>
      </c>
      <c r="G110" s="18" t="s">
        <v>7355</v>
      </c>
      <c r="H110" s="18" t="s">
        <v>165</v>
      </c>
      <c r="I110" s="18" t="s">
        <v>7356</v>
      </c>
      <c r="J110" s="18" t="s">
        <v>553</v>
      </c>
    </row>
    <row r="111" spans="1:10" ht="95" x14ac:dyDescent="0.2">
      <c r="A111" s="18" t="s">
        <v>554</v>
      </c>
      <c r="B111" s="19" t="s">
        <v>48</v>
      </c>
      <c r="C111" s="18" t="s">
        <v>114</v>
      </c>
      <c r="D111" s="18" t="s">
        <v>115</v>
      </c>
      <c r="E111" s="19">
        <v>2025</v>
      </c>
      <c r="F111" s="18" t="s">
        <v>555</v>
      </c>
      <c r="G111" s="18" t="s">
        <v>7212</v>
      </c>
      <c r="H111" s="18" t="s">
        <v>165</v>
      </c>
      <c r="I111" s="18" t="s">
        <v>7357</v>
      </c>
      <c r="J111" s="18" t="s">
        <v>166</v>
      </c>
    </row>
    <row r="112" spans="1:10" ht="285" x14ac:dyDescent="0.2">
      <c r="A112" s="16" t="s">
        <v>556</v>
      </c>
      <c r="B112" s="17" t="s">
        <v>48</v>
      </c>
      <c r="C112" s="16" t="s">
        <v>557</v>
      </c>
      <c r="D112" s="16" t="s">
        <v>558</v>
      </c>
      <c r="E112" s="17">
        <v>2026</v>
      </c>
      <c r="F112" s="16" t="s">
        <v>559</v>
      </c>
      <c r="G112" s="16" t="s">
        <v>35</v>
      </c>
      <c r="H112" s="16" t="s">
        <v>185</v>
      </c>
      <c r="I112" s="16" t="s">
        <v>7358</v>
      </c>
      <c r="J112" s="16" t="s">
        <v>51</v>
      </c>
    </row>
    <row r="113" spans="1:10" ht="171" x14ac:dyDescent="0.2">
      <c r="A113" s="16" t="s">
        <v>560</v>
      </c>
      <c r="B113" s="17" t="s">
        <v>48</v>
      </c>
      <c r="C113" s="16" t="s">
        <v>561</v>
      </c>
      <c r="D113" s="16" t="s">
        <v>562</v>
      </c>
      <c r="E113" s="17">
        <v>2026</v>
      </c>
      <c r="F113" s="16" t="s">
        <v>563</v>
      </c>
      <c r="G113" s="16" t="s">
        <v>35</v>
      </c>
      <c r="H113" s="16" t="s">
        <v>148</v>
      </c>
      <c r="I113" s="16" t="s">
        <v>7359</v>
      </c>
      <c r="J113" s="16" t="s">
        <v>51</v>
      </c>
    </row>
    <row r="114" spans="1:10" ht="266" x14ac:dyDescent="0.2">
      <c r="A114" s="14" t="s">
        <v>564</v>
      </c>
      <c r="B114" s="15" t="s">
        <v>48</v>
      </c>
      <c r="C114" s="14" t="s">
        <v>565</v>
      </c>
      <c r="D114" s="14" t="s">
        <v>566</v>
      </c>
      <c r="E114" s="15">
        <v>2026</v>
      </c>
      <c r="F114" s="14" t="s">
        <v>567</v>
      </c>
      <c r="G114" s="14" t="s">
        <v>7360</v>
      </c>
      <c r="H114" s="14"/>
      <c r="I114" s="14" t="s">
        <v>7361</v>
      </c>
      <c r="J114" s="14" t="s">
        <v>123</v>
      </c>
    </row>
    <row r="115" spans="1:10" ht="247" x14ac:dyDescent="0.2">
      <c r="A115" s="16" t="s">
        <v>568</v>
      </c>
      <c r="B115" s="17" t="s">
        <v>48</v>
      </c>
      <c r="C115" s="16" t="s">
        <v>569</v>
      </c>
      <c r="D115" s="16" t="s">
        <v>570</v>
      </c>
      <c r="E115" s="17">
        <v>2024</v>
      </c>
      <c r="F115" s="16" t="s">
        <v>571</v>
      </c>
      <c r="G115" s="16" t="s">
        <v>35</v>
      </c>
      <c r="H115" s="16" t="s">
        <v>148</v>
      </c>
      <c r="I115" s="16" t="s">
        <v>7362</v>
      </c>
      <c r="J115" s="16" t="s">
        <v>123</v>
      </c>
    </row>
    <row r="116" spans="1:10" ht="190" x14ac:dyDescent="0.2">
      <c r="A116" s="14" t="s">
        <v>572</v>
      </c>
      <c r="B116" s="15" t="s">
        <v>48</v>
      </c>
      <c r="C116" s="14" t="s">
        <v>573</v>
      </c>
      <c r="D116" s="14" t="s">
        <v>574</v>
      </c>
      <c r="E116" s="15">
        <v>2026</v>
      </c>
      <c r="F116" s="14" t="s">
        <v>575</v>
      </c>
      <c r="G116" s="14" t="s">
        <v>7363</v>
      </c>
      <c r="H116" s="14"/>
      <c r="I116" s="14" t="s">
        <v>7364</v>
      </c>
      <c r="J116" s="14" t="s">
        <v>65</v>
      </c>
    </row>
    <row r="117" spans="1:10" ht="209" x14ac:dyDescent="0.2">
      <c r="A117" s="16" t="s">
        <v>576</v>
      </c>
      <c r="B117" s="17" t="s">
        <v>48</v>
      </c>
      <c r="C117" s="16" t="s">
        <v>577</v>
      </c>
      <c r="D117" s="16" t="s">
        <v>578</v>
      </c>
      <c r="E117" s="17">
        <v>2024</v>
      </c>
      <c r="F117" s="16" t="s">
        <v>579</v>
      </c>
      <c r="G117" s="16" t="s">
        <v>35</v>
      </c>
      <c r="H117" s="16" t="s">
        <v>148</v>
      </c>
      <c r="I117" s="16" t="s">
        <v>7365</v>
      </c>
      <c r="J117" s="16" t="s">
        <v>57</v>
      </c>
    </row>
    <row r="118" spans="1:10" ht="95" x14ac:dyDescent="0.2">
      <c r="A118" s="16" t="s">
        <v>580</v>
      </c>
      <c r="B118" s="17" t="s">
        <v>48</v>
      </c>
      <c r="C118" s="16" t="s">
        <v>581</v>
      </c>
      <c r="D118" s="16" t="s">
        <v>582</v>
      </c>
      <c r="E118" s="17" t="s">
        <v>583</v>
      </c>
      <c r="F118" s="16" t="s">
        <v>584</v>
      </c>
      <c r="G118" s="16" t="s">
        <v>35</v>
      </c>
      <c r="H118" s="16" t="s">
        <v>185</v>
      </c>
      <c r="I118" s="16" t="s">
        <v>7366</v>
      </c>
      <c r="J118" s="16" t="s">
        <v>186</v>
      </c>
    </row>
    <row r="119" spans="1:10" ht="209" x14ac:dyDescent="0.2">
      <c r="A119" s="14" t="s">
        <v>585</v>
      </c>
      <c r="B119" s="15" t="s">
        <v>48</v>
      </c>
      <c r="C119" s="14" t="s">
        <v>586</v>
      </c>
      <c r="D119" s="14" t="s">
        <v>587</v>
      </c>
      <c r="E119" s="15">
        <v>2026</v>
      </c>
      <c r="F119" s="14" t="s">
        <v>588</v>
      </c>
      <c r="G119" s="14" t="s">
        <v>7367</v>
      </c>
      <c r="H119" s="14"/>
      <c r="I119" s="14" t="s">
        <v>7368</v>
      </c>
      <c r="J119" s="14" t="s">
        <v>589</v>
      </c>
    </row>
    <row r="120" spans="1:10" ht="133" x14ac:dyDescent="0.2">
      <c r="A120" s="16" t="s">
        <v>590</v>
      </c>
      <c r="B120" s="17" t="s">
        <v>48</v>
      </c>
      <c r="C120" s="16" t="s">
        <v>591</v>
      </c>
      <c r="D120" s="16" t="s">
        <v>592</v>
      </c>
      <c r="E120" s="17">
        <v>2024</v>
      </c>
      <c r="F120" s="16" t="s">
        <v>593</v>
      </c>
      <c r="G120" s="16" t="s">
        <v>35</v>
      </c>
      <c r="H120" s="16" t="s">
        <v>185</v>
      </c>
      <c r="I120" s="16" t="s">
        <v>7369</v>
      </c>
      <c r="J120" s="16" t="s">
        <v>186</v>
      </c>
    </row>
    <row r="121" spans="1:10" ht="133" x14ac:dyDescent="0.2">
      <c r="A121" s="18" t="s">
        <v>594</v>
      </c>
      <c r="B121" s="19" t="s">
        <v>48</v>
      </c>
      <c r="C121" s="18" t="s">
        <v>172</v>
      </c>
      <c r="D121" s="18" t="s">
        <v>173</v>
      </c>
      <c r="E121" s="19">
        <v>2025</v>
      </c>
      <c r="F121" s="18" t="s">
        <v>595</v>
      </c>
      <c r="G121" s="18" t="s">
        <v>7370</v>
      </c>
      <c r="H121" s="18" t="s">
        <v>165</v>
      </c>
      <c r="I121" s="18" t="s">
        <v>7371</v>
      </c>
      <c r="J121" s="18" t="s">
        <v>596</v>
      </c>
    </row>
    <row r="122" spans="1:10" ht="247" x14ac:dyDescent="0.2">
      <c r="A122" s="14" t="s">
        <v>597</v>
      </c>
      <c r="B122" s="15" t="s">
        <v>48</v>
      </c>
      <c r="C122" s="14" t="s">
        <v>454</v>
      </c>
      <c r="D122" s="14" t="s">
        <v>598</v>
      </c>
      <c r="E122" s="15">
        <v>2026</v>
      </c>
      <c r="F122" s="14" t="s">
        <v>599</v>
      </c>
      <c r="G122" s="14" t="s">
        <v>7372</v>
      </c>
      <c r="H122" s="14"/>
      <c r="I122" s="14" t="s">
        <v>7373</v>
      </c>
      <c r="J122" s="14" t="s">
        <v>123</v>
      </c>
    </row>
    <row r="123" spans="1:10" ht="95" x14ac:dyDescent="0.2">
      <c r="A123" s="18" t="s">
        <v>600</v>
      </c>
      <c r="B123" s="19" t="s">
        <v>48</v>
      </c>
      <c r="C123" s="18" t="s">
        <v>95</v>
      </c>
      <c r="D123" s="18" t="s">
        <v>96</v>
      </c>
      <c r="E123" s="19">
        <v>2026</v>
      </c>
      <c r="F123" s="18" t="s">
        <v>601</v>
      </c>
      <c r="G123" s="18" t="s">
        <v>7374</v>
      </c>
      <c r="H123" s="18" t="s">
        <v>165</v>
      </c>
      <c r="I123" s="18" t="s">
        <v>7375</v>
      </c>
      <c r="J123" s="18" t="s">
        <v>602</v>
      </c>
    </row>
    <row r="124" spans="1:10" ht="171" x14ac:dyDescent="0.2">
      <c r="A124" s="16" t="s">
        <v>603</v>
      </c>
      <c r="B124" s="17" t="s">
        <v>48</v>
      </c>
      <c r="C124" s="16" t="s">
        <v>604</v>
      </c>
      <c r="D124" s="16" t="s">
        <v>605</v>
      </c>
      <c r="E124" s="17">
        <v>2026</v>
      </c>
      <c r="F124" s="16" t="s">
        <v>606</v>
      </c>
      <c r="G124" s="16" t="s">
        <v>35</v>
      </c>
      <c r="H124" s="16" t="s">
        <v>148</v>
      </c>
      <c r="I124" s="16" t="s">
        <v>7376</v>
      </c>
      <c r="J124" s="16" t="s">
        <v>123</v>
      </c>
    </row>
    <row r="125" spans="1:10" ht="171" x14ac:dyDescent="0.2">
      <c r="A125" s="16" t="s">
        <v>607</v>
      </c>
      <c r="B125" s="17" t="s">
        <v>48</v>
      </c>
      <c r="C125" s="16" t="s">
        <v>608</v>
      </c>
      <c r="D125" s="16" t="s">
        <v>609</v>
      </c>
      <c r="E125" s="17">
        <v>2026</v>
      </c>
      <c r="F125" s="16" t="s">
        <v>610</v>
      </c>
      <c r="G125" s="16" t="s">
        <v>35</v>
      </c>
      <c r="H125" s="16" t="s">
        <v>277</v>
      </c>
      <c r="I125" s="16" t="s">
        <v>7377</v>
      </c>
      <c r="J125" s="16" t="s">
        <v>186</v>
      </c>
    </row>
    <row r="126" spans="1:10" ht="209" x14ac:dyDescent="0.2">
      <c r="A126" s="14" t="s">
        <v>611</v>
      </c>
      <c r="B126" s="15" t="s">
        <v>48</v>
      </c>
      <c r="C126" s="14" t="s">
        <v>612</v>
      </c>
      <c r="D126" s="14" t="s">
        <v>613</v>
      </c>
      <c r="E126" s="15">
        <v>2026</v>
      </c>
      <c r="F126" s="14" t="s">
        <v>614</v>
      </c>
      <c r="G126" s="14" t="s">
        <v>7378</v>
      </c>
      <c r="H126" s="14"/>
      <c r="I126" s="14" t="s">
        <v>7379</v>
      </c>
      <c r="J126" s="14" t="s">
        <v>323</v>
      </c>
    </row>
    <row r="127" spans="1:10" ht="285" x14ac:dyDescent="0.2">
      <c r="A127" s="16" t="s">
        <v>615</v>
      </c>
      <c r="B127" s="17" t="s">
        <v>48</v>
      </c>
      <c r="C127" s="16" t="s">
        <v>616</v>
      </c>
      <c r="D127" s="16" t="s">
        <v>617</v>
      </c>
      <c r="E127" s="17">
        <v>2026</v>
      </c>
      <c r="F127" s="16" t="s">
        <v>618</v>
      </c>
      <c r="G127" s="16" t="s">
        <v>35</v>
      </c>
      <c r="H127" s="16" t="s">
        <v>133</v>
      </c>
      <c r="I127" s="16" t="s">
        <v>7380</v>
      </c>
      <c r="J127" s="16" t="s">
        <v>77</v>
      </c>
    </row>
    <row r="128" spans="1:10" ht="209" x14ac:dyDescent="0.2">
      <c r="A128" s="14" t="s">
        <v>619</v>
      </c>
      <c r="B128" s="15" t="s">
        <v>48</v>
      </c>
      <c r="C128" s="14" t="s">
        <v>545</v>
      </c>
      <c r="D128" s="14" t="s">
        <v>620</v>
      </c>
      <c r="E128" s="15">
        <v>2025</v>
      </c>
      <c r="F128" s="14" t="s">
        <v>621</v>
      </c>
      <c r="G128" s="14" t="s">
        <v>7381</v>
      </c>
      <c r="H128" s="14"/>
      <c r="I128" s="14" t="s">
        <v>7382</v>
      </c>
      <c r="J128" s="14" t="s">
        <v>68</v>
      </c>
    </row>
    <row r="129" spans="1:10" ht="133" x14ac:dyDescent="0.2">
      <c r="A129" s="18" t="s">
        <v>622</v>
      </c>
      <c r="B129" s="19" t="s">
        <v>48</v>
      </c>
      <c r="C129" s="18" t="s">
        <v>470</v>
      </c>
      <c r="D129" s="18" t="s">
        <v>471</v>
      </c>
      <c r="E129" s="19">
        <v>2026</v>
      </c>
      <c r="F129" s="18" t="s">
        <v>472</v>
      </c>
      <c r="G129" s="18" t="s">
        <v>7383</v>
      </c>
      <c r="H129" s="18" t="s">
        <v>165</v>
      </c>
      <c r="I129" s="18" t="s">
        <v>7384</v>
      </c>
      <c r="J129" s="18" t="s">
        <v>623</v>
      </c>
    </row>
    <row r="130" spans="1:10" ht="247" x14ac:dyDescent="0.2">
      <c r="A130" s="16" t="s">
        <v>624</v>
      </c>
      <c r="B130" s="17" t="s">
        <v>48</v>
      </c>
      <c r="C130" s="16" t="s">
        <v>625</v>
      </c>
      <c r="D130" s="16" t="s">
        <v>626</v>
      </c>
      <c r="E130" s="17">
        <v>2026</v>
      </c>
      <c r="F130" s="16" t="s">
        <v>627</v>
      </c>
      <c r="G130" s="16" t="s">
        <v>35</v>
      </c>
      <c r="H130" s="16" t="s">
        <v>185</v>
      </c>
      <c r="I130" s="16" t="s">
        <v>7385</v>
      </c>
      <c r="J130" s="16" t="s">
        <v>65</v>
      </c>
    </row>
    <row r="131" spans="1:10" ht="304" x14ac:dyDescent="0.2">
      <c r="A131" s="16" t="s">
        <v>628</v>
      </c>
      <c r="B131" s="17" t="s">
        <v>48</v>
      </c>
      <c r="C131" s="16" t="s">
        <v>629</v>
      </c>
      <c r="D131" s="16" t="s">
        <v>630</v>
      </c>
      <c r="E131" s="17">
        <v>2025</v>
      </c>
      <c r="F131" s="16" t="s">
        <v>631</v>
      </c>
      <c r="G131" s="16" t="s">
        <v>35</v>
      </c>
      <c r="H131" s="16" t="s">
        <v>138</v>
      </c>
      <c r="I131" s="16" t="s">
        <v>7386</v>
      </c>
      <c r="J131" s="16" t="s">
        <v>63</v>
      </c>
    </row>
    <row r="132" spans="1:10" ht="95" x14ac:dyDescent="0.2">
      <c r="A132" s="16" t="s">
        <v>632</v>
      </c>
      <c r="B132" s="17" t="s">
        <v>48</v>
      </c>
      <c r="C132" s="16" t="s">
        <v>633</v>
      </c>
      <c r="D132" s="16" t="s">
        <v>634</v>
      </c>
      <c r="E132" s="17">
        <v>2025</v>
      </c>
      <c r="F132" s="16" t="s">
        <v>635</v>
      </c>
      <c r="G132" s="16" t="s">
        <v>35</v>
      </c>
      <c r="H132" s="16" t="s">
        <v>185</v>
      </c>
      <c r="I132" s="16" t="s">
        <v>7387</v>
      </c>
      <c r="J132" s="16" t="s">
        <v>186</v>
      </c>
    </row>
    <row r="133" spans="1:10" ht="190" x14ac:dyDescent="0.2">
      <c r="A133" s="18" t="s">
        <v>636</v>
      </c>
      <c r="B133" s="19" t="s">
        <v>48</v>
      </c>
      <c r="C133" s="18" t="s">
        <v>249</v>
      </c>
      <c r="D133" s="18" t="s">
        <v>250</v>
      </c>
      <c r="E133" s="19">
        <v>2026</v>
      </c>
      <c r="F133" s="18" t="s">
        <v>637</v>
      </c>
      <c r="G133" s="18" t="s">
        <v>7388</v>
      </c>
      <c r="H133" s="18" t="s">
        <v>165</v>
      </c>
      <c r="I133" s="18" t="s">
        <v>7389</v>
      </c>
      <c r="J133" s="18" t="s">
        <v>638</v>
      </c>
    </row>
    <row r="134" spans="1:10" ht="76" x14ac:dyDescent="0.2">
      <c r="A134" s="16" t="s">
        <v>639</v>
      </c>
      <c r="B134" s="17" t="s">
        <v>48</v>
      </c>
      <c r="C134" s="16" t="s">
        <v>583</v>
      </c>
      <c r="D134" s="16" t="s">
        <v>640</v>
      </c>
      <c r="E134" s="17" t="s">
        <v>583</v>
      </c>
      <c r="F134" s="16" t="s">
        <v>641</v>
      </c>
      <c r="G134" s="16" t="s">
        <v>35</v>
      </c>
      <c r="H134" s="16" t="s">
        <v>185</v>
      </c>
      <c r="I134" s="16" t="s">
        <v>7390</v>
      </c>
      <c r="J134" s="16" t="s">
        <v>186</v>
      </c>
    </row>
    <row r="135" spans="1:10" ht="247" x14ac:dyDescent="0.2">
      <c r="A135" s="14" t="s">
        <v>642</v>
      </c>
      <c r="B135" s="15" t="s">
        <v>48</v>
      </c>
      <c r="C135" s="14" t="s">
        <v>643</v>
      </c>
      <c r="D135" s="14" t="s">
        <v>644</v>
      </c>
      <c r="E135" s="15">
        <v>2026</v>
      </c>
      <c r="F135" s="14" t="s">
        <v>645</v>
      </c>
      <c r="G135" s="14" t="s">
        <v>7391</v>
      </c>
      <c r="H135" s="14"/>
      <c r="I135" s="14" t="s">
        <v>7392</v>
      </c>
      <c r="J135" s="14" t="s">
        <v>60</v>
      </c>
    </row>
    <row r="136" spans="1:10" ht="323" x14ac:dyDescent="0.2">
      <c r="A136" s="16" t="s">
        <v>646</v>
      </c>
      <c r="B136" s="17" t="s">
        <v>48</v>
      </c>
      <c r="C136" s="16" t="s">
        <v>647</v>
      </c>
      <c r="D136" s="16" t="s">
        <v>648</v>
      </c>
      <c r="E136" s="17">
        <v>2026</v>
      </c>
      <c r="F136" s="16" t="s">
        <v>649</v>
      </c>
      <c r="G136" s="16" t="s">
        <v>35</v>
      </c>
      <c r="H136" s="16" t="s">
        <v>148</v>
      </c>
      <c r="I136" s="16" t="s">
        <v>7393</v>
      </c>
      <c r="J136" s="16" t="s">
        <v>57</v>
      </c>
    </row>
    <row r="137" spans="1:10" ht="266" x14ac:dyDescent="0.2">
      <c r="A137" s="16" t="s">
        <v>650</v>
      </c>
      <c r="B137" s="17" t="s">
        <v>48</v>
      </c>
      <c r="C137" s="16" t="s">
        <v>651</v>
      </c>
      <c r="D137" s="16" t="s">
        <v>652</v>
      </c>
      <c r="E137" s="17">
        <v>2026</v>
      </c>
      <c r="F137" s="16" t="s">
        <v>653</v>
      </c>
      <c r="G137" s="16" t="s">
        <v>35</v>
      </c>
      <c r="H137" s="16" t="s">
        <v>185</v>
      </c>
      <c r="I137" s="16" t="s">
        <v>7394</v>
      </c>
      <c r="J137" s="16" t="s">
        <v>654</v>
      </c>
    </row>
    <row r="138" spans="1:10" ht="209" x14ac:dyDescent="0.2">
      <c r="A138" s="16" t="s">
        <v>655</v>
      </c>
      <c r="B138" s="17" t="s">
        <v>48</v>
      </c>
      <c r="C138" s="16" t="s">
        <v>656</v>
      </c>
      <c r="D138" s="16" t="s">
        <v>657</v>
      </c>
      <c r="E138" s="17">
        <v>2026</v>
      </c>
      <c r="F138" s="16" t="s">
        <v>658</v>
      </c>
      <c r="G138" s="16" t="s">
        <v>35</v>
      </c>
      <c r="H138" s="16" t="s">
        <v>148</v>
      </c>
      <c r="I138" s="16" t="s">
        <v>7395</v>
      </c>
      <c r="J138" s="16" t="s">
        <v>68</v>
      </c>
    </row>
    <row r="139" spans="1:10" ht="152" x14ac:dyDescent="0.2">
      <c r="A139" s="18" t="s">
        <v>659</v>
      </c>
      <c r="B139" s="19" t="s">
        <v>48</v>
      </c>
      <c r="C139" s="18" t="s">
        <v>254</v>
      </c>
      <c r="D139" s="18" t="s">
        <v>255</v>
      </c>
      <c r="E139" s="19">
        <v>2026</v>
      </c>
      <c r="F139" s="18" t="s">
        <v>660</v>
      </c>
      <c r="G139" s="18" t="s">
        <v>7396</v>
      </c>
      <c r="H139" s="18" t="s">
        <v>165</v>
      </c>
      <c r="I139" s="18" t="s">
        <v>7397</v>
      </c>
      <c r="J139" s="18" t="s">
        <v>661</v>
      </c>
    </row>
    <row r="140" spans="1:10" ht="190" x14ac:dyDescent="0.2">
      <c r="A140" s="16" t="s">
        <v>662</v>
      </c>
      <c r="B140" s="17" t="s">
        <v>48</v>
      </c>
      <c r="C140" s="16" t="s">
        <v>663</v>
      </c>
      <c r="D140" s="16" t="s">
        <v>664</v>
      </c>
      <c r="E140" s="17">
        <v>2025</v>
      </c>
      <c r="F140" s="16" t="s">
        <v>665</v>
      </c>
      <c r="G140" s="16" t="s">
        <v>35</v>
      </c>
      <c r="H140" s="16" t="s">
        <v>185</v>
      </c>
      <c r="I140" s="16" t="s">
        <v>7398</v>
      </c>
      <c r="J140" s="16" t="s">
        <v>186</v>
      </c>
    </row>
    <row r="141" spans="1:10" ht="95" x14ac:dyDescent="0.2">
      <c r="A141" s="18" t="s">
        <v>666</v>
      </c>
      <c r="B141" s="19" t="s">
        <v>48</v>
      </c>
      <c r="C141" s="18" t="s">
        <v>604</v>
      </c>
      <c r="D141" s="18" t="s">
        <v>605</v>
      </c>
      <c r="E141" s="19">
        <v>2026</v>
      </c>
      <c r="F141" s="18" t="s">
        <v>667</v>
      </c>
      <c r="G141" s="18" t="s">
        <v>7399</v>
      </c>
      <c r="H141" s="18" t="s">
        <v>165</v>
      </c>
      <c r="I141" s="18" t="s">
        <v>7400</v>
      </c>
      <c r="J141" s="18" t="s">
        <v>668</v>
      </c>
    </row>
    <row r="142" spans="1:10" ht="266" x14ac:dyDescent="0.2">
      <c r="A142" s="16" t="s">
        <v>669</v>
      </c>
      <c r="B142" s="17" t="s">
        <v>48</v>
      </c>
      <c r="C142" s="16" t="s">
        <v>670</v>
      </c>
      <c r="D142" s="16" t="s">
        <v>671</v>
      </c>
      <c r="E142" s="17">
        <v>2025</v>
      </c>
      <c r="F142" s="16" t="s">
        <v>672</v>
      </c>
      <c r="G142" s="16" t="s">
        <v>35</v>
      </c>
      <c r="H142" s="16" t="s">
        <v>148</v>
      </c>
      <c r="I142" s="16" t="s">
        <v>7401</v>
      </c>
      <c r="J142" s="16" t="s">
        <v>68</v>
      </c>
    </row>
    <row r="143" spans="1:10" ht="209" x14ac:dyDescent="0.2">
      <c r="A143" s="14" t="s">
        <v>673</v>
      </c>
      <c r="B143" s="15" t="s">
        <v>48</v>
      </c>
      <c r="C143" s="14" t="s">
        <v>114</v>
      </c>
      <c r="D143" s="14" t="s">
        <v>674</v>
      </c>
      <c r="E143" s="15">
        <v>2026</v>
      </c>
      <c r="F143" s="14" t="s">
        <v>675</v>
      </c>
      <c r="G143" s="14" t="s">
        <v>7402</v>
      </c>
      <c r="H143" s="14"/>
      <c r="I143" s="14" t="s">
        <v>7403</v>
      </c>
      <c r="J143" s="14" t="s">
        <v>60</v>
      </c>
    </row>
    <row r="144" spans="1:10" ht="95" x14ac:dyDescent="0.2">
      <c r="A144" s="18" t="s">
        <v>676</v>
      </c>
      <c r="B144" s="19" t="s">
        <v>48</v>
      </c>
      <c r="C144" s="18" t="s">
        <v>236</v>
      </c>
      <c r="D144" s="18" t="s">
        <v>237</v>
      </c>
      <c r="E144" s="19">
        <v>2026</v>
      </c>
      <c r="F144" s="18" t="s">
        <v>677</v>
      </c>
      <c r="G144" s="18" t="s">
        <v>7249</v>
      </c>
      <c r="H144" s="18" t="s">
        <v>165</v>
      </c>
      <c r="I144" s="18" t="s">
        <v>7404</v>
      </c>
      <c r="J144" s="18" t="s">
        <v>266</v>
      </c>
    </row>
    <row r="145" spans="1:10" ht="152" x14ac:dyDescent="0.2">
      <c r="A145" s="16" t="s">
        <v>678</v>
      </c>
      <c r="B145" s="17" t="s">
        <v>48</v>
      </c>
      <c r="C145" s="16" t="s">
        <v>679</v>
      </c>
      <c r="D145" s="16" t="s">
        <v>680</v>
      </c>
      <c r="E145" s="17" t="s">
        <v>583</v>
      </c>
      <c r="F145" s="16" t="s">
        <v>681</v>
      </c>
      <c r="G145" s="16" t="s">
        <v>35</v>
      </c>
      <c r="H145" s="16" t="s">
        <v>148</v>
      </c>
      <c r="I145" s="16" t="s">
        <v>7405</v>
      </c>
      <c r="J145" s="16" t="s">
        <v>123</v>
      </c>
    </row>
    <row r="146" spans="1:10" ht="152" x14ac:dyDescent="0.2">
      <c r="A146" s="18" t="s">
        <v>682</v>
      </c>
      <c r="B146" s="19" t="s">
        <v>48</v>
      </c>
      <c r="C146" s="18" t="s">
        <v>159</v>
      </c>
      <c r="D146" s="18" t="s">
        <v>683</v>
      </c>
      <c r="E146" s="19">
        <v>2026</v>
      </c>
      <c r="F146" s="18" t="s">
        <v>684</v>
      </c>
      <c r="G146" s="18" t="s">
        <v>7353</v>
      </c>
      <c r="H146" s="18" t="s">
        <v>165</v>
      </c>
      <c r="I146" s="18" t="s">
        <v>7406</v>
      </c>
      <c r="J146" s="18" t="s">
        <v>550</v>
      </c>
    </row>
    <row r="147" spans="1:10" ht="152" x14ac:dyDescent="0.2">
      <c r="A147" s="16" t="s">
        <v>685</v>
      </c>
      <c r="B147" s="17" t="s">
        <v>48</v>
      </c>
      <c r="C147" s="16" t="s">
        <v>686</v>
      </c>
      <c r="D147" s="16" t="s">
        <v>687</v>
      </c>
      <c r="E147" s="17">
        <v>2024</v>
      </c>
      <c r="F147" s="16" t="s">
        <v>688</v>
      </c>
      <c r="G147" s="16" t="s">
        <v>35</v>
      </c>
      <c r="H147" s="16" t="s">
        <v>185</v>
      </c>
      <c r="I147" s="16" t="s">
        <v>7407</v>
      </c>
      <c r="J147" s="16" t="s">
        <v>186</v>
      </c>
    </row>
    <row r="148" spans="1:10" ht="209" x14ac:dyDescent="0.2">
      <c r="A148" s="14" t="s">
        <v>689</v>
      </c>
      <c r="B148" s="15" t="s">
        <v>48</v>
      </c>
      <c r="C148" s="14" t="s">
        <v>690</v>
      </c>
      <c r="D148" s="14" t="s">
        <v>691</v>
      </c>
      <c r="E148" s="15">
        <v>2026</v>
      </c>
      <c r="F148" s="14" t="s">
        <v>692</v>
      </c>
      <c r="G148" s="14" t="s">
        <v>7408</v>
      </c>
      <c r="H148" s="14"/>
      <c r="I148" s="14" t="s">
        <v>7409</v>
      </c>
      <c r="J148" s="14" t="s">
        <v>693</v>
      </c>
    </row>
    <row r="149" spans="1:10" ht="152" x14ac:dyDescent="0.2">
      <c r="A149" s="16" t="s">
        <v>694</v>
      </c>
      <c r="B149" s="17" t="s">
        <v>48</v>
      </c>
      <c r="C149" s="16" t="s">
        <v>695</v>
      </c>
      <c r="D149" s="16" t="s">
        <v>696</v>
      </c>
      <c r="E149" s="17">
        <v>2026</v>
      </c>
      <c r="F149" s="16" t="s">
        <v>697</v>
      </c>
      <c r="G149" s="16" t="s">
        <v>35</v>
      </c>
      <c r="H149" s="16" t="s">
        <v>148</v>
      </c>
      <c r="I149" s="16" t="s">
        <v>7410</v>
      </c>
      <c r="J149" s="16" t="s">
        <v>123</v>
      </c>
    </row>
    <row r="150" spans="1:10" ht="76" x14ac:dyDescent="0.2">
      <c r="A150" s="18" t="s">
        <v>698</v>
      </c>
      <c r="B150" s="19" t="s">
        <v>48</v>
      </c>
      <c r="C150" s="18" t="s">
        <v>61</v>
      </c>
      <c r="D150" s="18" t="s">
        <v>62</v>
      </c>
      <c r="E150" s="19">
        <v>2024</v>
      </c>
      <c r="F150" s="18" t="s">
        <v>699</v>
      </c>
      <c r="G150" s="18" t="s">
        <v>7411</v>
      </c>
      <c r="H150" s="18" t="s">
        <v>165</v>
      </c>
      <c r="I150" s="18" t="s">
        <v>7412</v>
      </c>
      <c r="J150" s="18" t="s">
        <v>700</v>
      </c>
    </row>
    <row r="151" spans="1:10" ht="114" x14ac:dyDescent="0.2">
      <c r="A151" s="18" t="s">
        <v>701</v>
      </c>
      <c r="B151" s="19" t="s">
        <v>48</v>
      </c>
      <c r="C151" s="18" t="s">
        <v>424</v>
      </c>
      <c r="D151" s="18" t="s">
        <v>425</v>
      </c>
      <c r="E151" s="19">
        <v>2024</v>
      </c>
      <c r="F151" s="18" t="s">
        <v>426</v>
      </c>
      <c r="G151" s="18" t="s">
        <v>7413</v>
      </c>
      <c r="H151" s="18" t="s">
        <v>165</v>
      </c>
      <c r="I151" s="18" t="s">
        <v>7414</v>
      </c>
      <c r="J151" s="18" t="s">
        <v>702</v>
      </c>
    </row>
    <row r="152" spans="1:10" ht="152" x14ac:dyDescent="0.2">
      <c r="A152" s="16" t="s">
        <v>703</v>
      </c>
      <c r="B152" s="17" t="s">
        <v>48</v>
      </c>
      <c r="C152" s="16" t="s">
        <v>704</v>
      </c>
      <c r="D152" s="16" t="s">
        <v>705</v>
      </c>
      <c r="E152" s="17">
        <v>2026</v>
      </c>
      <c r="F152" s="16" t="s">
        <v>706</v>
      </c>
      <c r="G152" s="16" t="s">
        <v>35</v>
      </c>
      <c r="H152" s="16" t="s">
        <v>271</v>
      </c>
      <c r="I152" s="16" t="s">
        <v>7415</v>
      </c>
      <c r="J152" s="16" t="s">
        <v>186</v>
      </c>
    </row>
    <row r="153" spans="1:10" ht="171" x14ac:dyDescent="0.2">
      <c r="A153" s="16" t="s">
        <v>707</v>
      </c>
      <c r="B153" s="17" t="s">
        <v>48</v>
      </c>
      <c r="C153" s="16" t="s">
        <v>708</v>
      </c>
      <c r="D153" s="16" t="s">
        <v>709</v>
      </c>
      <c r="E153" s="17">
        <v>2024</v>
      </c>
      <c r="F153" s="16" t="s">
        <v>710</v>
      </c>
      <c r="G153" s="16" t="s">
        <v>35</v>
      </c>
      <c r="H153" s="16" t="s">
        <v>185</v>
      </c>
      <c r="I153" s="16" t="s">
        <v>7416</v>
      </c>
      <c r="J153" s="16" t="s">
        <v>186</v>
      </c>
    </row>
    <row r="154" spans="1:10" ht="95" x14ac:dyDescent="0.2">
      <c r="A154" s="16" t="s">
        <v>711</v>
      </c>
      <c r="B154" s="17" t="s">
        <v>48</v>
      </c>
      <c r="C154" s="16" t="s">
        <v>712</v>
      </c>
      <c r="D154" s="16" t="s">
        <v>713</v>
      </c>
      <c r="E154" s="17">
        <v>2025</v>
      </c>
      <c r="F154" s="16" t="s">
        <v>714</v>
      </c>
      <c r="G154" s="16" t="s">
        <v>35</v>
      </c>
      <c r="H154" s="16" t="s">
        <v>185</v>
      </c>
      <c r="I154" s="16" t="s">
        <v>7417</v>
      </c>
      <c r="J154" s="16" t="s">
        <v>186</v>
      </c>
    </row>
    <row r="155" spans="1:10" ht="95" x14ac:dyDescent="0.2">
      <c r="A155" s="16" t="s">
        <v>715</v>
      </c>
      <c r="B155" s="17" t="s">
        <v>48</v>
      </c>
      <c r="C155" s="16" t="s">
        <v>716</v>
      </c>
      <c r="D155" s="16" t="s">
        <v>717</v>
      </c>
      <c r="E155" s="17">
        <v>2026</v>
      </c>
      <c r="F155" s="16" t="s">
        <v>718</v>
      </c>
      <c r="G155" s="16" t="s">
        <v>35</v>
      </c>
      <c r="H155" s="16" t="s">
        <v>271</v>
      </c>
      <c r="I155" s="16" t="s">
        <v>7418</v>
      </c>
      <c r="J155" s="16" t="s">
        <v>186</v>
      </c>
    </row>
    <row r="156" spans="1:10" ht="114" x14ac:dyDescent="0.2">
      <c r="A156" s="18" t="s">
        <v>719</v>
      </c>
      <c r="B156" s="19" t="s">
        <v>48</v>
      </c>
      <c r="C156" s="18" t="s">
        <v>268</v>
      </c>
      <c r="D156" s="18" t="s">
        <v>269</v>
      </c>
      <c r="E156" s="19">
        <v>2026</v>
      </c>
      <c r="F156" s="18" t="s">
        <v>720</v>
      </c>
      <c r="G156" s="18" t="s">
        <v>7419</v>
      </c>
      <c r="H156" s="18" t="s">
        <v>165</v>
      </c>
      <c r="I156" s="18" t="s">
        <v>7420</v>
      </c>
      <c r="J156" s="18" t="s">
        <v>721</v>
      </c>
    </row>
    <row r="157" spans="1:10" ht="76" x14ac:dyDescent="0.2">
      <c r="A157" s="16" t="s">
        <v>722</v>
      </c>
      <c r="B157" s="17" t="s">
        <v>48</v>
      </c>
      <c r="C157" s="16" t="s">
        <v>723</v>
      </c>
      <c r="D157" s="16" t="s">
        <v>724</v>
      </c>
      <c r="E157" s="17">
        <v>2024</v>
      </c>
      <c r="F157" s="16" t="s">
        <v>725</v>
      </c>
      <c r="G157" s="16" t="s">
        <v>35</v>
      </c>
      <c r="H157" s="16" t="s">
        <v>271</v>
      </c>
      <c r="I157" s="16" t="s">
        <v>7421</v>
      </c>
      <c r="J157" s="16" t="s">
        <v>186</v>
      </c>
    </row>
    <row r="158" spans="1:10" ht="76" x14ac:dyDescent="0.2">
      <c r="A158" s="18" t="s">
        <v>726</v>
      </c>
      <c r="B158" s="19" t="s">
        <v>51</v>
      </c>
      <c r="C158" s="18" t="s">
        <v>309</v>
      </c>
      <c r="D158" s="18" t="s">
        <v>310</v>
      </c>
      <c r="E158" s="19">
        <v>2025</v>
      </c>
      <c r="F158" s="18" t="s">
        <v>311</v>
      </c>
      <c r="G158" s="18" t="s">
        <v>7422</v>
      </c>
      <c r="H158" s="18" t="s">
        <v>165</v>
      </c>
      <c r="I158" s="18" t="s">
        <v>7423</v>
      </c>
      <c r="J158" s="18" t="s">
        <v>727</v>
      </c>
    </row>
    <row r="159" spans="1:10" ht="95" x14ac:dyDescent="0.2">
      <c r="A159" s="18" t="s">
        <v>728</v>
      </c>
      <c r="B159" s="19" t="s">
        <v>51</v>
      </c>
      <c r="C159" s="18" t="s">
        <v>125</v>
      </c>
      <c r="D159" s="18" t="s">
        <v>126</v>
      </c>
      <c r="E159" s="19">
        <v>2026</v>
      </c>
      <c r="F159" s="18" t="s">
        <v>729</v>
      </c>
      <c r="G159" s="18" t="s">
        <v>7232</v>
      </c>
      <c r="H159" s="18" t="s">
        <v>165</v>
      </c>
      <c r="I159" s="18" t="s">
        <v>7424</v>
      </c>
      <c r="J159" s="18" t="s">
        <v>225</v>
      </c>
    </row>
    <row r="160" spans="1:10" ht="76" x14ac:dyDescent="0.2">
      <c r="A160" s="18" t="s">
        <v>730</v>
      </c>
      <c r="B160" s="19" t="s">
        <v>51</v>
      </c>
      <c r="C160" s="18" t="s">
        <v>320</v>
      </c>
      <c r="D160" s="18" t="s">
        <v>321</v>
      </c>
      <c r="E160" s="19">
        <v>2026</v>
      </c>
      <c r="F160" s="18" t="s">
        <v>731</v>
      </c>
      <c r="G160" s="18" t="s">
        <v>7425</v>
      </c>
      <c r="H160" s="18" t="s">
        <v>165</v>
      </c>
      <c r="I160" s="18" t="s">
        <v>7426</v>
      </c>
      <c r="J160" s="18" t="s">
        <v>732</v>
      </c>
    </row>
    <row r="161" spans="1:10" ht="228" x14ac:dyDescent="0.2">
      <c r="A161" s="14" t="s">
        <v>733</v>
      </c>
      <c r="B161" s="15" t="s">
        <v>51</v>
      </c>
      <c r="C161" s="14" t="s">
        <v>734</v>
      </c>
      <c r="D161" s="14" t="s">
        <v>735</v>
      </c>
      <c r="E161" s="15">
        <v>2026</v>
      </c>
      <c r="F161" s="14" t="s">
        <v>736</v>
      </c>
      <c r="G161" s="14" t="s">
        <v>7427</v>
      </c>
      <c r="H161" s="14"/>
      <c r="I161" s="14" t="s">
        <v>7428</v>
      </c>
      <c r="J161" s="14" t="s">
        <v>123</v>
      </c>
    </row>
    <row r="162" spans="1:10" ht="76" x14ac:dyDescent="0.2">
      <c r="A162" s="18" t="s">
        <v>737</v>
      </c>
      <c r="B162" s="19" t="s">
        <v>51</v>
      </c>
      <c r="C162" s="18" t="s">
        <v>712</v>
      </c>
      <c r="D162" s="18" t="s">
        <v>713</v>
      </c>
      <c r="E162" s="19">
        <v>2025</v>
      </c>
      <c r="F162" s="18" t="s">
        <v>738</v>
      </c>
      <c r="G162" s="18" t="s">
        <v>7429</v>
      </c>
      <c r="H162" s="18" t="s">
        <v>165</v>
      </c>
      <c r="I162" s="18" t="s">
        <v>7430</v>
      </c>
      <c r="J162" s="18" t="s">
        <v>739</v>
      </c>
    </row>
    <row r="163" spans="1:10" ht="57" x14ac:dyDescent="0.2">
      <c r="A163" s="18" t="s">
        <v>740</v>
      </c>
      <c r="B163" s="19" t="s">
        <v>51</v>
      </c>
      <c r="C163" s="18" t="s">
        <v>376</v>
      </c>
      <c r="D163" s="18" t="s">
        <v>377</v>
      </c>
      <c r="E163" s="19">
        <v>2025</v>
      </c>
      <c r="F163" s="18" t="s">
        <v>741</v>
      </c>
      <c r="G163" s="18" t="s">
        <v>7431</v>
      </c>
      <c r="H163" s="18" t="s">
        <v>165</v>
      </c>
      <c r="I163" s="18" t="s">
        <v>7432</v>
      </c>
      <c r="J163" s="18" t="s">
        <v>742</v>
      </c>
    </row>
    <row r="164" spans="1:10" ht="76" x14ac:dyDescent="0.2">
      <c r="A164" s="18" t="s">
        <v>743</v>
      </c>
      <c r="B164" s="19" t="s">
        <v>51</v>
      </c>
      <c r="C164" s="18" t="s">
        <v>381</v>
      </c>
      <c r="D164" s="18" t="s">
        <v>382</v>
      </c>
      <c r="E164" s="19">
        <v>2025</v>
      </c>
      <c r="F164" s="18" t="s">
        <v>744</v>
      </c>
      <c r="G164" s="18" t="s">
        <v>7433</v>
      </c>
      <c r="H164" s="18" t="s">
        <v>165</v>
      </c>
      <c r="I164" s="18" t="s">
        <v>7434</v>
      </c>
      <c r="J164" s="18" t="s">
        <v>745</v>
      </c>
    </row>
    <row r="165" spans="1:10" ht="76" x14ac:dyDescent="0.2">
      <c r="A165" s="18" t="s">
        <v>746</v>
      </c>
      <c r="B165" s="19" t="s">
        <v>51</v>
      </c>
      <c r="C165" s="18" t="s">
        <v>231</v>
      </c>
      <c r="D165" s="18" t="s">
        <v>232</v>
      </c>
      <c r="E165" s="19">
        <v>2026</v>
      </c>
      <c r="F165" s="18" t="s">
        <v>747</v>
      </c>
      <c r="G165" s="18" t="s">
        <v>7323</v>
      </c>
      <c r="H165" s="18" t="s">
        <v>165</v>
      </c>
      <c r="I165" s="18" t="s">
        <v>7435</v>
      </c>
      <c r="J165" s="18" t="s">
        <v>468</v>
      </c>
    </row>
    <row r="166" spans="1:10" ht="57" x14ac:dyDescent="0.2">
      <c r="A166" s="18" t="s">
        <v>748</v>
      </c>
      <c r="B166" s="19" t="s">
        <v>51</v>
      </c>
      <c r="C166" s="18" t="s">
        <v>417</v>
      </c>
      <c r="D166" s="18" t="s">
        <v>418</v>
      </c>
      <c r="E166" s="19">
        <v>2026</v>
      </c>
      <c r="F166" s="18" t="s">
        <v>749</v>
      </c>
      <c r="G166" s="18" t="s">
        <v>7436</v>
      </c>
      <c r="H166" s="18" t="s">
        <v>165</v>
      </c>
      <c r="I166" s="18" t="s">
        <v>7437</v>
      </c>
      <c r="J166" s="18" t="s">
        <v>750</v>
      </c>
    </row>
    <row r="167" spans="1:10" ht="95" x14ac:dyDescent="0.2">
      <c r="A167" s="18" t="s">
        <v>751</v>
      </c>
      <c r="B167" s="19" t="s">
        <v>51</v>
      </c>
      <c r="C167" s="18" t="s">
        <v>140</v>
      </c>
      <c r="D167" s="18" t="s">
        <v>141</v>
      </c>
      <c r="E167" s="19">
        <v>2026</v>
      </c>
      <c r="F167" s="18" t="s">
        <v>752</v>
      </c>
      <c r="G167" s="18" t="s">
        <v>7310</v>
      </c>
      <c r="H167" s="18" t="s">
        <v>165</v>
      </c>
      <c r="I167" s="18" t="s">
        <v>7438</v>
      </c>
      <c r="J167" s="18" t="s">
        <v>429</v>
      </c>
    </row>
    <row r="168" spans="1:10" ht="95" x14ac:dyDescent="0.2">
      <c r="A168" s="18" t="s">
        <v>753</v>
      </c>
      <c r="B168" s="19" t="s">
        <v>51</v>
      </c>
      <c r="C168" s="18" t="s">
        <v>236</v>
      </c>
      <c r="D168" s="18" t="s">
        <v>237</v>
      </c>
      <c r="E168" s="19">
        <v>2026</v>
      </c>
      <c r="F168" s="18" t="s">
        <v>754</v>
      </c>
      <c r="G168" s="18" t="s">
        <v>7249</v>
      </c>
      <c r="H168" s="18" t="s">
        <v>165</v>
      </c>
      <c r="I168" s="18" t="s">
        <v>7439</v>
      </c>
      <c r="J168" s="18" t="s">
        <v>266</v>
      </c>
    </row>
    <row r="169" spans="1:10" ht="57" x14ac:dyDescent="0.2">
      <c r="A169" s="18" t="s">
        <v>755</v>
      </c>
      <c r="B169" s="19" t="s">
        <v>51</v>
      </c>
      <c r="C169" s="18" t="s">
        <v>470</v>
      </c>
      <c r="D169" s="18" t="s">
        <v>471</v>
      </c>
      <c r="E169" s="19">
        <v>2026</v>
      </c>
      <c r="F169" s="18" t="s">
        <v>756</v>
      </c>
      <c r="G169" s="18" t="s">
        <v>7383</v>
      </c>
      <c r="H169" s="18" t="s">
        <v>165</v>
      </c>
      <c r="I169" s="18" t="s">
        <v>7440</v>
      </c>
      <c r="J169" s="18" t="s">
        <v>623</v>
      </c>
    </row>
    <row r="170" spans="1:10" ht="57" x14ac:dyDescent="0.2">
      <c r="A170" s="18" t="s">
        <v>757</v>
      </c>
      <c r="B170" s="19" t="s">
        <v>51</v>
      </c>
      <c r="C170" s="18" t="s">
        <v>478</v>
      </c>
      <c r="D170" s="18" t="s">
        <v>479</v>
      </c>
      <c r="E170" s="19">
        <v>2026</v>
      </c>
      <c r="F170" s="18" t="s">
        <v>758</v>
      </c>
      <c r="G170" s="18" t="s">
        <v>7441</v>
      </c>
      <c r="H170" s="18" t="s">
        <v>165</v>
      </c>
      <c r="I170" s="18" t="s">
        <v>7442</v>
      </c>
      <c r="J170" s="18" t="s">
        <v>759</v>
      </c>
    </row>
    <row r="171" spans="1:10" ht="190" x14ac:dyDescent="0.2">
      <c r="A171" s="16" t="s">
        <v>760</v>
      </c>
      <c r="B171" s="17" t="s">
        <v>51</v>
      </c>
      <c r="C171" s="16" t="s">
        <v>761</v>
      </c>
      <c r="D171" s="16" t="s">
        <v>762</v>
      </c>
      <c r="E171" s="17">
        <v>2025</v>
      </c>
      <c r="F171" s="16" t="s">
        <v>763</v>
      </c>
      <c r="G171" s="16" t="s">
        <v>35</v>
      </c>
      <c r="H171" s="16" t="s">
        <v>148</v>
      </c>
      <c r="I171" s="16" t="s">
        <v>7443</v>
      </c>
      <c r="J171" s="16" t="s">
        <v>123</v>
      </c>
    </row>
    <row r="172" spans="1:10" ht="323" x14ac:dyDescent="0.2">
      <c r="A172" s="16" t="s">
        <v>764</v>
      </c>
      <c r="B172" s="17" t="s">
        <v>51</v>
      </c>
      <c r="C172" s="16" t="s">
        <v>765</v>
      </c>
      <c r="D172" s="16" t="s">
        <v>766</v>
      </c>
      <c r="E172" s="17">
        <v>2025</v>
      </c>
      <c r="F172" s="16" t="s">
        <v>767</v>
      </c>
      <c r="G172" s="16" t="s">
        <v>35</v>
      </c>
      <c r="H172" s="16" t="s">
        <v>185</v>
      </c>
      <c r="I172" s="16" t="s">
        <v>7444</v>
      </c>
      <c r="J172" s="16" t="s">
        <v>123</v>
      </c>
    </row>
    <row r="173" spans="1:10" ht="209" x14ac:dyDescent="0.2">
      <c r="A173" s="16" t="s">
        <v>768</v>
      </c>
      <c r="B173" s="17" t="s">
        <v>51</v>
      </c>
      <c r="C173" s="16" t="s">
        <v>769</v>
      </c>
      <c r="D173" s="16" t="s">
        <v>770</v>
      </c>
      <c r="E173" s="17">
        <v>2026</v>
      </c>
      <c r="F173" s="16" t="s">
        <v>771</v>
      </c>
      <c r="G173" s="16" t="s">
        <v>35</v>
      </c>
      <c r="H173" s="16" t="s">
        <v>185</v>
      </c>
      <c r="I173" s="16" t="s">
        <v>7445</v>
      </c>
      <c r="J173" s="16" t="s">
        <v>123</v>
      </c>
    </row>
    <row r="174" spans="1:10" ht="76" x14ac:dyDescent="0.2">
      <c r="A174" s="18" t="s">
        <v>772</v>
      </c>
      <c r="B174" s="19" t="s">
        <v>51</v>
      </c>
      <c r="C174" s="18" t="s">
        <v>528</v>
      </c>
      <c r="D174" s="18" t="s">
        <v>529</v>
      </c>
      <c r="E174" s="19">
        <v>2026</v>
      </c>
      <c r="F174" s="18" t="s">
        <v>773</v>
      </c>
      <c r="G174" s="18" t="s">
        <v>7446</v>
      </c>
      <c r="H174" s="18" t="s">
        <v>165</v>
      </c>
      <c r="I174" s="18" t="s">
        <v>7447</v>
      </c>
      <c r="J174" s="18" t="s">
        <v>774</v>
      </c>
    </row>
    <row r="175" spans="1:10" ht="323" x14ac:dyDescent="0.2">
      <c r="A175" s="16" t="s">
        <v>775</v>
      </c>
      <c r="B175" s="17" t="s">
        <v>51</v>
      </c>
      <c r="C175" s="16" t="s">
        <v>776</v>
      </c>
      <c r="D175" s="16" t="s">
        <v>777</v>
      </c>
      <c r="E175" s="17">
        <v>2026</v>
      </c>
      <c r="F175" s="16" t="s">
        <v>778</v>
      </c>
      <c r="G175" s="16" t="s">
        <v>35</v>
      </c>
      <c r="H175" s="16" t="s">
        <v>185</v>
      </c>
      <c r="I175" s="16" t="s">
        <v>7448</v>
      </c>
      <c r="J175" s="16" t="s">
        <v>123</v>
      </c>
    </row>
    <row r="176" spans="1:10" ht="285" x14ac:dyDescent="0.2">
      <c r="A176" s="16" t="s">
        <v>779</v>
      </c>
      <c r="B176" s="17" t="s">
        <v>51</v>
      </c>
      <c r="C176" s="16" t="s">
        <v>780</v>
      </c>
      <c r="D176" s="16" t="s">
        <v>781</v>
      </c>
      <c r="E176" s="17">
        <v>2026</v>
      </c>
      <c r="F176" s="16" t="s">
        <v>782</v>
      </c>
      <c r="G176" s="16" t="s">
        <v>35</v>
      </c>
      <c r="H176" s="16" t="s">
        <v>185</v>
      </c>
      <c r="I176" s="16" t="s">
        <v>7449</v>
      </c>
      <c r="J176" s="16" t="s">
        <v>123</v>
      </c>
    </row>
    <row r="177" spans="1:10" ht="152" x14ac:dyDescent="0.2">
      <c r="A177" s="18" t="s">
        <v>783</v>
      </c>
      <c r="B177" s="19" t="s">
        <v>51</v>
      </c>
      <c r="C177" s="18" t="s">
        <v>244</v>
      </c>
      <c r="D177" s="18" t="s">
        <v>245</v>
      </c>
      <c r="E177" s="19">
        <v>2026</v>
      </c>
      <c r="F177" s="18" t="s">
        <v>552</v>
      </c>
      <c r="G177" s="18" t="s">
        <v>7355</v>
      </c>
      <c r="H177" s="18" t="s">
        <v>165</v>
      </c>
      <c r="I177" s="18" t="s">
        <v>7450</v>
      </c>
      <c r="J177" s="18" t="s">
        <v>553</v>
      </c>
    </row>
    <row r="178" spans="1:10" ht="114" x14ac:dyDescent="0.2">
      <c r="A178" s="18" t="s">
        <v>784</v>
      </c>
      <c r="B178" s="19" t="s">
        <v>51</v>
      </c>
      <c r="C178" s="18" t="s">
        <v>557</v>
      </c>
      <c r="D178" s="18" t="s">
        <v>558</v>
      </c>
      <c r="E178" s="19">
        <v>2026</v>
      </c>
      <c r="F178" s="18" t="s">
        <v>785</v>
      </c>
      <c r="G178" s="18" t="s">
        <v>7451</v>
      </c>
      <c r="H178" s="18" t="s">
        <v>165</v>
      </c>
      <c r="I178" s="18" t="s">
        <v>7452</v>
      </c>
      <c r="J178" s="18" t="s">
        <v>786</v>
      </c>
    </row>
    <row r="179" spans="1:10" ht="114" x14ac:dyDescent="0.2">
      <c r="A179" s="18" t="s">
        <v>787</v>
      </c>
      <c r="B179" s="19" t="s">
        <v>51</v>
      </c>
      <c r="C179" s="18" t="s">
        <v>561</v>
      </c>
      <c r="D179" s="18" t="s">
        <v>562</v>
      </c>
      <c r="E179" s="19">
        <v>2026</v>
      </c>
      <c r="F179" s="18" t="s">
        <v>788</v>
      </c>
      <c r="G179" s="18" t="s">
        <v>7453</v>
      </c>
      <c r="H179" s="18" t="s">
        <v>165</v>
      </c>
      <c r="I179" s="18" t="s">
        <v>7454</v>
      </c>
      <c r="J179" s="18" t="s">
        <v>789</v>
      </c>
    </row>
    <row r="180" spans="1:10" ht="266" x14ac:dyDescent="0.2">
      <c r="A180" s="16" t="s">
        <v>790</v>
      </c>
      <c r="B180" s="17" t="s">
        <v>51</v>
      </c>
      <c r="C180" s="16" t="s">
        <v>791</v>
      </c>
      <c r="D180" s="16" t="s">
        <v>792</v>
      </c>
      <c r="E180" s="17">
        <v>2026</v>
      </c>
      <c r="F180" s="16" t="s">
        <v>793</v>
      </c>
      <c r="G180" s="16" t="s">
        <v>35</v>
      </c>
      <c r="H180" s="16" t="s">
        <v>148</v>
      </c>
      <c r="I180" s="16" t="s">
        <v>7455</v>
      </c>
      <c r="J180" s="16" t="s">
        <v>57</v>
      </c>
    </row>
    <row r="181" spans="1:10" ht="114" x14ac:dyDescent="0.2">
      <c r="A181" s="18" t="s">
        <v>794</v>
      </c>
      <c r="B181" s="19" t="s">
        <v>51</v>
      </c>
      <c r="C181" s="18" t="s">
        <v>172</v>
      </c>
      <c r="D181" s="18" t="s">
        <v>173</v>
      </c>
      <c r="E181" s="19">
        <v>2025</v>
      </c>
      <c r="F181" s="18" t="s">
        <v>795</v>
      </c>
      <c r="G181" s="18" t="s">
        <v>7370</v>
      </c>
      <c r="H181" s="18" t="s">
        <v>165</v>
      </c>
      <c r="I181" s="18" t="s">
        <v>7456</v>
      </c>
      <c r="J181" s="18" t="s">
        <v>596</v>
      </c>
    </row>
    <row r="182" spans="1:10" ht="76" x14ac:dyDescent="0.2">
      <c r="A182" s="18" t="s">
        <v>796</v>
      </c>
      <c r="B182" s="19" t="s">
        <v>51</v>
      </c>
      <c r="C182" s="18" t="s">
        <v>612</v>
      </c>
      <c r="D182" s="18" t="s">
        <v>613</v>
      </c>
      <c r="E182" s="19">
        <v>2026</v>
      </c>
      <c r="F182" s="18" t="s">
        <v>797</v>
      </c>
      <c r="G182" s="18" t="s">
        <v>7457</v>
      </c>
      <c r="H182" s="18" t="s">
        <v>165</v>
      </c>
      <c r="I182" s="18" t="s">
        <v>7458</v>
      </c>
      <c r="J182" s="18" t="s">
        <v>798</v>
      </c>
    </row>
    <row r="183" spans="1:10" ht="114" x14ac:dyDescent="0.2">
      <c r="A183" s="18" t="s">
        <v>799</v>
      </c>
      <c r="B183" s="19" t="s">
        <v>51</v>
      </c>
      <c r="C183" s="18" t="s">
        <v>470</v>
      </c>
      <c r="D183" s="18" t="s">
        <v>471</v>
      </c>
      <c r="E183" s="19">
        <v>2026</v>
      </c>
      <c r="F183" s="18" t="s">
        <v>800</v>
      </c>
      <c r="G183" s="18" t="s">
        <v>7383</v>
      </c>
      <c r="H183" s="18" t="s">
        <v>165</v>
      </c>
      <c r="I183" s="18" t="s">
        <v>7459</v>
      </c>
      <c r="J183" s="18" t="s">
        <v>623</v>
      </c>
    </row>
    <row r="184" spans="1:10" ht="95" x14ac:dyDescent="0.2">
      <c r="A184" s="18" t="s">
        <v>801</v>
      </c>
      <c r="B184" s="19" t="s">
        <v>51</v>
      </c>
      <c r="C184" s="18" t="s">
        <v>651</v>
      </c>
      <c r="D184" s="18" t="s">
        <v>652</v>
      </c>
      <c r="E184" s="19">
        <v>2026</v>
      </c>
      <c r="F184" s="18" t="s">
        <v>802</v>
      </c>
      <c r="G184" s="18" t="s">
        <v>7460</v>
      </c>
      <c r="H184" s="18" t="s">
        <v>165</v>
      </c>
      <c r="I184" s="18" t="s">
        <v>7461</v>
      </c>
      <c r="J184" s="18" t="s">
        <v>803</v>
      </c>
    </row>
    <row r="185" spans="1:10" ht="76" x14ac:dyDescent="0.2">
      <c r="A185" s="18" t="s">
        <v>804</v>
      </c>
      <c r="B185" s="19" t="s">
        <v>51</v>
      </c>
      <c r="C185" s="18" t="s">
        <v>805</v>
      </c>
      <c r="D185" s="18" t="s">
        <v>183</v>
      </c>
      <c r="E185" s="19">
        <v>2025</v>
      </c>
      <c r="F185" s="18" t="s">
        <v>806</v>
      </c>
      <c r="G185" s="18" t="s">
        <v>7462</v>
      </c>
      <c r="H185" s="18" t="s">
        <v>165</v>
      </c>
      <c r="I185" s="18" t="s">
        <v>7463</v>
      </c>
      <c r="J185" s="18" t="s">
        <v>807</v>
      </c>
    </row>
    <row r="186" spans="1:10" ht="76" x14ac:dyDescent="0.2">
      <c r="A186" s="18" t="s">
        <v>808</v>
      </c>
      <c r="B186" s="19" t="s">
        <v>51</v>
      </c>
      <c r="C186" s="18" t="s">
        <v>236</v>
      </c>
      <c r="D186" s="18" t="s">
        <v>237</v>
      </c>
      <c r="E186" s="19">
        <v>2026</v>
      </c>
      <c r="F186" s="18" t="s">
        <v>809</v>
      </c>
      <c r="G186" s="18" t="s">
        <v>7249</v>
      </c>
      <c r="H186" s="18" t="s">
        <v>165</v>
      </c>
      <c r="I186" s="18" t="s">
        <v>7464</v>
      </c>
      <c r="J186" s="18" t="s">
        <v>266</v>
      </c>
    </row>
    <row r="187" spans="1:10" ht="76" x14ac:dyDescent="0.2">
      <c r="A187" s="18" t="s">
        <v>810</v>
      </c>
      <c r="B187" s="19" t="s">
        <v>51</v>
      </c>
      <c r="C187" s="18" t="s">
        <v>690</v>
      </c>
      <c r="D187" s="18" t="s">
        <v>691</v>
      </c>
      <c r="E187" s="19">
        <v>2026</v>
      </c>
      <c r="F187" s="18" t="s">
        <v>811</v>
      </c>
      <c r="G187" s="18" t="s">
        <v>7465</v>
      </c>
      <c r="H187" s="18" t="s">
        <v>165</v>
      </c>
      <c r="I187" s="18" t="s">
        <v>7466</v>
      </c>
      <c r="J187" s="18" t="s">
        <v>812</v>
      </c>
    </row>
    <row r="188" spans="1:10" ht="209" x14ac:dyDescent="0.2">
      <c r="A188" s="16" t="s">
        <v>813</v>
      </c>
      <c r="B188" s="17" t="s">
        <v>51</v>
      </c>
      <c r="C188" s="16" t="s">
        <v>814</v>
      </c>
      <c r="D188" s="16" t="s">
        <v>815</v>
      </c>
      <c r="E188" s="17">
        <v>2024</v>
      </c>
      <c r="F188" s="16" t="s">
        <v>816</v>
      </c>
      <c r="G188" s="16" t="s">
        <v>35</v>
      </c>
      <c r="H188" s="16" t="s">
        <v>203</v>
      </c>
      <c r="I188" s="16" t="s">
        <v>7467</v>
      </c>
      <c r="J188" s="16" t="s">
        <v>123</v>
      </c>
    </row>
    <row r="189" spans="1:10" ht="247" x14ac:dyDescent="0.2">
      <c r="A189" s="16" t="s">
        <v>817</v>
      </c>
      <c r="B189" s="17" t="s">
        <v>54</v>
      </c>
      <c r="C189" s="16" t="s">
        <v>818</v>
      </c>
      <c r="D189" s="16" t="s">
        <v>819</v>
      </c>
      <c r="E189" s="17">
        <v>2025</v>
      </c>
      <c r="F189" s="16" t="s">
        <v>820</v>
      </c>
      <c r="G189" s="16" t="s">
        <v>35</v>
      </c>
      <c r="H189" s="16" t="s">
        <v>185</v>
      </c>
      <c r="I189" s="16" t="s">
        <v>7468</v>
      </c>
      <c r="J189" s="16" t="s">
        <v>123</v>
      </c>
    </row>
    <row r="190" spans="1:10" ht="152" x14ac:dyDescent="0.2">
      <c r="A190" s="16" t="s">
        <v>821</v>
      </c>
      <c r="B190" s="17" t="s">
        <v>54</v>
      </c>
      <c r="C190" s="16" t="s">
        <v>822</v>
      </c>
      <c r="D190" s="16" t="s">
        <v>823</v>
      </c>
      <c r="E190" s="17" t="s">
        <v>583</v>
      </c>
      <c r="F190" s="16" t="s">
        <v>824</v>
      </c>
      <c r="G190" s="16" t="s">
        <v>35</v>
      </c>
      <c r="H190" s="16" t="s">
        <v>271</v>
      </c>
      <c r="I190" s="16" t="s">
        <v>7469</v>
      </c>
      <c r="J190" s="16" t="s">
        <v>186</v>
      </c>
    </row>
    <row r="191" spans="1:10" ht="95" x14ac:dyDescent="0.2">
      <c r="A191" s="18" t="s">
        <v>825</v>
      </c>
      <c r="B191" s="19" t="s">
        <v>57</v>
      </c>
      <c r="C191" s="18" t="s">
        <v>125</v>
      </c>
      <c r="D191" s="18" t="s">
        <v>126</v>
      </c>
      <c r="E191" s="19">
        <v>2026</v>
      </c>
      <c r="F191" s="18" t="s">
        <v>729</v>
      </c>
      <c r="G191" s="18" t="s">
        <v>7232</v>
      </c>
      <c r="H191" s="18" t="s">
        <v>165</v>
      </c>
      <c r="I191" s="18" t="s">
        <v>7470</v>
      </c>
      <c r="J191" s="18" t="s">
        <v>225</v>
      </c>
    </row>
    <row r="192" spans="1:10" ht="114" x14ac:dyDescent="0.2">
      <c r="A192" s="18" t="s">
        <v>826</v>
      </c>
      <c r="B192" s="19" t="s">
        <v>57</v>
      </c>
      <c r="C192" s="18" t="s">
        <v>52</v>
      </c>
      <c r="D192" s="18" t="s">
        <v>53</v>
      </c>
      <c r="E192" s="19">
        <v>2025</v>
      </c>
      <c r="F192" s="18" t="s">
        <v>325</v>
      </c>
      <c r="G192" s="18" t="s">
        <v>7268</v>
      </c>
      <c r="H192" s="18" t="s">
        <v>215</v>
      </c>
      <c r="I192" s="18" t="s">
        <v>7471</v>
      </c>
      <c r="J192" s="18" t="s">
        <v>186</v>
      </c>
    </row>
    <row r="193" spans="1:10" ht="76" x14ac:dyDescent="0.2">
      <c r="A193" s="18" t="s">
        <v>827</v>
      </c>
      <c r="B193" s="19" t="s">
        <v>57</v>
      </c>
      <c r="C193" s="18" t="s">
        <v>331</v>
      </c>
      <c r="D193" s="18" t="s">
        <v>332</v>
      </c>
      <c r="E193" s="19">
        <v>2025</v>
      </c>
      <c r="F193" s="18" t="s">
        <v>828</v>
      </c>
      <c r="G193" s="18" t="s">
        <v>7472</v>
      </c>
      <c r="H193" s="18" t="s">
        <v>165</v>
      </c>
      <c r="I193" s="18" t="s">
        <v>7473</v>
      </c>
      <c r="J193" s="18" t="s">
        <v>829</v>
      </c>
    </row>
    <row r="194" spans="1:10" ht="228" x14ac:dyDescent="0.2">
      <c r="A194" s="14" t="s">
        <v>830</v>
      </c>
      <c r="B194" s="15" t="s">
        <v>57</v>
      </c>
      <c r="C194" s="14" t="s">
        <v>831</v>
      </c>
      <c r="D194" s="14" t="s">
        <v>832</v>
      </c>
      <c r="E194" s="15">
        <v>2025</v>
      </c>
      <c r="F194" s="14" t="s">
        <v>833</v>
      </c>
      <c r="G194" s="14" t="s">
        <v>7474</v>
      </c>
      <c r="H194" s="14"/>
      <c r="I194" s="14" t="s">
        <v>7475</v>
      </c>
      <c r="J194" s="14" t="s">
        <v>834</v>
      </c>
    </row>
    <row r="195" spans="1:10" ht="95" x14ac:dyDescent="0.2">
      <c r="A195" s="18" t="s">
        <v>835</v>
      </c>
      <c r="B195" s="19" t="s">
        <v>57</v>
      </c>
      <c r="C195" s="18" t="s">
        <v>95</v>
      </c>
      <c r="D195" s="18" t="s">
        <v>96</v>
      </c>
      <c r="E195" s="19">
        <v>2026</v>
      </c>
      <c r="F195" s="18" t="s">
        <v>836</v>
      </c>
      <c r="G195" s="18" t="s">
        <v>7374</v>
      </c>
      <c r="H195" s="18" t="s">
        <v>165</v>
      </c>
      <c r="I195" s="18" t="s">
        <v>7476</v>
      </c>
      <c r="J195" s="18" t="s">
        <v>602</v>
      </c>
    </row>
    <row r="196" spans="1:10" ht="76" x14ac:dyDescent="0.2">
      <c r="A196" s="18" t="s">
        <v>837</v>
      </c>
      <c r="B196" s="19" t="s">
        <v>57</v>
      </c>
      <c r="C196" s="18" t="s">
        <v>350</v>
      </c>
      <c r="D196" s="18" t="s">
        <v>351</v>
      </c>
      <c r="E196" s="19">
        <v>2024</v>
      </c>
      <c r="F196" s="18" t="s">
        <v>838</v>
      </c>
      <c r="G196" s="18" t="s">
        <v>7477</v>
      </c>
      <c r="H196" s="18" t="s">
        <v>165</v>
      </c>
      <c r="I196" s="18" t="s">
        <v>7478</v>
      </c>
      <c r="J196" s="18" t="s">
        <v>839</v>
      </c>
    </row>
    <row r="197" spans="1:10" ht="171" x14ac:dyDescent="0.2">
      <c r="A197" s="16" t="s">
        <v>840</v>
      </c>
      <c r="B197" s="17" t="s">
        <v>57</v>
      </c>
      <c r="C197" s="16" t="s">
        <v>841</v>
      </c>
      <c r="D197" s="16" t="s">
        <v>842</v>
      </c>
      <c r="E197" s="17">
        <v>2025</v>
      </c>
      <c r="F197" s="16" t="s">
        <v>843</v>
      </c>
      <c r="G197" s="16" t="s">
        <v>35</v>
      </c>
      <c r="H197" s="16" t="s">
        <v>138</v>
      </c>
      <c r="I197" s="16" t="s">
        <v>7479</v>
      </c>
      <c r="J197" s="16" t="s">
        <v>65</v>
      </c>
    </row>
    <row r="198" spans="1:10" ht="95" x14ac:dyDescent="0.2">
      <c r="A198" s="18" t="s">
        <v>844</v>
      </c>
      <c r="B198" s="19" t="s">
        <v>57</v>
      </c>
      <c r="C198" s="18" t="s">
        <v>135</v>
      </c>
      <c r="D198" s="18" t="s">
        <v>136</v>
      </c>
      <c r="E198" s="19">
        <v>2025</v>
      </c>
      <c r="F198" s="18" t="s">
        <v>845</v>
      </c>
      <c r="G198" s="18" t="s">
        <v>7480</v>
      </c>
      <c r="H198" s="18" t="s">
        <v>165</v>
      </c>
      <c r="I198" s="18" t="s">
        <v>7481</v>
      </c>
      <c r="J198" s="18" t="s">
        <v>846</v>
      </c>
    </row>
    <row r="199" spans="1:10" ht="190" x14ac:dyDescent="0.2">
      <c r="A199" s="16" t="s">
        <v>847</v>
      </c>
      <c r="B199" s="17" t="s">
        <v>57</v>
      </c>
      <c r="C199" s="16" t="s">
        <v>848</v>
      </c>
      <c r="D199" s="16" t="s">
        <v>849</v>
      </c>
      <c r="E199" s="17">
        <v>2026</v>
      </c>
      <c r="F199" s="16" t="s">
        <v>850</v>
      </c>
      <c r="G199" s="16" t="s">
        <v>35</v>
      </c>
      <c r="H199" s="16" t="s">
        <v>148</v>
      </c>
      <c r="I199" s="16" t="s">
        <v>7482</v>
      </c>
      <c r="J199" s="16" t="s">
        <v>123</v>
      </c>
    </row>
    <row r="200" spans="1:10" ht="95" x14ac:dyDescent="0.2">
      <c r="A200" s="18" t="s">
        <v>851</v>
      </c>
      <c r="B200" s="19" t="s">
        <v>57</v>
      </c>
      <c r="C200" s="18" t="s">
        <v>372</v>
      </c>
      <c r="D200" s="18" t="s">
        <v>373</v>
      </c>
      <c r="E200" s="19">
        <v>2025</v>
      </c>
      <c r="F200" s="18" t="s">
        <v>852</v>
      </c>
      <c r="G200" s="18" t="s">
        <v>7483</v>
      </c>
      <c r="H200" s="18" t="s">
        <v>165</v>
      </c>
      <c r="I200" s="18" t="s">
        <v>7484</v>
      </c>
      <c r="J200" s="18" t="s">
        <v>853</v>
      </c>
    </row>
    <row r="201" spans="1:10" ht="76" x14ac:dyDescent="0.2">
      <c r="A201" s="18" t="s">
        <v>854</v>
      </c>
      <c r="B201" s="19" t="s">
        <v>57</v>
      </c>
      <c r="C201" s="18" t="s">
        <v>376</v>
      </c>
      <c r="D201" s="18" t="s">
        <v>377</v>
      </c>
      <c r="E201" s="19">
        <v>2025</v>
      </c>
      <c r="F201" s="18" t="s">
        <v>741</v>
      </c>
      <c r="G201" s="18" t="s">
        <v>7431</v>
      </c>
      <c r="H201" s="18" t="s">
        <v>165</v>
      </c>
      <c r="I201" s="18" t="s">
        <v>7485</v>
      </c>
      <c r="J201" s="18" t="s">
        <v>742</v>
      </c>
    </row>
    <row r="202" spans="1:10" ht="76" x14ac:dyDescent="0.2">
      <c r="A202" s="18" t="s">
        <v>855</v>
      </c>
      <c r="B202" s="19" t="s">
        <v>57</v>
      </c>
      <c r="C202" s="18" t="s">
        <v>231</v>
      </c>
      <c r="D202" s="18" t="s">
        <v>232</v>
      </c>
      <c r="E202" s="19">
        <v>2026</v>
      </c>
      <c r="F202" s="18" t="s">
        <v>747</v>
      </c>
      <c r="G202" s="18" t="s">
        <v>7323</v>
      </c>
      <c r="H202" s="18" t="s">
        <v>165</v>
      </c>
      <c r="I202" s="18" t="s">
        <v>7486</v>
      </c>
      <c r="J202" s="18" t="s">
        <v>468</v>
      </c>
    </row>
    <row r="203" spans="1:10" ht="133" x14ac:dyDescent="0.2">
      <c r="A203" s="18" t="s">
        <v>856</v>
      </c>
      <c r="B203" s="19" t="s">
        <v>57</v>
      </c>
      <c r="C203" s="18" t="s">
        <v>46</v>
      </c>
      <c r="D203" s="18" t="s">
        <v>47</v>
      </c>
      <c r="E203" s="19">
        <v>2025</v>
      </c>
      <c r="F203" s="18" t="s">
        <v>857</v>
      </c>
      <c r="G203" s="18" t="s">
        <v>7293</v>
      </c>
      <c r="H203" s="18" t="s">
        <v>215</v>
      </c>
      <c r="I203" s="18" t="s">
        <v>7487</v>
      </c>
      <c r="J203" s="18" t="s">
        <v>186</v>
      </c>
    </row>
    <row r="204" spans="1:10" ht="133" x14ac:dyDescent="0.2">
      <c r="A204" s="16" t="s">
        <v>858</v>
      </c>
      <c r="B204" s="17" t="s">
        <v>57</v>
      </c>
      <c r="C204" s="16" t="s">
        <v>859</v>
      </c>
      <c r="D204" s="16" t="s">
        <v>860</v>
      </c>
      <c r="E204" s="17">
        <v>2025</v>
      </c>
      <c r="F204" s="16" t="s">
        <v>861</v>
      </c>
      <c r="G204" s="16" t="s">
        <v>35</v>
      </c>
      <c r="H204" s="16" t="s">
        <v>148</v>
      </c>
      <c r="I204" s="16" t="s">
        <v>7488</v>
      </c>
      <c r="J204" s="16" t="s">
        <v>123</v>
      </c>
    </row>
    <row r="205" spans="1:10" ht="228" x14ac:dyDescent="0.2">
      <c r="A205" s="18" t="s">
        <v>862</v>
      </c>
      <c r="B205" s="19" t="s">
        <v>57</v>
      </c>
      <c r="C205" s="18" t="s">
        <v>231</v>
      </c>
      <c r="D205" s="18" t="s">
        <v>863</v>
      </c>
      <c r="E205" s="19">
        <v>2025</v>
      </c>
      <c r="F205" s="18" t="s">
        <v>864</v>
      </c>
      <c r="G205" s="18" t="s">
        <v>7323</v>
      </c>
      <c r="H205" s="18" t="s">
        <v>165</v>
      </c>
      <c r="I205" s="18" t="s">
        <v>7489</v>
      </c>
      <c r="J205" s="18" t="s">
        <v>468</v>
      </c>
    </row>
    <row r="206" spans="1:10" ht="95" x14ac:dyDescent="0.2">
      <c r="A206" s="18" t="s">
        <v>865</v>
      </c>
      <c r="B206" s="19" t="s">
        <v>57</v>
      </c>
      <c r="C206" s="18" t="s">
        <v>424</v>
      </c>
      <c r="D206" s="18" t="s">
        <v>425</v>
      </c>
      <c r="E206" s="19">
        <v>2024</v>
      </c>
      <c r="F206" s="18" t="s">
        <v>866</v>
      </c>
      <c r="G206" s="18" t="s">
        <v>7413</v>
      </c>
      <c r="H206" s="18" t="s">
        <v>165</v>
      </c>
      <c r="I206" s="18" t="s">
        <v>7490</v>
      </c>
      <c r="J206" s="18" t="s">
        <v>702</v>
      </c>
    </row>
    <row r="207" spans="1:10" ht="95" x14ac:dyDescent="0.2">
      <c r="A207" s="18" t="s">
        <v>867</v>
      </c>
      <c r="B207" s="19" t="s">
        <v>57</v>
      </c>
      <c r="C207" s="18" t="s">
        <v>140</v>
      </c>
      <c r="D207" s="18" t="s">
        <v>141</v>
      </c>
      <c r="E207" s="19">
        <v>2026</v>
      </c>
      <c r="F207" s="18" t="s">
        <v>752</v>
      </c>
      <c r="G207" s="18" t="s">
        <v>7310</v>
      </c>
      <c r="H207" s="18" t="s">
        <v>165</v>
      </c>
      <c r="I207" s="18" t="s">
        <v>7491</v>
      </c>
      <c r="J207" s="18" t="s">
        <v>429</v>
      </c>
    </row>
    <row r="208" spans="1:10" ht="76" x14ac:dyDescent="0.2">
      <c r="A208" s="18" t="s">
        <v>868</v>
      </c>
      <c r="B208" s="19" t="s">
        <v>57</v>
      </c>
      <c r="C208" s="18" t="s">
        <v>441</v>
      </c>
      <c r="D208" s="18" t="s">
        <v>442</v>
      </c>
      <c r="E208" s="19">
        <v>2025</v>
      </c>
      <c r="F208" s="18" t="s">
        <v>869</v>
      </c>
      <c r="G208" s="18" t="s">
        <v>7492</v>
      </c>
      <c r="H208" s="18" t="s">
        <v>165</v>
      </c>
      <c r="I208" s="18" t="s">
        <v>7493</v>
      </c>
      <c r="J208" s="18" t="s">
        <v>870</v>
      </c>
    </row>
    <row r="209" spans="1:10" ht="247" x14ac:dyDescent="0.2">
      <c r="A209" s="16" t="s">
        <v>871</v>
      </c>
      <c r="B209" s="17" t="s">
        <v>57</v>
      </c>
      <c r="C209" s="16" t="s">
        <v>872</v>
      </c>
      <c r="D209" s="16" t="s">
        <v>873</v>
      </c>
      <c r="E209" s="17">
        <v>2025</v>
      </c>
      <c r="F209" s="16" t="s">
        <v>874</v>
      </c>
      <c r="G209" s="16" t="s">
        <v>35</v>
      </c>
      <c r="H209" s="16" t="s">
        <v>185</v>
      </c>
      <c r="I209" s="16" t="s">
        <v>7494</v>
      </c>
      <c r="J209" s="16" t="s">
        <v>123</v>
      </c>
    </row>
    <row r="210" spans="1:10" ht="209" x14ac:dyDescent="0.2">
      <c r="A210" s="16" t="s">
        <v>875</v>
      </c>
      <c r="B210" s="17" t="s">
        <v>57</v>
      </c>
      <c r="C210" s="16" t="s">
        <v>876</v>
      </c>
      <c r="D210" s="16" t="s">
        <v>877</v>
      </c>
      <c r="E210" s="17">
        <v>2025</v>
      </c>
      <c r="F210" s="16" t="s">
        <v>878</v>
      </c>
      <c r="G210" s="16" t="s">
        <v>35</v>
      </c>
      <c r="H210" s="16" t="s">
        <v>148</v>
      </c>
      <c r="I210" s="16" t="s">
        <v>7495</v>
      </c>
      <c r="J210" s="16" t="s">
        <v>123</v>
      </c>
    </row>
    <row r="211" spans="1:10" ht="209" x14ac:dyDescent="0.2">
      <c r="A211" s="16" t="s">
        <v>879</v>
      </c>
      <c r="B211" s="17" t="s">
        <v>57</v>
      </c>
      <c r="C211" s="16" t="s">
        <v>880</v>
      </c>
      <c r="D211" s="16" t="s">
        <v>881</v>
      </c>
      <c r="E211" s="17">
        <v>2025</v>
      </c>
      <c r="F211" s="16" t="s">
        <v>882</v>
      </c>
      <c r="G211" s="16" t="s">
        <v>35</v>
      </c>
      <c r="H211" s="16" t="s">
        <v>148</v>
      </c>
      <c r="I211" s="16" t="s">
        <v>7496</v>
      </c>
      <c r="J211" s="16" t="s">
        <v>123</v>
      </c>
    </row>
    <row r="212" spans="1:10" ht="95" x14ac:dyDescent="0.2">
      <c r="A212" s="18" t="s">
        <v>883</v>
      </c>
      <c r="B212" s="19" t="s">
        <v>57</v>
      </c>
      <c r="C212" s="18" t="s">
        <v>492</v>
      </c>
      <c r="D212" s="18" t="s">
        <v>493</v>
      </c>
      <c r="E212" s="19">
        <v>2026</v>
      </c>
      <c r="F212" s="18" t="s">
        <v>884</v>
      </c>
      <c r="G212" s="18" t="s">
        <v>7497</v>
      </c>
      <c r="H212" s="18" t="s">
        <v>165</v>
      </c>
      <c r="I212" s="18" t="s">
        <v>7498</v>
      </c>
      <c r="J212" s="18" t="s">
        <v>885</v>
      </c>
    </row>
    <row r="213" spans="1:10" ht="76" x14ac:dyDescent="0.2">
      <c r="A213" s="18" t="s">
        <v>886</v>
      </c>
      <c r="B213" s="19" t="s">
        <v>57</v>
      </c>
      <c r="C213" s="18" t="s">
        <v>496</v>
      </c>
      <c r="D213" s="18" t="s">
        <v>497</v>
      </c>
      <c r="E213" s="19">
        <v>2026</v>
      </c>
      <c r="F213" s="18" t="s">
        <v>887</v>
      </c>
      <c r="G213" s="18" t="s">
        <v>7499</v>
      </c>
      <c r="H213" s="18" t="s">
        <v>165</v>
      </c>
      <c r="I213" s="18" t="s">
        <v>7500</v>
      </c>
      <c r="J213" s="18" t="s">
        <v>888</v>
      </c>
    </row>
    <row r="214" spans="1:10" ht="171" x14ac:dyDescent="0.2">
      <c r="A214" s="16" t="s">
        <v>889</v>
      </c>
      <c r="B214" s="17" t="s">
        <v>57</v>
      </c>
      <c r="C214" s="16" t="s">
        <v>890</v>
      </c>
      <c r="D214" s="16" t="s">
        <v>891</v>
      </c>
      <c r="E214" s="17">
        <v>2025</v>
      </c>
      <c r="F214" s="16" t="s">
        <v>892</v>
      </c>
      <c r="G214" s="16" t="s">
        <v>35</v>
      </c>
      <c r="H214" s="16" t="s">
        <v>122</v>
      </c>
      <c r="I214" s="16" t="s">
        <v>7501</v>
      </c>
      <c r="J214" s="16" t="s">
        <v>123</v>
      </c>
    </row>
    <row r="215" spans="1:10" ht="95" x14ac:dyDescent="0.2">
      <c r="A215" s="18" t="s">
        <v>893</v>
      </c>
      <c r="B215" s="19" t="s">
        <v>57</v>
      </c>
      <c r="C215" s="18" t="s">
        <v>150</v>
      </c>
      <c r="D215" s="18" t="s">
        <v>151</v>
      </c>
      <c r="E215" s="19">
        <v>2026</v>
      </c>
      <c r="F215" s="18" t="s">
        <v>894</v>
      </c>
      <c r="G215" s="18" t="s">
        <v>7502</v>
      </c>
      <c r="H215" s="18" t="s">
        <v>165</v>
      </c>
      <c r="I215" s="18" t="s">
        <v>7503</v>
      </c>
      <c r="J215" s="18" t="s">
        <v>895</v>
      </c>
    </row>
    <row r="216" spans="1:10" ht="76" x14ac:dyDescent="0.2">
      <c r="A216" s="18" t="s">
        <v>896</v>
      </c>
      <c r="B216" s="19" t="s">
        <v>57</v>
      </c>
      <c r="C216" s="18" t="s">
        <v>528</v>
      </c>
      <c r="D216" s="18" t="s">
        <v>529</v>
      </c>
      <c r="E216" s="19">
        <v>2026</v>
      </c>
      <c r="F216" s="18" t="s">
        <v>897</v>
      </c>
      <c r="G216" s="18" t="s">
        <v>7446</v>
      </c>
      <c r="H216" s="18" t="s">
        <v>165</v>
      </c>
      <c r="I216" s="18" t="s">
        <v>7504</v>
      </c>
      <c r="J216" s="18" t="s">
        <v>774</v>
      </c>
    </row>
    <row r="217" spans="1:10" ht="247" x14ac:dyDescent="0.2">
      <c r="A217" s="14" t="s">
        <v>898</v>
      </c>
      <c r="B217" s="15" t="s">
        <v>57</v>
      </c>
      <c r="C217" s="14" t="s">
        <v>899</v>
      </c>
      <c r="D217" s="14" t="s">
        <v>900</v>
      </c>
      <c r="E217" s="15">
        <v>2026</v>
      </c>
      <c r="F217" s="14" t="s">
        <v>901</v>
      </c>
      <c r="G217" s="14" t="s">
        <v>7505</v>
      </c>
      <c r="H217" s="14"/>
      <c r="I217" s="14" t="s">
        <v>7506</v>
      </c>
      <c r="J217" s="14" t="s">
        <v>65</v>
      </c>
    </row>
    <row r="218" spans="1:10" ht="76" x14ac:dyDescent="0.2">
      <c r="A218" s="18" t="s">
        <v>902</v>
      </c>
      <c r="B218" s="19" t="s">
        <v>57</v>
      </c>
      <c r="C218" s="18" t="s">
        <v>533</v>
      </c>
      <c r="D218" s="18" t="s">
        <v>534</v>
      </c>
      <c r="E218" s="19">
        <v>2025</v>
      </c>
      <c r="F218" s="18" t="s">
        <v>903</v>
      </c>
      <c r="G218" s="18" t="s">
        <v>7507</v>
      </c>
      <c r="H218" s="18" t="s">
        <v>165</v>
      </c>
      <c r="I218" s="18" t="s">
        <v>7508</v>
      </c>
      <c r="J218" s="18" t="s">
        <v>904</v>
      </c>
    </row>
    <row r="219" spans="1:10" ht="76" x14ac:dyDescent="0.2">
      <c r="A219" s="18" t="s">
        <v>905</v>
      </c>
      <c r="B219" s="19" t="s">
        <v>57</v>
      </c>
      <c r="C219" s="18" t="s">
        <v>537</v>
      </c>
      <c r="D219" s="18" t="s">
        <v>538</v>
      </c>
      <c r="E219" s="19">
        <v>2026</v>
      </c>
      <c r="F219" s="18" t="s">
        <v>906</v>
      </c>
      <c r="G219" s="18" t="s">
        <v>7509</v>
      </c>
      <c r="H219" s="18" t="s">
        <v>165</v>
      </c>
      <c r="I219" s="18" t="s">
        <v>7510</v>
      </c>
      <c r="J219" s="18" t="s">
        <v>907</v>
      </c>
    </row>
    <row r="220" spans="1:10" ht="171" x14ac:dyDescent="0.2">
      <c r="A220" s="18" t="s">
        <v>908</v>
      </c>
      <c r="B220" s="19" t="s">
        <v>57</v>
      </c>
      <c r="C220" s="18" t="s">
        <v>909</v>
      </c>
      <c r="D220" s="18" t="s">
        <v>910</v>
      </c>
      <c r="E220" s="19">
        <v>2026</v>
      </c>
      <c r="F220" s="18" t="s">
        <v>911</v>
      </c>
      <c r="G220" s="18" t="s">
        <v>7511</v>
      </c>
      <c r="H220" s="18" t="s">
        <v>165</v>
      </c>
      <c r="I220" s="18" t="s">
        <v>7512</v>
      </c>
      <c r="J220" s="18" t="s">
        <v>912</v>
      </c>
    </row>
    <row r="221" spans="1:10" ht="152" x14ac:dyDescent="0.2">
      <c r="A221" s="16" t="s">
        <v>913</v>
      </c>
      <c r="B221" s="17" t="s">
        <v>57</v>
      </c>
      <c r="C221" s="16" t="s">
        <v>914</v>
      </c>
      <c r="D221" s="16" t="s">
        <v>915</v>
      </c>
      <c r="E221" s="17">
        <v>2025</v>
      </c>
      <c r="F221" s="16" t="s">
        <v>916</v>
      </c>
      <c r="G221" s="16" t="s">
        <v>35</v>
      </c>
      <c r="H221" s="16" t="s">
        <v>122</v>
      </c>
      <c r="I221" s="16" t="s">
        <v>7513</v>
      </c>
      <c r="J221" s="16" t="s">
        <v>123</v>
      </c>
    </row>
    <row r="222" spans="1:10" ht="76" x14ac:dyDescent="0.2">
      <c r="A222" s="18" t="s">
        <v>917</v>
      </c>
      <c r="B222" s="19" t="s">
        <v>57</v>
      </c>
      <c r="C222" s="18" t="s">
        <v>791</v>
      </c>
      <c r="D222" s="18" t="s">
        <v>792</v>
      </c>
      <c r="E222" s="19">
        <v>2026</v>
      </c>
      <c r="F222" s="18" t="s">
        <v>918</v>
      </c>
      <c r="G222" s="18" t="s">
        <v>7514</v>
      </c>
      <c r="H222" s="18" t="s">
        <v>165</v>
      </c>
      <c r="I222" s="18" t="s">
        <v>7515</v>
      </c>
      <c r="J222" s="18" t="s">
        <v>919</v>
      </c>
    </row>
    <row r="223" spans="1:10" ht="95" x14ac:dyDescent="0.2">
      <c r="A223" s="18" t="s">
        <v>920</v>
      </c>
      <c r="B223" s="19" t="s">
        <v>57</v>
      </c>
      <c r="C223" s="18" t="s">
        <v>577</v>
      </c>
      <c r="D223" s="18" t="s">
        <v>578</v>
      </c>
      <c r="E223" s="19">
        <v>2024</v>
      </c>
      <c r="F223" s="18" t="s">
        <v>921</v>
      </c>
      <c r="G223" s="18" t="s">
        <v>7516</v>
      </c>
      <c r="H223" s="18" t="s">
        <v>165</v>
      </c>
      <c r="I223" s="18" t="s">
        <v>7517</v>
      </c>
      <c r="J223" s="18" t="s">
        <v>922</v>
      </c>
    </row>
    <row r="224" spans="1:10" ht="57" x14ac:dyDescent="0.2">
      <c r="A224" s="18" t="s">
        <v>923</v>
      </c>
      <c r="B224" s="19" t="s">
        <v>57</v>
      </c>
      <c r="C224" s="18" t="s">
        <v>581</v>
      </c>
      <c r="D224" s="18" t="s">
        <v>582</v>
      </c>
      <c r="E224" s="19" t="s">
        <v>583</v>
      </c>
      <c r="F224" s="18" t="s">
        <v>924</v>
      </c>
      <c r="G224" s="18" t="s">
        <v>7518</v>
      </c>
      <c r="H224" s="18" t="s">
        <v>165</v>
      </c>
      <c r="I224" s="18" t="s">
        <v>7519</v>
      </c>
      <c r="J224" s="18" t="s">
        <v>925</v>
      </c>
    </row>
    <row r="225" spans="1:10" ht="209" x14ac:dyDescent="0.2">
      <c r="A225" s="14" t="s">
        <v>926</v>
      </c>
      <c r="B225" s="15" t="s">
        <v>57</v>
      </c>
      <c r="C225" s="14" t="s">
        <v>927</v>
      </c>
      <c r="D225" s="14" t="s">
        <v>928</v>
      </c>
      <c r="E225" s="15">
        <v>2026</v>
      </c>
      <c r="F225" s="14" t="s">
        <v>929</v>
      </c>
      <c r="G225" s="14" t="s">
        <v>7520</v>
      </c>
      <c r="H225" s="14"/>
      <c r="I225" s="14" t="s">
        <v>7521</v>
      </c>
      <c r="J225" s="14" t="s">
        <v>100</v>
      </c>
    </row>
    <row r="226" spans="1:10" ht="171" x14ac:dyDescent="0.2">
      <c r="A226" s="16" t="s">
        <v>930</v>
      </c>
      <c r="B226" s="17" t="s">
        <v>57</v>
      </c>
      <c r="C226" s="16" t="s">
        <v>931</v>
      </c>
      <c r="D226" s="16" t="s">
        <v>932</v>
      </c>
      <c r="E226" s="17">
        <v>2026</v>
      </c>
      <c r="F226" s="16" t="s">
        <v>933</v>
      </c>
      <c r="G226" s="16" t="s">
        <v>35</v>
      </c>
      <c r="H226" s="16" t="s">
        <v>277</v>
      </c>
      <c r="I226" s="16" t="s">
        <v>7522</v>
      </c>
      <c r="J226" s="16" t="s">
        <v>186</v>
      </c>
    </row>
    <row r="227" spans="1:10" ht="114" x14ac:dyDescent="0.2">
      <c r="A227" s="18" t="s">
        <v>934</v>
      </c>
      <c r="B227" s="19" t="s">
        <v>57</v>
      </c>
      <c r="C227" s="18" t="s">
        <v>95</v>
      </c>
      <c r="D227" s="18" t="s">
        <v>96</v>
      </c>
      <c r="E227" s="19">
        <v>2026</v>
      </c>
      <c r="F227" s="18" t="s">
        <v>935</v>
      </c>
      <c r="G227" s="18" t="s">
        <v>7374</v>
      </c>
      <c r="H227" s="18" t="s">
        <v>165</v>
      </c>
      <c r="I227" s="18" t="s">
        <v>7523</v>
      </c>
      <c r="J227" s="18" t="s">
        <v>602</v>
      </c>
    </row>
    <row r="228" spans="1:10" ht="190" x14ac:dyDescent="0.2">
      <c r="A228" s="16" t="s">
        <v>936</v>
      </c>
      <c r="B228" s="17" t="s">
        <v>57</v>
      </c>
      <c r="C228" s="16" t="s">
        <v>937</v>
      </c>
      <c r="D228" s="16" t="s">
        <v>938</v>
      </c>
      <c r="E228" s="17">
        <v>2026</v>
      </c>
      <c r="F228" s="16" t="s">
        <v>939</v>
      </c>
      <c r="G228" s="16" t="s">
        <v>35</v>
      </c>
      <c r="H228" s="16" t="s">
        <v>148</v>
      </c>
      <c r="I228" s="16" t="s">
        <v>7524</v>
      </c>
      <c r="J228" s="16" t="s">
        <v>186</v>
      </c>
    </row>
    <row r="229" spans="1:10" ht="133" x14ac:dyDescent="0.2">
      <c r="A229" s="16" t="s">
        <v>940</v>
      </c>
      <c r="B229" s="17" t="s">
        <v>57</v>
      </c>
      <c r="C229" s="16" t="s">
        <v>941</v>
      </c>
      <c r="D229" s="16" t="s">
        <v>942</v>
      </c>
      <c r="E229" s="17">
        <v>2025</v>
      </c>
      <c r="F229" s="16" t="s">
        <v>943</v>
      </c>
      <c r="G229" s="16" t="s">
        <v>35</v>
      </c>
      <c r="H229" s="16" t="s">
        <v>185</v>
      </c>
      <c r="I229" s="16" t="s">
        <v>7525</v>
      </c>
      <c r="J229" s="16" t="s">
        <v>186</v>
      </c>
    </row>
    <row r="230" spans="1:10" ht="95" x14ac:dyDescent="0.2">
      <c r="A230" s="16" t="s">
        <v>944</v>
      </c>
      <c r="B230" s="17" t="s">
        <v>57</v>
      </c>
      <c r="C230" s="16" t="s">
        <v>945</v>
      </c>
      <c r="D230" s="16" t="s">
        <v>946</v>
      </c>
      <c r="E230" s="17">
        <v>2026</v>
      </c>
      <c r="F230" s="16" t="s">
        <v>947</v>
      </c>
      <c r="G230" s="16" t="s">
        <v>35</v>
      </c>
      <c r="H230" s="16" t="s">
        <v>185</v>
      </c>
      <c r="I230" s="16" t="s">
        <v>7526</v>
      </c>
      <c r="J230" s="16" t="s">
        <v>186</v>
      </c>
    </row>
    <row r="231" spans="1:10" ht="209" x14ac:dyDescent="0.2">
      <c r="A231" s="16" t="s">
        <v>948</v>
      </c>
      <c r="B231" s="17" t="s">
        <v>57</v>
      </c>
      <c r="C231" s="16" t="s">
        <v>949</v>
      </c>
      <c r="D231" s="16" t="s">
        <v>950</v>
      </c>
      <c r="E231" s="17">
        <v>2026</v>
      </c>
      <c r="F231" s="16" t="s">
        <v>951</v>
      </c>
      <c r="G231" s="16" t="s">
        <v>35</v>
      </c>
      <c r="H231" s="16" t="s">
        <v>138</v>
      </c>
      <c r="I231" s="16" t="s">
        <v>7527</v>
      </c>
      <c r="J231" s="16" t="s">
        <v>123</v>
      </c>
    </row>
    <row r="232" spans="1:10" ht="76" x14ac:dyDescent="0.2">
      <c r="A232" s="18" t="s">
        <v>952</v>
      </c>
      <c r="B232" s="19" t="s">
        <v>57</v>
      </c>
      <c r="C232" s="18" t="s">
        <v>583</v>
      </c>
      <c r="D232" s="18" t="s">
        <v>640</v>
      </c>
      <c r="E232" s="19" t="s">
        <v>583</v>
      </c>
      <c r="F232" s="18" t="s">
        <v>953</v>
      </c>
      <c r="G232" s="18" t="s">
        <v>7528</v>
      </c>
      <c r="H232" s="18" t="s">
        <v>165</v>
      </c>
      <c r="I232" s="18" t="s">
        <v>7529</v>
      </c>
      <c r="J232" s="18" t="s">
        <v>954</v>
      </c>
    </row>
    <row r="233" spans="1:10" ht="171" x14ac:dyDescent="0.2">
      <c r="A233" s="16" t="s">
        <v>955</v>
      </c>
      <c r="B233" s="17" t="s">
        <v>57</v>
      </c>
      <c r="C233" s="16" t="s">
        <v>956</v>
      </c>
      <c r="D233" s="16" t="s">
        <v>957</v>
      </c>
      <c r="E233" s="17">
        <v>2025</v>
      </c>
      <c r="F233" s="16" t="s">
        <v>958</v>
      </c>
      <c r="G233" s="16" t="s">
        <v>35</v>
      </c>
      <c r="H233" s="16" t="s">
        <v>185</v>
      </c>
      <c r="I233" s="16" t="s">
        <v>7530</v>
      </c>
      <c r="J233" s="16" t="s">
        <v>186</v>
      </c>
    </row>
    <row r="234" spans="1:10" ht="114" x14ac:dyDescent="0.2">
      <c r="A234" s="18" t="s">
        <v>959</v>
      </c>
      <c r="B234" s="19" t="s">
        <v>57</v>
      </c>
      <c r="C234" s="18" t="s">
        <v>647</v>
      </c>
      <c r="D234" s="18" t="s">
        <v>648</v>
      </c>
      <c r="E234" s="19">
        <v>2026</v>
      </c>
      <c r="F234" s="18" t="s">
        <v>960</v>
      </c>
      <c r="G234" s="18" t="s">
        <v>7531</v>
      </c>
      <c r="H234" s="18" t="s">
        <v>165</v>
      </c>
      <c r="I234" s="18" t="s">
        <v>7532</v>
      </c>
      <c r="J234" s="18" t="s">
        <v>961</v>
      </c>
    </row>
    <row r="235" spans="1:10" ht="76" x14ac:dyDescent="0.2">
      <c r="A235" s="18" t="s">
        <v>962</v>
      </c>
      <c r="B235" s="19" t="s">
        <v>57</v>
      </c>
      <c r="C235" s="18" t="s">
        <v>177</v>
      </c>
      <c r="D235" s="18" t="s">
        <v>178</v>
      </c>
      <c r="E235" s="19">
        <v>2025</v>
      </c>
      <c r="F235" s="18" t="s">
        <v>963</v>
      </c>
      <c r="G235" s="18" t="s">
        <v>7533</v>
      </c>
      <c r="H235" s="18" t="s">
        <v>165</v>
      </c>
      <c r="I235" s="18" t="s">
        <v>7534</v>
      </c>
      <c r="J235" s="18" t="s">
        <v>964</v>
      </c>
    </row>
    <row r="236" spans="1:10" ht="76" x14ac:dyDescent="0.2">
      <c r="A236" s="18" t="s">
        <v>965</v>
      </c>
      <c r="B236" s="19" t="s">
        <v>57</v>
      </c>
      <c r="C236" s="18" t="s">
        <v>182</v>
      </c>
      <c r="D236" s="18" t="s">
        <v>183</v>
      </c>
      <c r="E236" s="19">
        <v>2025</v>
      </c>
      <c r="F236" s="18" t="s">
        <v>806</v>
      </c>
      <c r="G236" s="18" t="s">
        <v>7462</v>
      </c>
      <c r="H236" s="18" t="s">
        <v>165</v>
      </c>
      <c r="I236" s="18" t="s">
        <v>7535</v>
      </c>
      <c r="J236" s="18" t="s">
        <v>807</v>
      </c>
    </row>
    <row r="237" spans="1:10" ht="152" x14ac:dyDescent="0.2">
      <c r="A237" s="16" t="s">
        <v>966</v>
      </c>
      <c r="B237" s="17" t="s">
        <v>57</v>
      </c>
      <c r="C237" s="16" t="s">
        <v>967</v>
      </c>
      <c r="D237" s="16" t="s">
        <v>968</v>
      </c>
      <c r="E237" s="17">
        <v>2024</v>
      </c>
      <c r="F237" s="16" t="s">
        <v>969</v>
      </c>
      <c r="G237" s="16" t="s">
        <v>35</v>
      </c>
      <c r="H237" s="16" t="s">
        <v>138</v>
      </c>
      <c r="I237" s="16" t="s">
        <v>7536</v>
      </c>
      <c r="J237" s="16" t="s">
        <v>186</v>
      </c>
    </row>
    <row r="238" spans="1:10" ht="95" x14ac:dyDescent="0.2">
      <c r="A238" s="18" t="s">
        <v>970</v>
      </c>
      <c r="B238" s="19" t="s">
        <v>57</v>
      </c>
      <c r="C238" s="18" t="s">
        <v>200</v>
      </c>
      <c r="D238" s="18" t="s">
        <v>201</v>
      </c>
      <c r="E238" s="19">
        <v>2024</v>
      </c>
      <c r="F238" s="18" t="s">
        <v>971</v>
      </c>
      <c r="G238" s="18" t="s">
        <v>7537</v>
      </c>
      <c r="H238" s="18" t="s">
        <v>165</v>
      </c>
      <c r="I238" s="18" t="s">
        <v>7538</v>
      </c>
      <c r="J238" s="18" t="s">
        <v>972</v>
      </c>
    </row>
    <row r="239" spans="1:10" ht="76" x14ac:dyDescent="0.2">
      <c r="A239" s="18" t="s">
        <v>973</v>
      </c>
      <c r="B239" s="19" t="s">
        <v>57</v>
      </c>
      <c r="C239" s="18" t="s">
        <v>191</v>
      </c>
      <c r="D239" s="18" t="s">
        <v>192</v>
      </c>
      <c r="E239" s="19">
        <v>2025</v>
      </c>
      <c r="F239" s="18" t="s">
        <v>974</v>
      </c>
      <c r="G239" s="18" t="s">
        <v>7247</v>
      </c>
      <c r="H239" s="18" t="s">
        <v>165</v>
      </c>
      <c r="I239" s="18" t="s">
        <v>7539</v>
      </c>
      <c r="J239" s="18" t="s">
        <v>263</v>
      </c>
    </row>
    <row r="240" spans="1:10" ht="133" x14ac:dyDescent="0.2">
      <c r="A240" s="16" t="s">
        <v>975</v>
      </c>
      <c r="B240" s="17" t="s">
        <v>57</v>
      </c>
      <c r="C240" s="16" t="s">
        <v>976</v>
      </c>
      <c r="D240" s="16" t="s">
        <v>977</v>
      </c>
      <c r="E240" s="17">
        <v>2024</v>
      </c>
      <c r="F240" s="16" t="s">
        <v>978</v>
      </c>
      <c r="G240" s="16" t="s">
        <v>35</v>
      </c>
      <c r="H240" s="16" t="s">
        <v>185</v>
      </c>
      <c r="I240" s="16" t="s">
        <v>7540</v>
      </c>
      <c r="J240" s="16" t="s">
        <v>186</v>
      </c>
    </row>
    <row r="241" spans="1:10" ht="95" x14ac:dyDescent="0.2">
      <c r="A241" s="18" t="s">
        <v>979</v>
      </c>
      <c r="B241" s="19" t="s">
        <v>57</v>
      </c>
      <c r="C241" s="18" t="s">
        <v>976</v>
      </c>
      <c r="D241" s="18" t="s">
        <v>977</v>
      </c>
      <c r="E241" s="19">
        <v>2024</v>
      </c>
      <c r="F241" s="18" t="s">
        <v>980</v>
      </c>
      <c r="G241" s="18" t="s">
        <v>7541</v>
      </c>
      <c r="H241" s="18" t="s">
        <v>165</v>
      </c>
      <c r="I241" s="18" t="s">
        <v>7542</v>
      </c>
      <c r="J241" s="18" t="s">
        <v>981</v>
      </c>
    </row>
    <row r="242" spans="1:10" ht="228" x14ac:dyDescent="0.2">
      <c r="A242" s="14" t="s">
        <v>982</v>
      </c>
      <c r="B242" s="15" t="s">
        <v>57</v>
      </c>
      <c r="C242" s="14" t="s">
        <v>909</v>
      </c>
      <c r="D242" s="14" t="s">
        <v>983</v>
      </c>
      <c r="E242" s="15">
        <v>2026</v>
      </c>
      <c r="F242" s="14" t="s">
        <v>984</v>
      </c>
      <c r="G242" s="14" t="s">
        <v>7543</v>
      </c>
      <c r="H242" s="14"/>
      <c r="I242" s="14" t="s">
        <v>7544</v>
      </c>
      <c r="J242" s="14" t="s">
        <v>123</v>
      </c>
    </row>
    <row r="243" spans="1:10" ht="76" x14ac:dyDescent="0.2">
      <c r="A243" s="18" t="s">
        <v>985</v>
      </c>
      <c r="B243" s="19" t="s">
        <v>57</v>
      </c>
      <c r="C243" s="18" t="s">
        <v>424</v>
      </c>
      <c r="D243" s="18" t="s">
        <v>425</v>
      </c>
      <c r="E243" s="19">
        <v>2024</v>
      </c>
      <c r="F243" s="18" t="s">
        <v>986</v>
      </c>
      <c r="G243" s="18" t="s">
        <v>7413</v>
      </c>
      <c r="H243" s="18" t="s">
        <v>165</v>
      </c>
      <c r="I243" s="18" t="s">
        <v>7545</v>
      </c>
      <c r="J243" s="18" t="s">
        <v>702</v>
      </c>
    </row>
    <row r="244" spans="1:10" ht="133" x14ac:dyDescent="0.2">
      <c r="A244" s="18" t="s">
        <v>987</v>
      </c>
      <c r="B244" s="19" t="s">
        <v>57</v>
      </c>
      <c r="C244" s="18" t="s">
        <v>708</v>
      </c>
      <c r="D244" s="18" t="s">
        <v>988</v>
      </c>
      <c r="E244" s="19">
        <v>2024</v>
      </c>
      <c r="F244" s="18" t="s">
        <v>989</v>
      </c>
      <c r="G244" s="18" t="s">
        <v>7546</v>
      </c>
      <c r="H244" s="18" t="s">
        <v>165</v>
      </c>
      <c r="I244" s="18" t="s">
        <v>7547</v>
      </c>
      <c r="J244" s="18" t="s">
        <v>990</v>
      </c>
    </row>
    <row r="245" spans="1:10" ht="76" x14ac:dyDescent="0.2">
      <c r="A245" s="18" t="s">
        <v>991</v>
      </c>
      <c r="B245" s="19" t="s">
        <v>57</v>
      </c>
      <c r="C245" s="18" t="s">
        <v>716</v>
      </c>
      <c r="D245" s="18" t="s">
        <v>717</v>
      </c>
      <c r="E245" s="19">
        <v>2026</v>
      </c>
      <c r="F245" s="18" t="s">
        <v>992</v>
      </c>
      <c r="G245" s="18" t="s">
        <v>7548</v>
      </c>
      <c r="H245" s="18" t="s">
        <v>165</v>
      </c>
      <c r="I245" s="18" t="s">
        <v>7549</v>
      </c>
      <c r="J245" s="18" t="s">
        <v>993</v>
      </c>
    </row>
    <row r="246" spans="1:10" ht="133" x14ac:dyDescent="0.2">
      <c r="A246" s="16" t="s">
        <v>994</v>
      </c>
      <c r="B246" s="17" t="s">
        <v>57</v>
      </c>
      <c r="C246" s="16" t="s">
        <v>995</v>
      </c>
      <c r="D246" s="16" t="s">
        <v>996</v>
      </c>
      <c r="E246" s="17">
        <v>2025</v>
      </c>
      <c r="F246" s="16" t="s">
        <v>997</v>
      </c>
      <c r="G246" s="16" t="s">
        <v>35</v>
      </c>
      <c r="H246" s="16" t="s">
        <v>271</v>
      </c>
      <c r="I246" s="16" t="s">
        <v>7550</v>
      </c>
      <c r="J246" s="16" t="s">
        <v>186</v>
      </c>
    </row>
    <row r="247" spans="1:10" ht="76" x14ac:dyDescent="0.2">
      <c r="A247" s="18" t="s">
        <v>998</v>
      </c>
      <c r="B247" s="19" t="s">
        <v>60</v>
      </c>
      <c r="C247" s="18" t="s">
        <v>114</v>
      </c>
      <c r="D247" s="18" t="s">
        <v>115</v>
      </c>
      <c r="E247" s="19">
        <v>2025</v>
      </c>
      <c r="F247" s="18" t="s">
        <v>999</v>
      </c>
      <c r="G247" s="18" t="s">
        <v>7212</v>
      </c>
      <c r="H247" s="18" t="s">
        <v>165</v>
      </c>
      <c r="I247" s="18" t="s">
        <v>7551</v>
      </c>
      <c r="J247" s="18" t="s">
        <v>166</v>
      </c>
    </row>
    <row r="248" spans="1:10" ht="76" x14ac:dyDescent="0.2">
      <c r="A248" s="18" t="s">
        <v>1000</v>
      </c>
      <c r="B248" s="19" t="s">
        <v>60</v>
      </c>
      <c r="C248" s="18" t="s">
        <v>309</v>
      </c>
      <c r="D248" s="18" t="s">
        <v>310</v>
      </c>
      <c r="E248" s="19">
        <v>2025</v>
      </c>
      <c r="F248" s="18" t="s">
        <v>1001</v>
      </c>
      <c r="G248" s="18" t="s">
        <v>7422</v>
      </c>
      <c r="H248" s="18" t="s">
        <v>165</v>
      </c>
      <c r="I248" s="18" t="s">
        <v>7552</v>
      </c>
      <c r="J248" s="18" t="s">
        <v>727</v>
      </c>
    </row>
    <row r="249" spans="1:10" ht="95" x14ac:dyDescent="0.2">
      <c r="A249" s="18" t="s">
        <v>1002</v>
      </c>
      <c r="B249" s="19" t="s">
        <v>60</v>
      </c>
      <c r="C249" s="18" t="s">
        <v>125</v>
      </c>
      <c r="D249" s="18" t="s">
        <v>126</v>
      </c>
      <c r="E249" s="19">
        <v>2026</v>
      </c>
      <c r="F249" s="18" t="s">
        <v>1003</v>
      </c>
      <c r="G249" s="18" t="s">
        <v>7232</v>
      </c>
      <c r="H249" s="18" t="s">
        <v>165</v>
      </c>
      <c r="I249" s="18" t="s">
        <v>7553</v>
      </c>
      <c r="J249" s="18" t="s">
        <v>225</v>
      </c>
    </row>
    <row r="250" spans="1:10" ht="171" x14ac:dyDescent="0.2">
      <c r="A250" s="16" t="s">
        <v>1004</v>
      </c>
      <c r="B250" s="17" t="s">
        <v>60</v>
      </c>
      <c r="C250" s="16" t="s">
        <v>1005</v>
      </c>
      <c r="D250" s="16" t="s">
        <v>1006</v>
      </c>
      <c r="E250" s="17">
        <v>2025</v>
      </c>
      <c r="F250" s="16" t="s">
        <v>1007</v>
      </c>
      <c r="G250" s="16" t="s">
        <v>35</v>
      </c>
      <c r="H250" s="16" t="s">
        <v>148</v>
      </c>
      <c r="I250" s="16" t="s">
        <v>7554</v>
      </c>
      <c r="J250" s="16" t="s">
        <v>123</v>
      </c>
    </row>
    <row r="251" spans="1:10" ht="152" x14ac:dyDescent="0.2">
      <c r="A251" s="16" t="s">
        <v>1008</v>
      </c>
      <c r="B251" s="17" t="s">
        <v>60</v>
      </c>
      <c r="C251" s="16" t="s">
        <v>1009</v>
      </c>
      <c r="D251" s="16" t="s">
        <v>1010</v>
      </c>
      <c r="E251" s="17">
        <v>2026</v>
      </c>
      <c r="F251" s="16" t="s">
        <v>1011</v>
      </c>
      <c r="G251" s="16" t="s">
        <v>35</v>
      </c>
      <c r="H251" s="16" t="s">
        <v>148</v>
      </c>
      <c r="I251" s="16" t="s">
        <v>7555</v>
      </c>
      <c r="J251" s="16" t="s">
        <v>123</v>
      </c>
    </row>
    <row r="252" spans="1:10" ht="76" x14ac:dyDescent="0.2">
      <c r="A252" s="18" t="s">
        <v>1012</v>
      </c>
      <c r="B252" s="19" t="s">
        <v>60</v>
      </c>
      <c r="C252" s="18" t="s">
        <v>320</v>
      </c>
      <c r="D252" s="18" t="s">
        <v>321</v>
      </c>
      <c r="E252" s="19">
        <v>2026</v>
      </c>
      <c r="F252" s="18" t="s">
        <v>1013</v>
      </c>
      <c r="G252" s="18" t="s">
        <v>7425</v>
      </c>
      <c r="H252" s="18" t="s">
        <v>165</v>
      </c>
      <c r="I252" s="18" t="s">
        <v>7556</v>
      </c>
      <c r="J252" s="18" t="s">
        <v>732</v>
      </c>
    </row>
    <row r="253" spans="1:10" ht="133" x14ac:dyDescent="0.2">
      <c r="A253" s="18" t="s">
        <v>1014</v>
      </c>
      <c r="B253" s="19" t="s">
        <v>60</v>
      </c>
      <c r="C253" s="18" t="s">
        <v>52</v>
      </c>
      <c r="D253" s="18" t="s">
        <v>53</v>
      </c>
      <c r="E253" s="19">
        <v>2025</v>
      </c>
      <c r="F253" s="18" t="s">
        <v>325</v>
      </c>
      <c r="G253" s="18" t="s">
        <v>7268</v>
      </c>
      <c r="H253" s="18" t="s">
        <v>215</v>
      </c>
      <c r="I253" s="18" t="s">
        <v>7557</v>
      </c>
      <c r="J253" s="18" t="s">
        <v>186</v>
      </c>
    </row>
    <row r="254" spans="1:10" ht="76" x14ac:dyDescent="0.2">
      <c r="A254" s="18" t="s">
        <v>1015</v>
      </c>
      <c r="B254" s="19" t="s">
        <v>60</v>
      </c>
      <c r="C254" s="18" t="s">
        <v>331</v>
      </c>
      <c r="D254" s="18" t="s">
        <v>332</v>
      </c>
      <c r="E254" s="19">
        <v>2025</v>
      </c>
      <c r="F254" s="18" t="s">
        <v>828</v>
      </c>
      <c r="G254" s="18" t="s">
        <v>7472</v>
      </c>
      <c r="H254" s="18" t="s">
        <v>165</v>
      </c>
      <c r="I254" s="18" t="s">
        <v>7558</v>
      </c>
      <c r="J254" s="18" t="s">
        <v>829</v>
      </c>
    </row>
    <row r="255" spans="1:10" ht="76" x14ac:dyDescent="0.2">
      <c r="A255" s="18" t="s">
        <v>1016</v>
      </c>
      <c r="B255" s="19" t="s">
        <v>60</v>
      </c>
      <c r="C255" s="18" t="s">
        <v>831</v>
      </c>
      <c r="D255" s="18" t="s">
        <v>832</v>
      </c>
      <c r="E255" s="19">
        <v>2025</v>
      </c>
      <c r="F255" s="18" t="s">
        <v>833</v>
      </c>
      <c r="G255" s="18" t="s">
        <v>7559</v>
      </c>
      <c r="H255" s="18" t="s">
        <v>165</v>
      </c>
      <c r="I255" s="18" t="s">
        <v>7560</v>
      </c>
      <c r="J255" s="18" t="s">
        <v>1017</v>
      </c>
    </row>
    <row r="256" spans="1:10" ht="95" x14ac:dyDescent="0.2">
      <c r="A256" s="18" t="s">
        <v>1018</v>
      </c>
      <c r="B256" s="19" t="s">
        <v>60</v>
      </c>
      <c r="C256" s="18" t="s">
        <v>95</v>
      </c>
      <c r="D256" s="18" t="s">
        <v>96</v>
      </c>
      <c r="E256" s="19">
        <v>2026</v>
      </c>
      <c r="F256" s="18" t="s">
        <v>836</v>
      </c>
      <c r="G256" s="18" t="s">
        <v>7374</v>
      </c>
      <c r="H256" s="18" t="s">
        <v>165</v>
      </c>
      <c r="I256" s="18" t="s">
        <v>7561</v>
      </c>
      <c r="J256" s="18" t="s">
        <v>602</v>
      </c>
    </row>
    <row r="257" spans="1:10" ht="95" x14ac:dyDescent="0.2">
      <c r="A257" s="18" t="s">
        <v>1019</v>
      </c>
      <c r="B257" s="19" t="s">
        <v>60</v>
      </c>
      <c r="C257" s="18" t="s">
        <v>350</v>
      </c>
      <c r="D257" s="18" t="s">
        <v>351</v>
      </c>
      <c r="E257" s="19">
        <v>2024</v>
      </c>
      <c r="F257" s="18" t="s">
        <v>1020</v>
      </c>
      <c r="G257" s="18" t="s">
        <v>7477</v>
      </c>
      <c r="H257" s="18" t="s">
        <v>165</v>
      </c>
      <c r="I257" s="18" t="s">
        <v>7562</v>
      </c>
      <c r="J257" s="18" t="s">
        <v>839</v>
      </c>
    </row>
    <row r="258" spans="1:10" ht="76" x14ac:dyDescent="0.2">
      <c r="A258" s="18" t="s">
        <v>1021</v>
      </c>
      <c r="B258" s="19" t="s">
        <v>60</v>
      </c>
      <c r="C258" s="18" t="s">
        <v>372</v>
      </c>
      <c r="D258" s="18" t="s">
        <v>373</v>
      </c>
      <c r="E258" s="19">
        <v>2025</v>
      </c>
      <c r="F258" s="18" t="s">
        <v>1022</v>
      </c>
      <c r="G258" s="18" t="s">
        <v>7483</v>
      </c>
      <c r="H258" s="18" t="s">
        <v>165</v>
      </c>
      <c r="I258" s="18" t="s">
        <v>7563</v>
      </c>
      <c r="J258" s="18" t="s">
        <v>853</v>
      </c>
    </row>
    <row r="259" spans="1:10" ht="95" x14ac:dyDescent="0.2">
      <c r="A259" s="18" t="s">
        <v>1023</v>
      </c>
      <c r="B259" s="19" t="s">
        <v>60</v>
      </c>
      <c r="C259" s="18" t="s">
        <v>381</v>
      </c>
      <c r="D259" s="18" t="s">
        <v>382</v>
      </c>
      <c r="E259" s="19">
        <v>2025</v>
      </c>
      <c r="F259" s="18" t="s">
        <v>1024</v>
      </c>
      <c r="G259" s="18" t="s">
        <v>7433</v>
      </c>
      <c r="H259" s="18" t="s">
        <v>165</v>
      </c>
      <c r="I259" s="18" t="s">
        <v>7564</v>
      </c>
      <c r="J259" s="18" t="s">
        <v>745</v>
      </c>
    </row>
    <row r="260" spans="1:10" ht="95" x14ac:dyDescent="0.2">
      <c r="A260" s="18" t="s">
        <v>1025</v>
      </c>
      <c r="B260" s="19" t="s">
        <v>60</v>
      </c>
      <c r="C260" s="18" t="s">
        <v>386</v>
      </c>
      <c r="D260" s="18" t="s">
        <v>387</v>
      </c>
      <c r="E260" s="19">
        <v>2026</v>
      </c>
      <c r="F260" s="18" t="s">
        <v>1026</v>
      </c>
      <c r="G260" s="18" t="s">
        <v>7565</v>
      </c>
      <c r="H260" s="18" t="s">
        <v>165</v>
      </c>
      <c r="I260" s="18" t="s">
        <v>7566</v>
      </c>
      <c r="J260" s="18" t="s">
        <v>1027</v>
      </c>
    </row>
    <row r="261" spans="1:10" ht="95" x14ac:dyDescent="0.2">
      <c r="A261" s="18" t="s">
        <v>1028</v>
      </c>
      <c r="B261" s="19" t="s">
        <v>60</v>
      </c>
      <c r="C261" s="18" t="s">
        <v>46</v>
      </c>
      <c r="D261" s="18" t="s">
        <v>47</v>
      </c>
      <c r="E261" s="19">
        <v>2025</v>
      </c>
      <c r="F261" s="18" t="s">
        <v>857</v>
      </c>
      <c r="G261" s="18" t="s">
        <v>7293</v>
      </c>
      <c r="H261" s="18" t="s">
        <v>215</v>
      </c>
      <c r="I261" s="18" t="s">
        <v>7567</v>
      </c>
      <c r="J261" s="18" t="s">
        <v>186</v>
      </c>
    </row>
    <row r="262" spans="1:10" ht="76" x14ac:dyDescent="0.2">
      <c r="A262" s="18" t="s">
        <v>1029</v>
      </c>
      <c r="B262" s="19" t="s">
        <v>60</v>
      </c>
      <c r="C262" s="18" t="s">
        <v>396</v>
      </c>
      <c r="D262" s="18" t="s">
        <v>397</v>
      </c>
      <c r="E262" s="19">
        <v>2025</v>
      </c>
      <c r="F262" s="18" t="s">
        <v>1030</v>
      </c>
      <c r="G262" s="18" t="s">
        <v>7568</v>
      </c>
      <c r="H262" s="18" t="s">
        <v>165</v>
      </c>
      <c r="I262" s="18" t="s">
        <v>7569</v>
      </c>
      <c r="J262" s="18" t="s">
        <v>1031</v>
      </c>
    </row>
    <row r="263" spans="1:10" ht="171" x14ac:dyDescent="0.2">
      <c r="A263" s="16" t="s">
        <v>1032</v>
      </c>
      <c r="B263" s="17" t="s">
        <v>60</v>
      </c>
      <c r="C263" s="16" t="s">
        <v>1033</v>
      </c>
      <c r="D263" s="16" t="s">
        <v>1034</v>
      </c>
      <c r="E263" s="17">
        <v>2026</v>
      </c>
      <c r="F263" s="16" t="s">
        <v>1035</v>
      </c>
      <c r="G263" s="16" t="s">
        <v>35</v>
      </c>
      <c r="H263" s="16" t="s">
        <v>148</v>
      </c>
      <c r="I263" s="16" t="s">
        <v>7570</v>
      </c>
      <c r="J263" s="16" t="s">
        <v>123</v>
      </c>
    </row>
    <row r="264" spans="1:10" ht="152" x14ac:dyDescent="0.2">
      <c r="A264" s="16" t="s">
        <v>1036</v>
      </c>
      <c r="B264" s="17" t="s">
        <v>60</v>
      </c>
      <c r="C264" s="16" t="s">
        <v>1037</v>
      </c>
      <c r="D264" s="16" t="s">
        <v>1038</v>
      </c>
      <c r="E264" s="17">
        <v>2026</v>
      </c>
      <c r="F264" s="16" t="s">
        <v>1039</v>
      </c>
      <c r="G264" s="16" t="s">
        <v>35</v>
      </c>
      <c r="H264" s="16" t="s">
        <v>148</v>
      </c>
      <c r="I264" s="16" t="s">
        <v>7571</v>
      </c>
      <c r="J264" s="16" t="s">
        <v>123</v>
      </c>
    </row>
    <row r="265" spans="1:10" ht="114" x14ac:dyDescent="0.2">
      <c r="A265" s="16" t="s">
        <v>1040</v>
      </c>
      <c r="B265" s="17" t="s">
        <v>60</v>
      </c>
      <c r="C265" s="16" t="s">
        <v>1041</v>
      </c>
      <c r="D265" s="16" t="s">
        <v>1042</v>
      </c>
      <c r="E265" s="17">
        <v>2025</v>
      </c>
      <c r="F265" s="16" t="s">
        <v>1043</v>
      </c>
      <c r="G265" s="16" t="s">
        <v>35</v>
      </c>
      <c r="H265" s="16" t="s">
        <v>148</v>
      </c>
      <c r="I265" s="16" t="s">
        <v>7572</v>
      </c>
      <c r="J265" s="16" t="s">
        <v>123</v>
      </c>
    </row>
    <row r="266" spans="1:10" ht="76" x14ac:dyDescent="0.2">
      <c r="A266" s="18" t="s">
        <v>1044</v>
      </c>
      <c r="B266" s="19" t="s">
        <v>60</v>
      </c>
      <c r="C266" s="18" t="s">
        <v>417</v>
      </c>
      <c r="D266" s="18" t="s">
        <v>418</v>
      </c>
      <c r="E266" s="19">
        <v>2026</v>
      </c>
      <c r="F266" s="18" t="s">
        <v>1045</v>
      </c>
      <c r="G266" s="18" t="s">
        <v>7436</v>
      </c>
      <c r="H266" s="18" t="s">
        <v>165</v>
      </c>
      <c r="I266" s="18" t="s">
        <v>7573</v>
      </c>
      <c r="J266" s="18" t="s">
        <v>750</v>
      </c>
    </row>
    <row r="267" spans="1:10" ht="95" x14ac:dyDescent="0.2">
      <c r="A267" s="18" t="s">
        <v>1046</v>
      </c>
      <c r="B267" s="19" t="s">
        <v>60</v>
      </c>
      <c r="C267" s="18" t="s">
        <v>140</v>
      </c>
      <c r="D267" s="18" t="s">
        <v>141</v>
      </c>
      <c r="E267" s="19">
        <v>2026</v>
      </c>
      <c r="F267" s="18" t="s">
        <v>1047</v>
      </c>
      <c r="G267" s="18" t="s">
        <v>7310</v>
      </c>
      <c r="H267" s="18" t="s">
        <v>165</v>
      </c>
      <c r="I267" s="18" t="s">
        <v>7574</v>
      </c>
      <c r="J267" s="18" t="s">
        <v>429</v>
      </c>
    </row>
    <row r="268" spans="1:10" ht="304" x14ac:dyDescent="0.2">
      <c r="A268" s="14" t="s">
        <v>1048</v>
      </c>
      <c r="B268" s="15" t="s">
        <v>60</v>
      </c>
      <c r="C268" s="14" t="s">
        <v>1049</v>
      </c>
      <c r="D268" s="14" t="s">
        <v>1050</v>
      </c>
      <c r="E268" s="15">
        <v>2025</v>
      </c>
      <c r="F268" s="14" t="s">
        <v>1051</v>
      </c>
      <c r="G268" s="14" t="s">
        <v>7575</v>
      </c>
      <c r="H268" s="14"/>
      <c r="I268" s="14" t="s">
        <v>7576</v>
      </c>
      <c r="J268" s="14" t="s">
        <v>123</v>
      </c>
    </row>
    <row r="269" spans="1:10" ht="95" x14ac:dyDescent="0.2">
      <c r="A269" s="18" t="s">
        <v>1052</v>
      </c>
      <c r="B269" s="19" t="s">
        <v>60</v>
      </c>
      <c r="C269" s="18" t="s">
        <v>236</v>
      </c>
      <c r="D269" s="18" t="s">
        <v>237</v>
      </c>
      <c r="E269" s="19">
        <v>2026</v>
      </c>
      <c r="F269" s="18" t="s">
        <v>754</v>
      </c>
      <c r="G269" s="18" t="s">
        <v>7249</v>
      </c>
      <c r="H269" s="18" t="s">
        <v>165</v>
      </c>
      <c r="I269" s="18" t="s">
        <v>7577</v>
      </c>
      <c r="J269" s="18" t="s">
        <v>266</v>
      </c>
    </row>
    <row r="270" spans="1:10" ht="95" x14ac:dyDescent="0.2">
      <c r="A270" s="18" t="s">
        <v>1053</v>
      </c>
      <c r="B270" s="19" t="s">
        <v>60</v>
      </c>
      <c r="C270" s="18" t="s">
        <v>450</v>
      </c>
      <c r="D270" s="18" t="s">
        <v>451</v>
      </c>
      <c r="E270" s="19">
        <v>2026</v>
      </c>
      <c r="F270" s="18" t="s">
        <v>1054</v>
      </c>
      <c r="G270" s="18" t="s">
        <v>7578</v>
      </c>
      <c r="H270" s="18" t="s">
        <v>165</v>
      </c>
      <c r="I270" s="18" t="s">
        <v>7579</v>
      </c>
      <c r="J270" s="18" t="s">
        <v>1055</v>
      </c>
    </row>
    <row r="271" spans="1:10" ht="76" x14ac:dyDescent="0.2">
      <c r="A271" s="18" t="s">
        <v>1056</v>
      </c>
      <c r="B271" s="19" t="s">
        <v>60</v>
      </c>
      <c r="C271" s="18" t="s">
        <v>462</v>
      </c>
      <c r="D271" s="18" t="s">
        <v>463</v>
      </c>
      <c r="E271" s="19">
        <v>2026</v>
      </c>
      <c r="F271" s="18" t="s">
        <v>1057</v>
      </c>
      <c r="G271" s="18" t="s">
        <v>7580</v>
      </c>
      <c r="H271" s="18" t="s">
        <v>165</v>
      </c>
      <c r="I271" s="18" t="s">
        <v>7581</v>
      </c>
      <c r="J271" s="18" t="s">
        <v>1058</v>
      </c>
    </row>
    <row r="272" spans="1:10" ht="95" x14ac:dyDescent="0.2">
      <c r="A272" s="18" t="s">
        <v>1059</v>
      </c>
      <c r="B272" s="19" t="s">
        <v>60</v>
      </c>
      <c r="C272" s="18" t="s">
        <v>231</v>
      </c>
      <c r="D272" s="18" t="s">
        <v>232</v>
      </c>
      <c r="E272" s="19">
        <v>2026</v>
      </c>
      <c r="F272" s="18" t="s">
        <v>747</v>
      </c>
      <c r="G272" s="18" t="s">
        <v>7323</v>
      </c>
      <c r="H272" s="18" t="s">
        <v>165</v>
      </c>
      <c r="I272" s="18" t="s">
        <v>7582</v>
      </c>
      <c r="J272" s="18" t="s">
        <v>468</v>
      </c>
    </row>
    <row r="273" spans="1:10" ht="95" x14ac:dyDescent="0.2">
      <c r="A273" s="18" t="s">
        <v>1060</v>
      </c>
      <c r="B273" s="19" t="s">
        <v>60</v>
      </c>
      <c r="C273" s="18" t="s">
        <v>470</v>
      </c>
      <c r="D273" s="18" t="s">
        <v>471</v>
      </c>
      <c r="E273" s="19">
        <v>2026</v>
      </c>
      <c r="F273" s="18" t="s">
        <v>756</v>
      </c>
      <c r="G273" s="18" t="s">
        <v>7383</v>
      </c>
      <c r="H273" s="18" t="s">
        <v>165</v>
      </c>
      <c r="I273" s="18" t="s">
        <v>7583</v>
      </c>
      <c r="J273" s="18" t="s">
        <v>623</v>
      </c>
    </row>
    <row r="274" spans="1:10" ht="228" x14ac:dyDescent="0.2">
      <c r="A274" s="16" t="s">
        <v>1061</v>
      </c>
      <c r="B274" s="17" t="s">
        <v>60</v>
      </c>
      <c r="C274" s="16" t="s">
        <v>1062</v>
      </c>
      <c r="D274" s="16" t="s">
        <v>1063</v>
      </c>
      <c r="E274" s="17">
        <v>2025</v>
      </c>
      <c r="F274" s="16" t="s">
        <v>1064</v>
      </c>
      <c r="G274" s="16" t="s">
        <v>35</v>
      </c>
      <c r="H274" s="16" t="s">
        <v>148</v>
      </c>
      <c r="I274" s="16" t="s">
        <v>7584</v>
      </c>
      <c r="J274" s="16" t="s">
        <v>123</v>
      </c>
    </row>
    <row r="275" spans="1:10" ht="95" x14ac:dyDescent="0.2">
      <c r="A275" s="18" t="s">
        <v>1065</v>
      </c>
      <c r="B275" s="19" t="s">
        <v>60</v>
      </c>
      <c r="C275" s="18" t="s">
        <v>483</v>
      </c>
      <c r="D275" s="18" t="s">
        <v>484</v>
      </c>
      <c r="E275" s="19">
        <v>2026</v>
      </c>
      <c r="F275" s="18" t="s">
        <v>1066</v>
      </c>
      <c r="G275" s="18" t="s">
        <v>7585</v>
      </c>
      <c r="H275" s="18" t="s">
        <v>165</v>
      </c>
      <c r="I275" s="18" t="s">
        <v>7586</v>
      </c>
      <c r="J275" s="18" t="s">
        <v>1067</v>
      </c>
    </row>
    <row r="276" spans="1:10" ht="266" x14ac:dyDescent="0.2">
      <c r="A276" s="14" t="s">
        <v>1068</v>
      </c>
      <c r="B276" s="15" t="s">
        <v>60</v>
      </c>
      <c r="C276" s="14" t="s">
        <v>1069</v>
      </c>
      <c r="D276" s="14" t="s">
        <v>1070</v>
      </c>
      <c r="E276" s="15">
        <v>2026</v>
      </c>
      <c r="F276" s="14" t="s">
        <v>1071</v>
      </c>
      <c r="G276" s="14" t="s">
        <v>7587</v>
      </c>
      <c r="H276" s="14"/>
      <c r="I276" s="14" t="s">
        <v>7588</v>
      </c>
      <c r="J276" s="14" t="s">
        <v>65</v>
      </c>
    </row>
    <row r="277" spans="1:10" ht="95" x14ac:dyDescent="0.2">
      <c r="A277" s="18" t="s">
        <v>1072</v>
      </c>
      <c r="B277" s="19" t="s">
        <v>60</v>
      </c>
      <c r="C277" s="18" t="s">
        <v>488</v>
      </c>
      <c r="D277" s="18" t="s">
        <v>489</v>
      </c>
      <c r="E277" s="19">
        <v>2026</v>
      </c>
      <c r="F277" s="18" t="s">
        <v>1073</v>
      </c>
      <c r="G277" s="18" t="s">
        <v>7589</v>
      </c>
      <c r="H277" s="18" t="s">
        <v>165</v>
      </c>
      <c r="I277" s="18" t="s">
        <v>7590</v>
      </c>
      <c r="J277" s="18" t="s">
        <v>1074</v>
      </c>
    </row>
    <row r="278" spans="1:10" ht="76" x14ac:dyDescent="0.2">
      <c r="A278" s="18" t="s">
        <v>1075</v>
      </c>
      <c r="B278" s="19" t="s">
        <v>60</v>
      </c>
      <c r="C278" s="18" t="s">
        <v>512</v>
      </c>
      <c r="D278" s="18" t="s">
        <v>513</v>
      </c>
      <c r="E278" s="19">
        <v>2026</v>
      </c>
      <c r="F278" s="18" t="s">
        <v>1076</v>
      </c>
      <c r="G278" s="18" t="s">
        <v>7591</v>
      </c>
      <c r="H278" s="18" t="s">
        <v>165</v>
      </c>
      <c r="I278" s="18" t="s">
        <v>7592</v>
      </c>
      <c r="J278" s="18" t="s">
        <v>1077</v>
      </c>
    </row>
    <row r="279" spans="1:10" ht="209" x14ac:dyDescent="0.2">
      <c r="A279" s="18" t="s">
        <v>1078</v>
      </c>
      <c r="B279" s="19" t="s">
        <v>60</v>
      </c>
      <c r="C279" s="18" t="s">
        <v>1033</v>
      </c>
      <c r="D279" s="18" t="s">
        <v>1079</v>
      </c>
      <c r="E279" s="19">
        <v>2026</v>
      </c>
      <c r="F279" s="18" t="s">
        <v>1080</v>
      </c>
      <c r="G279" s="18" t="s">
        <v>7593</v>
      </c>
      <c r="H279" s="18" t="s">
        <v>165</v>
      </c>
      <c r="I279" s="18" t="s">
        <v>7594</v>
      </c>
      <c r="J279" s="18" t="s">
        <v>1081</v>
      </c>
    </row>
    <row r="280" spans="1:10" ht="76" x14ac:dyDescent="0.2">
      <c r="A280" s="18" t="s">
        <v>1082</v>
      </c>
      <c r="B280" s="19" t="s">
        <v>60</v>
      </c>
      <c r="C280" s="18" t="s">
        <v>528</v>
      </c>
      <c r="D280" s="18" t="s">
        <v>529</v>
      </c>
      <c r="E280" s="19">
        <v>2026</v>
      </c>
      <c r="F280" s="18" t="s">
        <v>1083</v>
      </c>
      <c r="G280" s="18" t="s">
        <v>7446</v>
      </c>
      <c r="H280" s="18" t="s">
        <v>165</v>
      </c>
      <c r="I280" s="18" t="s">
        <v>7595</v>
      </c>
      <c r="J280" s="18" t="s">
        <v>774</v>
      </c>
    </row>
    <row r="281" spans="1:10" ht="361" x14ac:dyDescent="0.2">
      <c r="A281" s="16" t="s">
        <v>1084</v>
      </c>
      <c r="B281" s="17" t="s">
        <v>60</v>
      </c>
      <c r="C281" s="16" t="s">
        <v>1085</v>
      </c>
      <c r="D281" s="16" t="s">
        <v>1086</v>
      </c>
      <c r="E281" s="17">
        <v>2026</v>
      </c>
      <c r="F281" s="16" t="s">
        <v>1087</v>
      </c>
      <c r="G281" s="16" t="s">
        <v>35</v>
      </c>
      <c r="H281" s="16" t="s">
        <v>148</v>
      </c>
      <c r="I281" s="16" t="s">
        <v>7596</v>
      </c>
      <c r="J281" s="16" t="s">
        <v>65</v>
      </c>
    </row>
    <row r="282" spans="1:10" ht="95" x14ac:dyDescent="0.2">
      <c r="A282" s="18" t="s">
        <v>1088</v>
      </c>
      <c r="B282" s="19" t="s">
        <v>60</v>
      </c>
      <c r="C282" s="18" t="s">
        <v>114</v>
      </c>
      <c r="D282" s="18" t="s">
        <v>115</v>
      </c>
      <c r="E282" s="19">
        <v>2025</v>
      </c>
      <c r="F282" s="18" t="s">
        <v>1089</v>
      </c>
      <c r="G282" s="18" t="s">
        <v>7212</v>
      </c>
      <c r="H282" s="18" t="s">
        <v>165</v>
      </c>
      <c r="I282" s="18" t="s">
        <v>7597</v>
      </c>
      <c r="J282" s="18" t="s">
        <v>166</v>
      </c>
    </row>
    <row r="283" spans="1:10" ht="190" x14ac:dyDescent="0.2">
      <c r="A283" s="16" t="s">
        <v>1090</v>
      </c>
      <c r="B283" s="17" t="s">
        <v>60</v>
      </c>
      <c r="C283" s="16" t="s">
        <v>114</v>
      </c>
      <c r="D283" s="16" t="s">
        <v>1091</v>
      </c>
      <c r="E283" s="17">
        <v>2025</v>
      </c>
      <c r="F283" s="16" t="s">
        <v>1092</v>
      </c>
      <c r="G283" s="16" t="s">
        <v>35</v>
      </c>
      <c r="H283" s="16" t="s">
        <v>271</v>
      </c>
      <c r="I283" s="16" t="s">
        <v>7598</v>
      </c>
      <c r="J283" s="16" t="s">
        <v>123</v>
      </c>
    </row>
    <row r="284" spans="1:10" ht="266" x14ac:dyDescent="0.2">
      <c r="A284" s="14" t="s">
        <v>1093</v>
      </c>
      <c r="B284" s="15" t="s">
        <v>60</v>
      </c>
      <c r="C284" s="14" t="s">
        <v>1094</v>
      </c>
      <c r="D284" s="14" t="s">
        <v>1095</v>
      </c>
      <c r="E284" s="15">
        <v>2026</v>
      </c>
      <c r="F284" s="14" t="s">
        <v>1096</v>
      </c>
      <c r="G284" s="14" t="s">
        <v>7599</v>
      </c>
      <c r="H284" s="14"/>
      <c r="I284" s="14" t="s">
        <v>7600</v>
      </c>
      <c r="J284" s="14" t="s">
        <v>123</v>
      </c>
    </row>
    <row r="285" spans="1:10" ht="323" x14ac:dyDescent="0.2">
      <c r="A285" s="16" t="s">
        <v>1097</v>
      </c>
      <c r="B285" s="17" t="s">
        <v>60</v>
      </c>
      <c r="C285" s="16" t="s">
        <v>1098</v>
      </c>
      <c r="D285" s="16" t="s">
        <v>1099</v>
      </c>
      <c r="E285" s="17">
        <v>2025</v>
      </c>
      <c r="F285" s="16" t="s">
        <v>1100</v>
      </c>
      <c r="G285" s="16" t="s">
        <v>35</v>
      </c>
      <c r="H285" s="16" t="s">
        <v>185</v>
      </c>
      <c r="I285" s="16" t="s">
        <v>7601</v>
      </c>
      <c r="J285" s="16" t="s">
        <v>123</v>
      </c>
    </row>
    <row r="286" spans="1:10" ht="114" x14ac:dyDescent="0.2">
      <c r="A286" s="18" t="s">
        <v>1101</v>
      </c>
      <c r="B286" s="19" t="s">
        <v>60</v>
      </c>
      <c r="C286" s="18" t="s">
        <v>95</v>
      </c>
      <c r="D286" s="18" t="s">
        <v>96</v>
      </c>
      <c r="E286" s="19">
        <v>2026</v>
      </c>
      <c r="F286" s="18" t="s">
        <v>1102</v>
      </c>
      <c r="G286" s="18" t="s">
        <v>7374</v>
      </c>
      <c r="H286" s="18" t="s">
        <v>165</v>
      </c>
      <c r="I286" s="18" t="s">
        <v>7602</v>
      </c>
      <c r="J286" s="18" t="s">
        <v>602</v>
      </c>
    </row>
    <row r="287" spans="1:10" ht="76" x14ac:dyDescent="0.2">
      <c r="A287" s="18" t="s">
        <v>1103</v>
      </c>
      <c r="B287" s="19" t="s">
        <v>60</v>
      </c>
      <c r="C287" s="18" t="s">
        <v>612</v>
      </c>
      <c r="D287" s="18" t="s">
        <v>613</v>
      </c>
      <c r="E287" s="19">
        <v>2026</v>
      </c>
      <c r="F287" s="18" t="s">
        <v>797</v>
      </c>
      <c r="G287" s="18" t="s">
        <v>7457</v>
      </c>
      <c r="H287" s="18" t="s">
        <v>165</v>
      </c>
      <c r="I287" s="18" t="s">
        <v>7603</v>
      </c>
      <c r="J287" s="18" t="s">
        <v>798</v>
      </c>
    </row>
    <row r="288" spans="1:10" ht="133" x14ac:dyDescent="0.2">
      <c r="A288" s="18" t="s">
        <v>1104</v>
      </c>
      <c r="B288" s="19" t="s">
        <v>60</v>
      </c>
      <c r="C288" s="18" t="s">
        <v>470</v>
      </c>
      <c r="D288" s="18" t="s">
        <v>471</v>
      </c>
      <c r="E288" s="19">
        <v>2026</v>
      </c>
      <c r="F288" s="18" t="s">
        <v>1105</v>
      </c>
      <c r="G288" s="18" t="s">
        <v>7383</v>
      </c>
      <c r="H288" s="18" t="s">
        <v>165</v>
      </c>
      <c r="I288" s="18" t="s">
        <v>7604</v>
      </c>
      <c r="J288" s="18" t="s">
        <v>623</v>
      </c>
    </row>
    <row r="289" spans="1:10" ht="247" x14ac:dyDescent="0.2">
      <c r="A289" s="16" t="s">
        <v>1106</v>
      </c>
      <c r="B289" s="17" t="s">
        <v>60</v>
      </c>
      <c r="C289" s="16" t="s">
        <v>1107</v>
      </c>
      <c r="D289" s="16" t="s">
        <v>1108</v>
      </c>
      <c r="E289" s="17">
        <v>2025</v>
      </c>
      <c r="F289" s="16" t="s">
        <v>1109</v>
      </c>
      <c r="G289" s="16" t="s">
        <v>35</v>
      </c>
      <c r="H289" s="16" t="s">
        <v>148</v>
      </c>
      <c r="I289" s="16" t="s">
        <v>7605</v>
      </c>
      <c r="J289" s="16" t="s">
        <v>123</v>
      </c>
    </row>
    <row r="290" spans="1:10" ht="76" x14ac:dyDescent="0.2">
      <c r="A290" s="18" t="s">
        <v>1110</v>
      </c>
      <c r="B290" s="19" t="s">
        <v>60</v>
      </c>
      <c r="C290" s="18" t="s">
        <v>633</v>
      </c>
      <c r="D290" s="18" t="s">
        <v>634</v>
      </c>
      <c r="E290" s="19">
        <v>2025</v>
      </c>
      <c r="F290" s="18" t="s">
        <v>1111</v>
      </c>
      <c r="G290" s="18" t="s">
        <v>7606</v>
      </c>
      <c r="H290" s="18" t="s">
        <v>165</v>
      </c>
      <c r="I290" s="18" t="s">
        <v>7607</v>
      </c>
      <c r="J290" s="18" t="s">
        <v>1112</v>
      </c>
    </row>
    <row r="291" spans="1:10" ht="171" x14ac:dyDescent="0.2">
      <c r="A291" s="16" t="s">
        <v>1113</v>
      </c>
      <c r="B291" s="17" t="s">
        <v>60</v>
      </c>
      <c r="C291" s="16" t="s">
        <v>1114</v>
      </c>
      <c r="D291" s="16" t="s">
        <v>1115</v>
      </c>
      <c r="E291" s="17">
        <v>2026</v>
      </c>
      <c r="F291" s="16" t="s">
        <v>1116</v>
      </c>
      <c r="G291" s="16" t="s">
        <v>35</v>
      </c>
      <c r="H291" s="16" t="s">
        <v>185</v>
      </c>
      <c r="I291" s="16" t="s">
        <v>7608</v>
      </c>
      <c r="J291" s="16" t="s">
        <v>186</v>
      </c>
    </row>
    <row r="292" spans="1:10" ht="76" x14ac:dyDescent="0.2">
      <c r="A292" s="18" t="s">
        <v>1117</v>
      </c>
      <c r="B292" s="19" t="s">
        <v>60</v>
      </c>
      <c r="C292" s="18" t="s">
        <v>643</v>
      </c>
      <c r="D292" s="18" t="s">
        <v>644</v>
      </c>
      <c r="E292" s="19">
        <v>2026</v>
      </c>
      <c r="F292" s="18" t="s">
        <v>1118</v>
      </c>
      <c r="G292" s="18" t="s">
        <v>7609</v>
      </c>
      <c r="H292" s="18" t="s">
        <v>165</v>
      </c>
      <c r="I292" s="18" t="s">
        <v>7610</v>
      </c>
      <c r="J292" s="18" t="s">
        <v>1119</v>
      </c>
    </row>
    <row r="293" spans="1:10" ht="171" x14ac:dyDescent="0.2">
      <c r="A293" s="16" t="s">
        <v>1120</v>
      </c>
      <c r="B293" s="17" t="s">
        <v>60</v>
      </c>
      <c r="C293" s="16" t="s">
        <v>1121</v>
      </c>
      <c r="D293" s="16" t="s">
        <v>1122</v>
      </c>
      <c r="E293" s="17">
        <v>2025</v>
      </c>
      <c r="F293" s="16" t="s">
        <v>1123</v>
      </c>
      <c r="G293" s="16" t="s">
        <v>35</v>
      </c>
      <c r="H293" s="16" t="s">
        <v>185</v>
      </c>
      <c r="I293" s="16" t="s">
        <v>7611</v>
      </c>
      <c r="J293" s="16" t="s">
        <v>186</v>
      </c>
    </row>
    <row r="294" spans="1:10" ht="76" x14ac:dyDescent="0.2">
      <c r="A294" s="18" t="s">
        <v>1124</v>
      </c>
      <c r="B294" s="19" t="s">
        <v>60</v>
      </c>
      <c r="C294" s="18" t="s">
        <v>177</v>
      </c>
      <c r="D294" s="18" t="s">
        <v>178</v>
      </c>
      <c r="E294" s="19">
        <v>2025</v>
      </c>
      <c r="F294" s="18" t="s">
        <v>963</v>
      </c>
      <c r="G294" s="18" t="s">
        <v>7533</v>
      </c>
      <c r="H294" s="18" t="s">
        <v>165</v>
      </c>
      <c r="I294" s="18" t="s">
        <v>7612</v>
      </c>
      <c r="J294" s="18" t="s">
        <v>964</v>
      </c>
    </row>
    <row r="295" spans="1:10" ht="76" x14ac:dyDescent="0.2">
      <c r="A295" s="18" t="s">
        <v>1125</v>
      </c>
      <c r="B295" s="19" t="s">
        <v>60</v>
      </c>
      <c r="C295" s="18" t="s">
        <v>182</v>
      </c>
      <c r="D295" s="18" t="s">
        <v>183</v>
      </c>
      <c r="E295" s="19">
        <v>2025</v>
      </c>
      <c r="F295" s="18" t="s">
        <v>806</v>
      </c>
      <c r="G295" s="18" t="s">
        <v>7462</v>
      </c>
      <c r="H295" s="18" t="s">
        <v>165</v>
      </c>
      <c r="I295" s="18" t="s">
        <v>7613</v>
      </c>
      <c r="J295" s="18" t="s">
        <v>807</v>
      </c>
    </row>
    <row r="296" spans="1:10" ht="209" x14ac:dyDescent="0.2">
      <c r="A296" s="16" t="s">
        <v>1126</v>
      </c>
      <c r="B296" s="17" t="s">
        <v>60</v>
      </c>
      <c r="C296" s="16" t="s">
        <v>1127</v>
      </c>
      <c r="D296" s="16" t="s">
        <v>1128</v>
      </c>
      <c r="E296" s="17">
        <v>2026</v>
      </c>
      <c r="F296" s="16" t="s">
        <v>1129</v>
      </c>
      <c r="G296" s="16" t="s">
        <v>35</v>
      </c>
      <c r="H296" s="16" t="s">
        <v>148</v>
      </c>
      <c r="I296" s="16" t="s">
        <v>7614</v>
      </c>
      <c r="J296" s="16" t="s">
        <v>123</v>
      </c>
    </row>
    <row r="297" spans="1:10" ht="114" x14ac:dyDescent="0.2">
      <c r="A297" s="18" t="s">
        <v>1130</v>
      </c>
      <c r="B297" s="19" t="s">
        <v>60</v>
      </c>
      <c r="C297" s="18" t="s">
        <v>254</v>
      </c>
      <c r="D297" s="18" t="s">
        <v>255</v>
      </c>
      <c r="E297" s="19">
        <v>2026</v>
      </c>
      <c r="F297" s="18" t="s">
        <v>1131</v>
      </c>
      <c r="G297" s="18" t="s">
        <v>7396</v>
      </c>
      <c r="H297" s="18" t="s">
        <v>165</v>
      </c>
      <c r="I297" s="18" t="s">
        <v>7615</v>
      </c>
      <c r="J297" s="18" t="s">
        <v>661</v>
      </c>
    </row>
    <row r="298" spans="1:10" ht="76" x14ac:dyDescent="0.2">
      <c r="A298" s="18" t="s">
        <v>1132</v>
      </c>
      <c r="B298" s="19" t="s">
        <v>60</v>
      </c>
      <c r="C298" s="18" t="s">
        <v>114</v>
      </c>
      <c r="D298" s="18" t="s">
        <v>674</v>
      </c>
      <c r="E298" s="19">
        <v>2026</v>
      </c>
      <c r="F298" s="18" t="s">
        <v>1133</v>
      </c>
      <c r="G298" s="18" t="s">
        <v>7616</v>
      </c>
      <c r="H298" s="18" t="s">
        <v>165</v>
      </c>
      <c r="I298" s="18" t="s">
        <v>7617</v>
      </c>
      <c r="J298" s="18" t="s">
        <v>1134</v>
      </c>
    </row>
    <row r="299" spans="1:10" ht="76" x14ac:dyDescent="0.2">
      <c r="A299" s="18" t="s">
        <v>1135</v>
      </c>
      <c r="B299" s="19" t="s">
        <v>60</v>
      </c>
      <c r="C299" s="18" t="s">
        <v>191</v>
      </c>
      <c r="D299" s="18" t="s">
        <v>192</v>
      </c>
      <c r="E299" s="19">
        <v>2025</v>
      </c>
      <c r="F299" s="18" t="s">
        <v>974</v>
      </c>
      <c r="G299" s="18" t="s">
        <v>7247</v>
      </c>
      <c r="H299" s="18" t="s">
        <v>165</v>
      </c>
      <c r="I299" s="18" t="s">
        <v>7618</v>
      </c>
      <c r="J299" s="18" t="s">
        <v>263</v>
      </c>
    </row>
    <row r="300" spans="1:10" ht="76" x14ac:dyDescent="0.2">
      <c r="A300" s="18" t="s">
        <v>1136</v>
      </c>
      <c r="B300" s="19" t="s">
        <v>60</v>
      </c>
      <c r="C300" s="18" t="s">
        <v>236</v>
      </c>
      <c r="D300" s="18" t="s">
        <v>237</v>
      </c>
      <c r="E300" s="19">
        <v>2026</v>
      </c>
      <c r="F300" s="18" t="s">
        <v>1137</v>
      </c>
      <c r="G300" s="18" t="s">
        <v>7249</v>
      </c>
      <c r="H300" s="18" t="s">
        <v>165</v>
      </c>
      <c r="I300" s="18" t="s">
        <v>7619</v>
      </c>
      <c r="J300" s="18" t="s">
        <v>266</v>
      </c>
    </row>
    <row r="301" spans="1:10" ht="152" x14ac:dyDescent="0.2">
      <c r="A301" s="16" t="s">
        <v>1138</v>
      </c>
      <c r="B301" s="17" t="s">
        <v>60</v>
      </c>
      <c r="C301" s="16" t="s">
        <v>1139</v>
      </c>
      <c r="D301" s="16" t="s">
        <v>1140</v>
      </c>
      <c r="E301" s="17">
        <v>2025</v>
      </c>
      <c r="F301" s="16" t="s">
        <v>1141</v>
      </c>
      <c r="G301" s="16" t="s">
        <v>35</v>
      </c>
      <c r="H301" s="16" t="s">
        <v>185</v>
      </c>
      <c r="I301" s="16" t="s">
        <v>7620</v>
      </c>
      <c r="J301" s="16" t="s">
        <v>186</v>
      </c>
    </row>
    <row r="302" spans="1:10" ht="76" x14ac:dyDescent="0.2">
      <c r="A302" s="18" t="s">
        <v>1142</v>
      </c>
      <c r="B302" s="19" t="s">
        <v>60</v>
      </c>
      <c r="C302" s="18" t="s">
        <v>704</v>
      </c>
      <c r="D302" s="18" t="s">
        <v>705</v>
      </c>
      <c r="E302" s="19">
        <v>2026</v>
      </c>
      <c r="F302" s="18" t="s">
        <v>1143</v>
      </c>
      <c r="G302" s="18" t="s">
        <v>7621</v>
      </c>
      <c r="H302" s="18" t="s">
        <v>165</v>
      </c>
      <c r="I302" s="18" t="s">
        <v>7622</v>
      </c>
      <c r="J302" s="18" t="s">
        <v>1144</v>
      </c>
    </row>
    <row r="303" spans="1:10" ht="247" x14ac:dyDescent="0.2">
      <c r="A303" s="14" t="s">
        <v>1145</v>
      </c>
      <c r="B303" s="15" t="s">
        <v>60</v>
      </c>
      <c r="C303" s="14" t="s">
        <v>1146</v>
      </c>
      <c r="D303" s="14" t="s">
        <v>1147</v>
      </c>
      <c r="E303" s="15">
        <v>2026</v>
      </c>
      <c r="F303" s="14" t="s">
        <v>1148</v>
      </c>
      <c r="G303" s="14" t="s">
        <v>7623</v>
      </c>
      <c r="H303" s="14"/>
      <c r="I303" s="14" t="s">
        <v>7624</v>
      </c>
      <c r="J303" s="14" t="s">
        <v>123</v>
      </c>
    </row>
    <row r="304" spans="1:10" ht="209" x14ac:dyDescent="0.2">
      <c r="A304" s="16" t="s">
        <v>1149</v>
      </c>
      <c r="B304" s="17" t="s">
        <v>60</v>
      </c>
      <c r="C304" s="16" t="s">
        <v>1150</v>
      </c>
      <c r="D304" s="16" t="s">
        <v>1151</v>
      </c>
      <c r="E304" s="17">
        <v>2025</v>
      </c>
      <c r="F304" s="16" t="s">
        <v>1152</v>
      </c>
      <c r="G304" s="16" t="s">
        <v>35</v>
      </c>
      <c r="H304" s="16" t="s">
        <v>148</v>
      </c>
      <c r="I304" s="16" t="s">
        <v>7625</v>
      </c>
      <c r="J304" s="16" t="s">
        <v>123</v>
      </c>
    </row>
    <row r="305" spans="1:10" ht="114" x14ac:dyDescent="0.2">
      <c r="A305" s="18" t="s">
        <v>1153</v>
      </c>
      <c r="B305" s="19" t="s">
        <v>60</v>
      </c>
      <c r="C305" s="18" t="s">
        <v>268</v>
      </c>
      <c r="D305" s="18" t="s">
        <v>269</v>
      </c>
      <c r="E305" s="19">
        <v>2026</v>
      </c>
      <c r="F305" s="18" t="s">
        <v>1154</v>
      </c>
      <c r="G305" s="18" t="s">
        <v>7419</v>
      </c>
      <c r="H305" s="18" t="s">
        <v>165</v>
      </c>
      <c r="I305" s="18" t="s">
        <v>7626</v>
      </c>
      <c r="J305" s="18" t="s">
        <v>721</v>
      </c>
    </row>
    <row r="306" spans="1:10" ht="95" x14ac:dyDescent="0.2">
      <c r="A306" s="18" t="s">
        <v>1155</v>
      </c>
      <c r="B306" s="19" t="s">
        <v>63</v>
      </c>
      <c r="C306" s="18" t="s">
        <v>125</v>
      </c>
      <c r="D306" s="18" t="s">
        <v>126</v>
      </c>
      <c r="E306" s="19">
        <v>2026</v>
      </c>
      <c r="F306" s="18" t="s">
        <v>729</v>
      </c>
      <c r="G306" s="18" t="s">
        <v>7232</v>
      </c>
      <c r="H306" s="18" t="s">
        <v>165</v>
      </c>
      <c r="I306" s="18" t="s">
        <v>7627</v>
      </c>
      <c r="J306" s="18" t="s">
        <v>225</v>
      </c>
    </row>
    <row r="307" spans="1:10" ht="228" x14ac:dyDescent="0.2">
      <c r="A307" s="16" t="s">
        <v>1156</v>
      </c>
      <c r="B307" s="17" t="s">
        <v>63</v>
      </c>
      <c r="C307" s="16" t="s">
        <v>1157</v>
      </c>
      <c r="D307" s="16" t="s">
        <v>1158</v>
      </c>
      <c r="E307" s="17">
        <v>2025</v>
      </c>
      <c r="F307" s="16" t="s">
        <v>1159</v>
      </c>
      <c r="G307" s="16" t="s">
        <v>35</v>
      </c>
      <c r="H307" s="16" t="s">
        <v>133</v>
      </c>
      <c r="I307" s="16" t="s">
        <v>7628</v>
      </c>
      <c r="J307" s="16" t="s">
        <v>68</v>
      </c>
    </row>
    <row r="308" spans="1:10" ht="114" x14ac:dyDescent="0.2">
      <c r="A308" s="18" t="s">
        <v>1160</v>
      </c>
      <c r="B308" s="19" t="s">
        <v>63</v>
      </c>
      <c r="C308" s="18" t="s">
        <v>217</v>
      </c>
      <c r="D308" s="18" t="s">
        <v>218</v>
      </c>
      <c r="E308" s="19">
        <v>2026</v>
      </c>
      <c r="F308" s="18" t="s">
        <v>1161</v>
      </c>
      <c r="G308" s="18" t="s">
        <v>7230</v>
      </c>
      <c r="H308" s="18" t="s">
        <v>165</v>
      </c>
      <c r="I308" s="18" t="s">
        <v>7629</v>
      </c>
      <c r="J308" s="18" t="s">
        <v>223</v>
      </c>
    </row>
    <row r="309" spans="1:10" ht="114" x14ac:dyDescent="0.2">
      <c r="A309" s="18" t="s">
        <v>1162</v>
      </c>
      <c r="B309" s="19" t="s">
        <v>63</v>
      </c>
      <c r="C309" s="18" t="s">
        <v>52</v>
      </c>
      <c r="D309" s="18" t="s">
        <v>53</v>
      </c>
      <c r="E309" s="19">
        <v>2025</v>
      </c>
      <c r="F309" s="18" t="s">
        <v>1163</v>
      </c>
      <c r="G309" s="18" t="s">
        <v>7268</v>
      </c>
      <c r="H309" s="18" t="s">
        <v>215</v>
      </c>
      <c r="I309" s="18" t="s">
        <v>7630</v>
      </c>
      <c r="J309" s="18" t="s">
        <v>186</v>
      </c>
    </row>
    <row r="310" spans="1:10" ht="95" x14ac:dyDescent="0.2">
      <c r="A310" s="18" t="s">
        <v>1164</v>
      </c>
      <c r="B310" s="19" t="s">
        <v>63</v>
      </c>
      <c r="C310" s="18" t="s">
        <v>340</v>
      </c>
      <c r="D310" s="18" t="s">
        <v>341</v>
      </c>
      <c r="E310" s="19">
        <v>2025</v>
      </c>
      <c r="F310" s="18" t="s">
        <v>1165</v>
      </c>
      <c r="G310" s="18" t="s">
        <v>7631</v>
      </c>
      <c r="H310" s="18" t="s">
        <v>165</v>
      </c>
      <c r="I310" s="18" t="s">
        <v>7632</v>
      </c>
      <c r="J310" s="18" t="s">
        <v>1166</v>
      </c>
    </row>
    <row r="311" spans="1:10" ht="76" x14ac:dyDescent="0.2">
      <c r="A311" s="18" t="s">
        <v>1167</v>
      </c>
      <c r="B311" s="19" t="s">
        <v>63</v>
      </c>
      <c r="C311" s="18" t="s">
        <v>344</v>
      </c>
      <c r="D311" s="18" t="s">
        <v>345</v>
      </c>
      <c r="E311" s="19">
        <v>2026</v>
      </c>
      <c r="F311" s="18" t="s">
        <v>1168</v>
      </c>
      <c r="G311" s="18" t="s">
        <v>7633</v>
      </c>
      <c r="H311" s="18" t="s">
        <v>165</v>
      </c>
      <c r="I311" s="18" t="s">
        <v>7634</v>
      </c>
      <c r="J311" s="18" t="s">
        <v>1169</v>
      </c>
    </row>
    <row r="312" spans="1:10" ht="76" x14ac:dyDescent="0.2">
      <c r="A312" s="18" t="s">
        <v>1170</v>
      </c>
      <c r="B312" s="19" t="s">
        <v>63</v>
      </c>
      <c r="C312" s="18" t="s">
        <v>831</v>
      </c>
      <c r="D312" s="18" t="s">
        <v>832</v>
      </c>
      <c r="E312" s="19">
        <v>2025</v>
      </c>
      <c r="F312" s="18" t="s">
        <v>1171</v>
      </c>
      <c r="G312" s="18" t="s">
        <v>7559</v>
      </c>
      <c r="H312" s="18" t="s">
        <v>165</v>
      </c>
      <c r="I312" s="18" t="s">
        <v>7635</v>
      </c>
      <c r="J312" s="18" t="s">
        <v>1017</v>
      </c>
    </row>
    <row r="313" spans="1:10" ht="76" x14ac:dyDescent="0.2">
      <c r="A313" s="18" t="s">
        <v>1172</v>
      </c>
      <c r="B313" s="19" t="s">
        <v>63</v>
      </c>
      <c r="C313" s="18" t="s">
        <v>381</v>
      </c>
      <c r="D313" s="18" t="s">
        <v>382</v>
      </c>
      <c r="E313" s="19">
        <v>2025</v>
      </c>
      <c r="F313" s="18" t="s">
        <v>744</v>
      </c>
      <c r="G313" s="18" t="s">
        <v>7433</v>
      </c>
      <c r="H313" s="18" t="s">
        <v>165</v>
      </c>
      <c r="I313" s="18" t="s">
        <v>7636</v>
      </c>
      <c r="J313" s="18" t="s">
        <v>745</v>
      </c>
    </row>
    <row r="314" spans="1:10" ht="228" x14ac:dyDescent="0.2">
      <c r="A314" s="16" t="s">
        <v>1173</v>
      </c>
      <c r="B314" s="17" t="s">
        <v>63</v>
      </c>
      <c r="C314" s="16" t="s">
        <v>1174</v>
      </c>
      <c r="D314" s="16" t="s">
        <v>1175</v>
      </c>
      <c r="E314" s="17">
        <v>2025</v>
      </c>
      <c r="F314" s="16" t="s">
        <v>1176</v>
      </c>
      <c r="G314" s="16" t="s">
        <v>35</v>
      </c>
      <c r="H314" s="16" t="s">
        <v>138</v>
      </c>
      <c r="I314" s="16" t="s">
        <v>7637</v>
      </c>
      <c r="J314" s="16" t="s">
        <v>65</v>
      </c>
    </row>
    <row r="315" spans="1:10" ht="76" x14ac:dyDescent="0.2">
      <c r="A315" s="18" t="s">
        <v>1177</v>
      </c>
      <c r="B315" s="19" t="s">
        <v>63</v>
      </c>
      <c r="C315" s="18" t="s">
        <v>400</v>
      </c>
      <c r="D315" s="18" t="s">
        <v>401</v>
      </c>
      <c r="E315" s="19">
        <v>2026</v>
      </c>
      <c r="F315" s="18" t="s">
        <v>1178</v>
      </c>
      <c r="G315" s="18" t="s">
        <v>7638</v>
      </c>
      <c r="H315" s="18" t="s">
        <v>165</v>
      </c>
      <c r="I315" s="18" t="s">
        <v>7639</v>
      </c>
      <c r="J315" s="18" t="s">
        <v>1179</v>
      </c>
    </row>
    <row r="316" spans="1:10" ht="171" x14ac:dyDescent="0.2">
      <c r="A316" s="16" t="s">
        <v>1180</v>
      </c>
      <c r="B316" s="17" t="s">
        <v>63</v>
      </c>
      <c r="C316" s="16" t="s">
        <v>1181</v>
      </c>
      <c r="D316" s="16" t="s">
        <v>1182</v>
      </c>
      <c r="E316" s="17">
        <v>2025</v>
      </c>
      <c r="F316" s="16" t="s">
        <v>1183</v>
      </c>
      <c r="G316" s="16" t="s">
        <v>35</v>
      </c>
      <c r="H316" s="16" t="s">
        <v>148</v>
      </c>
      <c r="I316" s="16" t="s">
        <v>7640</v>
      </c>
      <c r="J316" s="16" t="s">
        <v>123</v>
      </c>
    </row>
    <row r="317" spans="1:10" ht="190" x14ac:dyDescent="0.2">
      <c r="A317" s="16" t="s">
        <v>1184</v>
      </c>
      <c r="B317" s="17" t="s">
        <v>63</v>
      </c>
      <c r="C317" s="16" t="s">
        <v>1185</v>
      </c>
      <c r="D317" s="16" t="s">
        <v>1186</v>
      </c>
      <c r="E317" s="17">
        <v>2025</v>
      </c>
      <c r="F317" s="16" t="s">
        <v>1187</v>
      </c>
      <c r="G317" s="16" t="s">
        <v>35</v>
      </c>
      <c r="H317" s="16" t="s">
        <v>148</v>
      </c>
      <c r="I317" s="16" t="s">
        <v>7641</v>
      </c>
      <c r="J317" s="16" t="s">
        <v>123</v>
      </c>
    </row>
    <row r="318" spans="1:10" ht="95" x14ac:dyDescent="0.2">
      <c r="A318" s="18" t="s">
        <v>1188</v>
      </c>
      <c r="B318" s="19" t="s">
        <v>63</v>
      </c>
      <c r="C318" s="18" t="s">
        <v>236</v>
      </c>
      <c r="D318" s="18" t="s">
        <v>237</v>
      </c>
      <c r="E318" s="19">
        <v>2026</v>
      </c>
      <c r="F318" s="18" t="s">
        <v>754</v>
      </c>
      <c r="G318" s="18" t="s">
        <v>7249</v>
      </c>
      <c r="H318" s="18" t="s">
        <v>165</v>
      </c>
      <c r="I318" s="18" t="s">
        <v>7642</v>
      </c>
      <c r="J318" s="18" t="s">
        <v>266</v>
      </c>
    </row>
    <row r="319" spans="1:10" ht="76" x14ac:dyDescent="0.2">
      <c r="A319" s="18" t="s">
        <v>1189</v>
      </c>
      <c r="B319" s="19" t="s">
        <v>63</v>
      </c>
      <c r="C319" s="18" t="s">
        <v>78</v>
      </c>
      <c r="D319" s="18" t="s">
        <v>79</v>
      </c>
      <c r="E319" s="19">
        <v>2026</v>
      </c>
      <c r="F319" s="18" t="s">
        <v>1190</v>
      </c>
      <c r="G319" s="18" t="s">
        <v>7643</v>
      </c>
      <c r="H319" s="18" t="s">
        <v>215</v>
      </c>
      <c r="I319" s="18" t="s">
        <v>7644</v>
      </c>
      <c r="J319" s="18" t="s">
        <v>186</v>
      </c>
    </row>
    <row r="320" spans="1:10" ht="95" x14ac:dyDescent="0.2">
      <c r="A320" s="18" t="s">
        <v>1191</v>
      </c>
      <c r="B320" s="19" t="s">
        <v>63</v>
      </c>
      <c r="C320" s="18" t="s">
        <v>231</v>
      </c>
      <c r="D320" s="18" t="s">
        <v>232</v>
      </c>
      <c r="E320" s="19">
        <v>2026</v>
      </c>
      <c r="F320" s="18" t="s">
        <v>747</v>
      </c>
      <c r="G320" s="18" t="s">
        <v>7323</v>
      </c>
      <c r="H320" s="18" t="s">
        <v>165</v>
      </c>
      <c r="I320" s="18" t="s">
        <v>7645</v>
      </c>
      <c r="J320" s="18" t="s">
        <v>468</v>
      </c>
    </row>
    <row r="321" spans="1:10" ht="95" x14ac:dyDescent="0.2">
      <c r="A321" s="18" t="s">
        <v>1192</v>
      </c>
      <c r="B321" s="19" t="s">
        <v>63</v>
      </c>
      <c r="C321" s="18" t="s">
        <v>217</v>
      </c>
      <c r="D321" s="18" t="s">
        <v>221</v>
      </c>
      <c r="E321" s="19">
        <v>2026</v>
      </c>
      <c r="F321" s="18" t="s">
        <v>1193</v>
      </c>
      <c r="G321" s="18" t="s">
        <v>7230</v>
      </c>
      <c r="H321" s="18" t="s">
        <v>165</v>
      </c>
      <c r="I321" s="18" t="s">
        <v>7646</v>
      </c>
      <c r="J321" s="18" t="s">
        <v>223</v>
      </c>
    </row>
    <row r="322" spans="1:10" ht="76" x14ac:dyDescent="0.2">
      <c r="A322" s="18" t="s">
        <v>1194</v>
      </c>
      <c r="B322" s="19" t="s">
        <v>63</v>
      </c>
      <c r="C322" s="18" t="s">
        <v>150</v>
      </c>
      <c r="D322" s="18" t="s">
        <v>151</v>
      </c>
      <c r="E322" s="19">
        <v>2026</v>
      </c>
      <c r="F322" s="18" t="s">
        <v>894</v>
      </c>
      <c r="G322" s="18" t="s">
        <v>7502</v>
      </c>
      <c r="H322" s="18" t="s">
        <v>165</v>
      </c>
      <c r="I322" s="18" t="s">
        <v>7647</v>
      </c>
      <c r="J322" s="18" t="s">
        <v>895</v>
      </c>
    </row>
    <row r="323" spans="1:10" ht="76" x14ac:dyDescent="0.2">
      <c r="A323" s="18" t="s">
        <v>1195</v>
      </c>
      <c r="B323" s="19" t="s">
        <v>63</v>
      </c>
      <c r="C323" s="18" t="s">
        <v>528</v>
      </c>
      <c r="D323" s="18" t="s">
        <v>529</v>
      </c>
      <c r="E323" s="19">
        <v>2026</v>
      </c>
      <c r="F323" s="18" t="s">
        <v>897</v>
      </c>
      <c r="G323" s="18" t="s">
        <v>7446</v>
      </c>
      <c r="H323" s="18" t="s">
        <v>165</v>
      </c>
      <c r="I323" s="18" t="s">
        <v>7648</v>
      </c>
      <c r="J323" s="18" t="s">
        <v>774</v>
      </c>
    </row>
    <row r="324" spans="1:10" ht="95" x14ac:dyDescent="0.2">
      <c r="A324" s="18" t="s">
        <v>1196</v>
      </c>
      <c r="B324" s="19" t="s">
        <v>63</v>
      </c>
      <c r="C324" s="18" t="s">
        <v>1121</v>
      </c>
      <c r="D324" s="18" t="s">
        <v>1122</v>
      </c>
      <c r="E324" s="19">
        <v>2025</v>
      </c>
      <c r="F324" s="18" t="s">
        <v>1197</v>
      </c>
      <c r="G324" s="18" t="s">
        <v>7649</v>
      </c>
      <c r="H324" s="18" t="s">
        <v>165</v>
      </c>
      <c r="I324" s="18" t="s">
        <v>7650</v>
      </c>
      <c r="J324" s="18" t="s">
        <v>1198</v>
      </c>
    </row>
    <row r="325" spans="1:10" ht="133" x14ac:dyDescent="0.2">
      <c r="A325" s="18" t="s">
        <v>1199</v>
      </c>
      <c r="B325" s="19" t="s">
        <v>63</v>
      </c>
      <c r="C325" s="18" t="s">
        <v>254</v>
      </c>
      <c r="D325" s="18" t="s">
        <v>255</v>
      </c>
      <c r="E325" s="19">
        <v>2026</v>
      </c>
      <c r="F325" s="18" t="s">
        <v>1200</v>
      </c>
      <c r="G325" s="18" t="s">
        <v>7396</v>
      </c>
      <c r="H325" s="18" t="s">
        <v>165</v>
      </c>
      <c r="I325" s="18" t="s">
        <v>7651</v>
      </c>
      <c r="J325" s="18" t="s">
        <v>661</v>
      </c>
    </row>
    <row r="326" spans="1:10" ht="114" x14ac:dyDescent="0.2">
      <c r="A326" s="18" t="s">
        <v>1201</v>
      </c>
      <c r="B326" s="19" t="s">
        <v>63</v>
      </c>
      <c r="C326" s="18" t="s">
        <v>663</v>
      </c>
      <c r="D326" s="18" t="s">
        <v>664</v>
      </c>
      <c r="E326" s="19">
        <v>2025</v>
      </c>
      <c r="F326" s="18" t="s">
        <v>1202</v>
      </c>
      <c r="G326" s="18" t="s">
        <v>7652</v>
      </c>
      <c r="H326" s="18" t="s">
        <v>165</v>
      </c>
      <c r="I326" s="18" t="s">
        <v>7653</v>
      </c>
      <c r="J326" s="18" t="s">
        <v>1203</v>
      </c>
    </row>
    <row r="327" spans="1:10" ht="76" x14ac:dyDescent="0.2">
      <c r="A327" s="18" t="s">
        <v>1204</v>
      </c>
      <c r="B327" s="19" t="s">
        <v>63</v>
      </c>
      <c r="C327" s="18" t="s">
        <v>191</v>
      </c>
      <c r="D327" s="18" t="s">
        <v>192</v>
      </c>
      <c r="E327" s="19">
        <v>2025</v>
      </c>
      <c r="F327" s="18" t="s">
        <v>974</v>
      </c>
      <c r="G327" s="18" t="s">
        <v>7247</v>
      </c>
      <c r="H327" s="18" t="s">
        <v>165</v>
      </c>
      <c r="I327" s="18" t="s">
        <v>7654</v>
      </c>
      <c r="J327" s="18" t="s">
        <v>263</v>
      </c>
    </row>
    <row r="328" spans="1:10" ht="95" x14ac:dyDescent="0.2">
      <c r="A328" s="18" t="s">
        <v>1205</v>
      </c>
      <c r="B328" s="19" t="s">
        <v>63</v>
      </c>
      <c r="C328" s="18" t="s">
        <v>236</v>
      </c>
      <c r="D328" s="18" t="s">
        <v>237</v>
      </c>
      <c r="E328" s="19">
        <v>2026</v>
      </c>
      <c r="F328" s="18" t="s">
        <v>1206</v>
      </c>
      <c r="G328" s="18" t="s">
        <v>7249</v>
      </c>
      <c r="H328" s="18" t="s">
        <v>165</v>
      </c>
      <c r="I328" s="18" t="s">
        <v>7655</v>
      </c>
      <c r="J328" s="18" t="s">
        <v>266</v>
      </c>
    </row>
    <row r="329" spans="1:10" ht="133" x14ac:dyDescent="0.2">
      <c r="A329" s="16" t="s">
        <v>1207</v>
      </c>
      <c r="B329" s="17" t="s">
        <v>63</v>
      </c>
      <c r="C329" s="16" t="s">
        <v>1208</v>
      </c>
      <c r="D329" s="16" t="s">
        <v>1209</v>
      </c>
      <c r="E329" s="17" t="s">
        <v>583</v>
      </c>
      <c r="F329" s="16" t="s">
        <v>1210</v>
      </c>
      <c r="G329" s="16" t="s">
        <v>35</v>
      </c>
      <c r="H329" s="16" t="s">
        <v>185</v>
      </c>
      <c r="I329" s="16" t="s">
        <v>7656</v>
      </c>
      <c r="J329" s="16" t="s">
        <v>186</v>
      </c>
    </row>
    <row r="330" spans="1:10" ht="114" x14ac:dyDescent="0.2">
      <c r="A330" s="18" t="s">
        <v>1211</v>
      </c>
      <c r="B330" s="19" t="s">
        <v>65</v>
      </c>
      <c r="C330" s="18" t="s">
        <v>309</v>
      </c>
      <c r="D330" s="18" t="s">
        <v>310</v>
      </c>
      <c r="E330" s="19">
        <v>2025</v>
      </c>
      <c r="F330" s="18" t="s">
        <v>1001</v>
      </c>
      <c r="G330" s="18" t="s">
        <v>7422</v>
      </c>
      <c r="H330" s="18" t="s">
        <v>165</v>
      </c>
      <c r="I330" s="18" t="s">
        <v>7657</v>
      </c>
      <c r="J330" s="18" t="s">
        <v>727</v>
      </c>
    </row>
    <row r="331" spans="1:10" ht="95" x14ac:dyDescent="0.2">
      <c r="A331" s="18" t="s">
        <v>1212</v>
      </c>
      <c r="B331" s="19" t="s">
        <v>65</v>
      </c>
      <c r="C331" s="18" t="s">
        <v>125</v>
      </c>
      <c r="D331" s="18" t="s">
        <v>126</v>
      </c>
      <c r="E331" s="19">
        <v>2026</v>
      </c>
      <c r="F331" s="18" t="s">
        <v>1003</v>
      </c>
      <c r="G331" s="18" t="s">
        <v>7232</v>
      </c>
      <c r="H331" s="18" t="s">
        <v>165</v>
      </c>
      <c r="I331" s="18" t="s">
        <v>7658</v>
      </c>
      <c r="J331" s="18" t="s">
        <v>225</v>
      </c>
    </row>
    <row r="332" spans="1:10" ht="95" x14ac:dyDescent="0.2">
      <c r="A332" s="18" t="s">
        <v>1213</v>
      </c>
      <c r="B332" s="19" t="s">
        <v>65</v>
      </c>
      <c r="C332" s="18" t="s">
        <v>292</v>
      </c>
      <c r="D332" s="18" t="s">
        <v>293</v>
      </c>
      <c r="E332" s="19">
        <v>2026</v>
      </c>
      <c r="F332" s="18" t="s">
        <v>1214</v>
      </c>
      <c r="G332" s="18" t="s">
        <v>7659</v>
      </c>
      <c r="H332" s="18" t="s">
        <v>165</v>
      </c>
      <c r="I332" s="18" t="s">
        <v>7660</v>
      </c>
      <c r="J332" s="18" t="s">
        <v>1215</v>
      </c>
    </row>
    <row r="333" spans="1:10" ht="304" x14ac:dyDescent="0.2">
      <c r="A333" s="16" t="s">
        <v>1216</v>
      </c>
      <c r="B333" s="17" t="s">
        <v>65</v>
      </c>
      <c r="C333" s="16" t="s">
        <v>1217</v>
      </c>
      <c r="D333" s="16" t="s">
        <v>1218</v>
      </c>
      <c r="E333" s="17">
        <v>2025</v>
      </c>
      <c r="F333" s="16" t="s">
        <v>1219</v>
      </c>
      <c r="G333" s="16" t="s">
        <v>35</v>
      </c>
      <c r="H333" s="16" t="s">
        <v>148</v>
      </c>
      <c r="I333" s="16" t="s">
        <v>7661</v>
      </c>
      <c r="J333" s="16" t="s">
        <v>123</v>
      </c>
    </row>
    <row r="334" spans="1:10" ht="304" x14ac:dyDescent="0.2">
      <c r="A334" s="16" t="s">
        <v>1220</v>
      </c>
      <c r="B334" s="17" t="s">
        <v>65</v>
      </c>
      <c r="C334" s="16" t="s">
        <v>1221</v>
      </c>
      <c r="D334" s="16" t="s">
        <v>1222</v>
      </c>
      <c r="E334" s="17">
        <v>2026</v>
      </c>
      <c r="F334" s="16" t="s">
        <v>1223</v>
      </c>
      <c r="G334" s="16" t="s">
        <v>35</v>
      </c>
      <c r="H334" s="16" t="s">
        <v>148</v>
      </c>
      <c r="I334" s="16" t="s">
        <v>7662</v>
      </c>
      <c r="J334" s="16" t="s">
        <v>123</v>
      </c>
    </row>
    <row r="335" spans="1:10" ht="266" x14ac:dyDescent="0.2">
      <c r="A335" s="16" t="s">
        <v>1224</v>
      </c>
      <c r="B335" s="17" t="s">
        <v>65</v>
      </c>
      <c r="C335" s="16" t="s">
        <v>1225</v>
      </c>
      <c r="D335" s="16" t="s">
        <v>1226</v>
      </c>
      <c r="E335" s="17">
        <v>2026</v>
      </c>
      <c r="F335" s="16" t="s">
        <v>1227</v>
      </c>
      <c r="G335" s="16" t="s">
        <v>35</v>
      </c>
      <c r="H335" s="16" t="s">
        <v>148</v>
      </c>
      <c r="I335" s="16" t="s">
        <v>7663</v>
      </c>
      <c r="J335" s="16" t="s">
        <v>123</v>
      </c>
    </row>
    <row r="336" spans="1:10" ht="76" x14ac:dyDescent="0.2">
      <c r="A336" s="18" t="s">
        <v>1228</v>
      </c>
      <c r="B336" s="19" t="s">
        <v>65</v>
      </c>
      <c r="C336" s="18" t="s">
        <v>831</v>
      </c>
      <c r="D336" s="18" t="s">
        <v>832</v>
      </c>
      <c r="E336" s="19">
        <v>2025</v>
      </c>
      <c r="F336" s="18" t="s">
        <v>1171</v>
      </c>
      <c r="G336" s="18" t="s">
        <v>7559</v>
      </c>
      <c r="H336" s="18" t="s">
        <v>165</v>
      </c>
      <c r="I336" s="18" t="s">
        <v>7664</v>
      </c>
      <c r="J336" s="18" t="s">
        <v>1017</v>
      </c>
    </row>
    <row r="337" spans="1:10" ht="76" x14ac:dyDescent="0.2">
      <c r="A337" s="18" t="s">
        <v>1229</v>
      </c>
      <c r="B337" s="19" t="s">
        <v>65</v>
      </c>
      <c r="C337" s="18" t="s">
        <v>360</v>
      </c>
      <c r="D337" s="18" t="s">
        <v>361</v>
      </c>
      <c r="E337" s="19">
        <v>2026</v>
      </c>
      <c r="F337" s="18" t="s">
        <v>1230</v>
      </c>
      <c r="G337" s="18" t="s">
        <v>7665</v>
      </c>
      <c r="H337" s="18" t="s">
        <v>165</v>
      </c>
      <c r="I337" s="18" t="s">
        <v>7666</v>
      </c>
      <c r="J337" s="18" t="s">
        <v>1231</v>
      </c>
    </row>
    <row r="338" spans="1:10" ht="95" x14ac:dyDescent="0.2">
      <c r="A338" s="18" t="s">
        <v>1232</v>
      </c>
      <c r="B338" s="19" t="s">
        <v>65</v>
      </c>
      <c r="C338" s="18" t="s">
        <v>841</v>
      </c>
      <c r="D338" s="18" t="s">
        <v>842</v>
      </c>
      <c r="E338" s="19">
        <v>2025</v>
      </c>
      <c r="F338" s="18" t="s">
        <v>1233</v>
      </c>
      <c r="G338" s="18" t="s">
        <v>7667</v>
      </c>
      <c r="H338" s="18" t="s">
        <v>165</v>
      </c>
      <c r="I338" s="18" t="s">
        <v>7668</v>
      </c>
      <c r="J338" s="18" t="s">
        <v>1234</v>
      </c>
    </row>
    <row r="339" spans="1:10" ht="304" x14ac:dyDescent="0.2">
      <c r="A339" s="16" t="s">
        <v>1235</v>
      </c>
      <c r="B339" s="17" t="s">
        <v>65</v>
      </c>
      <c r="C339" s="16" t="s">
        <v>1236</v>
      </c>
      <c r="D339" s="16" t="s">
        <v>1237</v>
      </c>
      <c r="E339" s="17">
        <v>2026</v>
      </c>
      <c r="F339" s="16" t="s">
        <v>1238</v>
      </c>
      <c r="G339" s="16" t="s">
        <v>35</v>
      </c>
      <c r="H339" s="16" t="s">
        <v>185</v>
      </c>
      <c r="I339" s="16" t="s">
        <v>7669</v>
      </c>
      <c r="J339" s="16" t="s">
        <v>123</v>
      </c>
    </row>
    <row r="340" spans="1:10" ht="209" x14ac:dyDescent="0.2">
      <c r="A340" s="16" t="s">
        <v>1239</v>
      </c>
      <c r="B340" s="17" t="s">
        <v>65</v>
      </c>
      <c r="C340" s="16" t="s">
        <v>1240</v>
      </c>
      <c r="D340" s="16" t="s">
        <v>1241</v>
      </c>
      <c r="E340" s="17">
        <v>2025</v>
      </c>
      <c r="F340" s="16" t="s">
        <v>1242</v>
      </c>
      <c r="G340" s="16" t="s">
        <v>35</v>
      </c>
      <c r="H340" s="16" t="s">
        <v>148</v>
      </c>
      <c r="I340" s="16" t="s">
        <v>7670</v>
      </c>
      <c r="J340" s="16" t="s">
        <v>123</v>
      </c>
    </row>
    <row r="341" spans="1:10" ht="209" x14ac:dyDescent="0.2">
      <c r="A341" s="16" t="s">
        <v>1243</v>
      </c>
      <c r="B341" s="17" t="s">
        <v>65</v>
      </c>
      <c r="C341" s="16" t="s">
        <v>1244</v>
      </c>
      <c r="D341" s="16" t="s">
        <v>1245</v>
      </c>
      <c r="E341" s="17">
        <v>2025</v>
      </c>
      <c r="F341" s="16" t="s">
        <v>1246</v>
      </c>
      <c r="G341" s="16" t="s">
        <v>35</v>
      </c>
      <c r="H341" s="16" t="s">
        <v>148</v>
      </c>
      <c r="I341" s="16" t="s">
        <v>7671</v>
      </c>
      <c r="J341" s="16" t="s">
        <v>123</v>
      </c>
    </row>
    <row r="342" spans="1:10" ht="133" x14ac:dyDescent="0.2">
      <c r="A342" s="18" t="s">
        <v>1247</v>
      </c>
      <c r="B342" s="19" t="s">
        <v>65</v>
      </c>
      <c r="C342" s="18" t="s">
        <v>1174</v>
      </c>
      <c r="D342" s="18" t="s">
        <v>1175</v>
      </c>
      <c r="E342" s="19">
        <v>2025</v>
      </c>
      <c r="F342" s="18" t="s">
        <v>1248</v>
      </c>
      <c r="G342" s="18" t="s">
        <v>7672</v>
      </c>
      <c r="H342" s="18" t="s">
        <v>165</v>
      </c>
      <c r="I342" s="18" t="s">
        <v>7673</v>
      </c>
      <c r="J342" s="18" t="s">
        <v>1249</v>
      </c>
    </row>
    <row r="343" spans="1:10" ht="247" x14ac:dyDescent="0.2">
      <c r="A343" s="16" t="s">
        <v>1250</v>
      </c>
      <c r="B343" s="17" t="s">
        <v>65</v>
      </c>
      <c r="C343" s="16" t="s">
        <v>1251</v>
      </c>
      <c r="D343" s="16" t="s">
        <v>1252</v>
      </c>
      <c r="E343" s="17">
        <v>2026</v>
      </c>
      <c r="F343" s="16" t="s">
        <v>1253</v>
      </c>
      <c r="G343" s="16" t="s">
        <v>35</v>
      </c>
      <c r="H343" s="16" t="s">
        <v>185</v>
      </c>
      <c r="I343" s="16" t="s">
        <v>7674</v>
      </c>
      <c r="J343" s="16" t="s">
        <v>123</v>
      </c>
    </row>
    <row r="344" spans="1:10" ht="76" x14ac:dyDescent="0.2">
      <c r="A344" s="18" t="s">
        <v>1254</v>
      </c>
      <c r="B344" s="19" t="s">
        <v>65</v>
      </c>
      <c r="C344" s="18" t="s">
        <v>400</v>
      </c>
      <c r="D344" s="18" t="s">
        <v>401</v>
      </c>
      <c r="E344" s="19">
        <v>2026</v>
      </c>
      <c r="F344" s="18" t="s">
        <v>1178</v>
      </c>
      <c r="G344" s="18" t="s">
        <v>7638</v>
      </c>
      <c r="H344" s="18" t="s">
        <v>165</v>
      </c>
      <c r="I344" s="18" t="s">
        <v>7675</v>
      </c>
      <c r="J344" s="18" t="s">
        <v>1179</v>
      </c>
    </row>
    <row r="345" spans="1:10" ht="304" x14ac:dyDescent="0.2">
      <c r="A345" s="16" t="s">
        <v>1255</v>
      </c>
      <c r="B345" s="17" t="s">
        <v>65</v>
      </c>
      <c r="C345" s="16" t="s">
        <v>1256</v>
      </c>
      <c r="D345" s="16" t="s">
        <v>1257</v>
      </c>
      <c r="E345" s="17">
        <v>2025</v>
      </c>
      <c r="F345" s="16" t="s">
        <v>1258</v>
      </c>
      <c r="G345" s="16" t="s">
        <v>35</v>
      </c>
      <c r="H345" s="16" t="s">
        <v>148</v>
      </c>
      <c r="I345" s="16" t="s">
        <v>7676</v>
      </c>
      <c r="J345" s="16" t="s">
        <v>123</v>
      </c>
    </row>
    <row r="346" spans="1:10" ht="209" x14ac:dyDescent="0.2">
      <c r="A346" s="16" t="s">
        <v>1259</v>
      </c>
      <c r="B346" s="17" t="s">
        <v>65</v>
      </c>
      <c r="C346" s="16" t="s">
        <v>1260</v>
      </c>
      <c r="D346" s="16" t="s">
        <v>1261</v>
      </c>
      <c r="E346" s="17">
        <v>2025</v>
      </c>
      <c r="F346" s="16" t="s">
        <v>1262</v>
      </c>
      <c r="G346" s="16" t="s">
        <v>35</v>
      </c>
      <c r="H346" s="16" t="s">
        <v>148</v>
      </c>
      <c r="I346" s="16" t="s">
        <v>7677</v>
      </c>
      <c r="J346" s="16" t="s">
        <v>123</v>
      </c>
    </row>
    <row r="347" spans="1:10" ht="304" x14ac:dyDescent="0.2">
      <c r="A347" s="14" t="s">
        <v>1263</v>
      </c>
      <c r="B347" s="15" t="s">
        <v>65</v>
      </c>
      <c r="C347" s="14" t="s">
        <v>1264</v>
      </c>
      <c r="D347" s="14" t="s">
        <v>1265</v>
      </c>
      <c r="E347" s="15">
        <v>2026</v>
      </c>
      <c r="F347" s="14" t="s">
        <v>1266</v>
      </c>
      <c r="G347" s="14" t="s">
        <v>7678</v>
      </c>
      <c r="H347" s="14"/>
      <c r="I347" s="14" t="s">
        <v>7679</v>
      </c>
      <c r="J347" s="14" t="s">
        <v>123</v>
      </c>
    </row>
    <row r="348" spans="1:10" ht="323" x14ac:dyDescent="0.2">
      <c r="A348" s="14" t="s">
        <v>1267</v>
      </c>
      <c r="B348" s="15" t="s">
        <v>65</v>
      </c>
      <c r="C348" s="14" t="s">
        <v>1268</v>
      </c>
      <c r="D348" s="14" t="s">
        <v>1269</v>
      </c>
      <c r="E348" s="15">
        <v>2025</v>
      </c>
      <c r="F348" s="14" t="s">
        <v>1270</v>
      </c>
      <c r="G348" s="14" t="s">
        <v>7680</v>
      </c>
      <c r="H348" s="14"/>
      <c r="I348" s="14" t="s">
        <v>7681</v>
      </c>
      <c r="J348" s="14" t="s">
        <v>123</v>
      </c>
    </row>
    <row r="349" spans="1:10" ht="228" x14ac:dyDescent="0.2">
      <c r="A349" s="16" t="s">
        <v>1271</v>
      </c>
      <c r="B349" s="17" t="s">
        <v>65</v>
      </c>
      <c r="C349" s="16" t="s">
        <v>1272</v>
      </c>
      <c r="D349" s="16" t="s">
        <v>1273</v>
      </c>
      <c r="E349" s="17">
        <v>2025</v>
      </c>
      <c r="F349" s="16" t="s">
        <v>1274</v>
      </c>
      <c r="G349" s="16" t="s">
        <v>35</v>
      </c>
      <c r="H349" s="16" t="s">
        <v>148</v>
      </c>
      <c r="I349" s="16" t="s">
        <v>7682</v>
      </c>
      <c r="J349" s="16" t="s">
        <v>123</v>
      </c>
    </row>
    <row r="350" spans="1:10" ht="247" x14ac:dyDescent="0.2">
      <c r="A350" s="16" t="s">
        <v>1275</v>
      </c>
      <c r="B350" s="17" t="s">
        <v>65</v>
      </c>
      <c r="C350" s="16" t="s">
        <v>1276</v>
      </c>
      <c r="D350" s="16" t="s">
        <v>1277</v>
      </c>
      <c r="E350" s="17">
        <v>2025</v>
      </c>
      <c r="F350" s="16" t="s">
        <v>1278</v>
      </c>
      <c r="G350" s="16" t="s">
        <v>35</v>
      </c>
      <c r="H350" s="16" t="s">
        <v>133</v>
      </c>
      <c r="I350" s="16" t="s">
        <v>7683</v>
      </c>
      <c r="J350" s="16" t="s">
        <v>123</v>
      </c>
    </row>
    <row r="351" spans="1:10" ht="323" x14ac:dyDescent="0.2">
      <c r="A351" s="14" t="s">
        <v>1279</v>
      </c>
      <c r="B351" s="15" t="s">
        <v>65</v>
      </c>
      <c r="C351" s="14" t="s">
        <v>1280</v>
      </c>
      <c r="D351" s="14" t="s">
        <v>1281</v>
      </c>
      <c r="E351" s="15">
        <v>2025</v>
      </c>
      <c r="F351" s="14" t="s">
        <v>1282</v>
      </c>
      <c r="G351" s="14" t="s">
        <v>7684</v>
      </c>
      <c r="H351" s="14"/>
      <c r="I351" s="14" t="s">
        <v>7685</v>
      </c>
      <c r="J351" s="14" t="s">
        <v>123</v>
      </c>
    </row>
    <row r="352" spans="1:10" ht="95" x14ac:dyDescent="0.2">
      <c r="A352" s="18" t="s">
        <v>1283</v>
      </c>
      <c r="B352" s="19" t="s">
        <v>65</v>
      </c>
      <c r="C352" s="18" t="s">
        <v>231</v>
      </c>
      <c r="D352" s="18" t="s">
        <v>421</v>
      </c>
      <c r="E352" s="19">
        <v>2026</v>
      </c>
      <c r="F352" s="18" t="s">
        <v>1284</v>
      </c>
      <c r="G352" s="18" t="s">
        <v>7686</v>
      </c>
      <c r="H352" s="18" t="s">
        <v>165</v>
      </c>
      <c r="I352" s="18" t="s">
        <v>7687</v>
      </c>
      <c r="J352" s="18" t="s">
        <v>1285</v>
      </c>
    </row>
    <row r="353" spans="1:10" ht="398" x14ac:dyDescent="0.2">
      <c r="A353" s="16" t="s">
        <v>1286</v>
      </c>
      <c r="B353" s="17" t="s">
        <v>65</v>
      </c>
      <c r="C353" s="16" t="s">
        <v>1287</v>
      </c>
      <c r="D353" s="16" t="s">
        <v>1288</v>
      </c>
      <c r="E353" s="17">
        <v>2025</v>
      </c>
      <c r="F353" s="16" t="s">
        <v>1289</v>
      </c>
      <c r="G353" s="16" t="s">
        <v>35</v>
      </c>
      <c r="H353" s="16" t="s">
        <v>148</v>
      </c>
      <c r="I353" s="16" t="s">
        <v>7688</v>
      </c>
      <c r="J353" s="16" t="s">
        <v>123</v>
      </c>
    </row>
    <row r="354" spans="1:10" ht="228" x14ac:dyDescent="0.2">
      <c r="A354" s="16" t="s">
        <v>1290</v>
      </c>
      <c r="B354" s="17" t="s">
        <v>65</v>
      </c>
      <c r="C354" s="16" t="s">
        <v>1291</v>
      </c>
      <c r="D354" s="16" t="s">
        <v>1292</v>
      </c>
      <c r="E354" s="17">
        <v>2026</v>
      </c>
      <c r="F354" s="16" t="s">
        <v>1293</v>
      </c>
      <c r="G354" s="16" t="s">
        <v>35</v>
      </c>
      <c r="H354" s="16" t="s">
        <v>148</v>
      </c>
      <c r="I354" s="16" t="s">
        <v>7689</v>
      </c>
      <c r="J354" s="16" t="s">
        <v>123</v>
      </c>
    </row>
    <row r="355" spans="1:10" ht="171" x14ac:dyDescent="0.2">
      <c r="A355" s="16" t="s">
        <v>1294</v>
      </c>
      <c r="B355" s="17" t="s">
        <v>65</v>
      </c>
      <c r="C355" s="16" t="s">
        <v>1295</v>
      </c>
      <c r="D355" s="16" t="s">
        <v>1296</v>
      </c>
      <c r="E355" s="17">
        <v>2025</v>
      </c>
      <c r="F355" s="16" t="s">
        <v>1297</v>
      </c>
      <c r="G355" s="16" t="s">
        <v>35</v>
      </c>
      <c r="H355" s="16" t="s">
        <v>148</v>
      </c>
      <c r="I355" s="16" t="s">
        <v>7690</v>
      </c>
      <c r="J355" s="16" t="s">
        <v>123</v>
      </c>
    </row>
    <row r="356" spans="1:10" ht="152" x14ac:dyDescent="0.2">
      <c r="A356" s="16" t="s">
        <v>1298</v>
      </c>
      <c r="B356" s="17" t="s">
        <v>65</v>
      </c>
      <c r="C356" s="16" t="s">
        <v>1299</v>
      </c>
      <c r="D356" s="16" t="s">
        <v>1300</v>
      </c>
      <c r="E356" s="17">
        <v>2026</v>
      </c>
      <c r="F356" s="16" t="s">
        <v>1301</v>
      </c>
      <c r="G356" s="16" t="s">
        <v>35</v>
      </c>
      <c r="H356" s="16" t="s">
        <v>148</v>
      </c>
      <c r="I356" s="16" t="s">
        <v>7691</v>
      </c>
      <c r="J356" s="16" t="s">
        <v>123</v>
      </c>
    </row>
    <row r="357" spans="1:10" ht="171" x14ac:dyDescent="0.2">
      <c r="A357" s="16" t="s">
        <v>1302</v>
      </c>
      <c r="B357" s="17" t="s">
        <v>65</v>
      </c>
      <c r="C357" s="16" t="s">
        <v>1303</v>
      </c>
      <c r="D357" s="16" t="s">
        <v>1304</v>
      </c>
      <c r="E357" s="17">
        <v>2025</v>
      </c>
      <c r="F357" s="16" t="s">
        <v>1305</v>
      </c>
      <c r="G357" s="16" t="s">
        <v>35</v>
      </c>
      <c r="H357" s="16" t="s">
        <v>148</v>
      </c>
      <c r="I357" s="16" t="s">
        <v>7692</v>
      </c>
      <c r="J357" s="16" t="s">
        <v>123</v>
      </c>
    </row>
    <row r="358" spans="1:10" ht="247" x14ac:dyDescent="0.2">
      <c r="A358" s="18" t="s">
        <v>1306</v>
      </c>
      <c r="B358" s="19" t="s">
        <v>65</v>
      </c>
      <c r="C358" s="18" t="s">
        <v>1307</v>
      </c>
      <c r="D358" s="18" t="s">
        <v>1308</v>
      </c>
      <c r="E358" s="19">
        <v>2025</v>
      </c>
      <c r="F358" s="18" t="s">
        <v>1309</v>
      </c>
      <c r="G358" s="18" t="s">
        <v>7693</v>
      </c>
      <c r="H358" s="18" t="s">
        <v>165</v>
      </c>
      <c r="I358" s="18" t="s">
        <v>7694</v>
      </c>
      <c r="J358" s="18" t="s">
        <v>1310</v>
      </c>
    </row>
    <row r="359" spans="1:10" ht="76" x14ac:dyDescent="0.2">
      <c r="A359" s="18" t="s">
        <v>1311</v>
      </c>
      <c r="B359" s="19" t="s">
        <v>65</v>
      </c>
      <c r="C359" s="18" t="s">
        <v>437</v>
      </c>
      <c r="D359" s="18" t="s">
        <v>438</v>
      </c>
      <c r="E359" s="19">
        <v>2026</v>
      </c>
      <c r="F359" s="18" t="s">
        <v>1312</v>
      </c>
      <c r="G359" s="18" t="s">
        <v>7695</v>
      </c>
      <c r="H359" s="18" t="s">
        <v>165</v>
      </c>
      <c r="I359" s="18" t="s">
        <v>7696</v>
      </c>
      <c r="J359" s="18" t="s">
        <v>1313</v>
      </c>
    </row>
    <row r="360" spans="1:10" ht="247" x14ac:dyDescent="0.2">
      <c r="A360" s="16" t="s">
        <v>1314</v>
      </c>
      <c r="B360" s="17" t="s">
        <v>65</v>
      </c>
      <c r="C360" s="16" t="s">
        <v>1307</v>
      </c>
      <c r="D360" s="16" t="s">
        <v>1315</v>
      </c>
      <c r="E360" s="17">
        <v>2026</v>
      </c>
      <c r="F360" s="16" t="s">
        <v>1316</v>
      </c>
      <c r="G360" s="16" t="s">
        <v>35</v>
      </c>
      <c r="H360" s="16" t="s">
        <v>148</v>
      </c>
      <c r="I360" s="16" t="s">
        <v>7697</v>
      </c>
      <c r="J360" s="16" t="s">
        <v>123</v>
      </c>
    </row>
    <row r="361" spans="1:10" ht="285" x14ac:dyDescent="0.2">
      <c r="A361" s="14" t="s">
        <v>1317</v>
      </c>
      <c r="B361" s="15" t="s">
        <v>65</v>
      </c>
      <c r="C361" s="14" t="s">
        <v>1318</v>
      </c>
      <c r="D361" s="14" t="s">
        <v>1319</v>
      </c>
      <c r="E361" s="15">
        <v>2026</v>
      </c>
      <c r="F361" s="14" t="s">
        <v>1320</v>
      </c>
      <c r="G361" s="14" t="s">
        <v>7698</v>
      </c>
      <c r="H361" s="14"/>
      <c r="I361" s="14" t="s">
        <v>7699</v>
      </c>
      <c r="J361" s="14" t="s">
        <v>252</v>
      </c>
    </row>
    <row r="362" spans="1:10" ht="76" x14ac:dyDescent="0.2">
      <c r="A362" s="18" t="s">
        <v>1321</v>
      </c>
      <c r="B362" s="19" t="s">
        <v>65</v>
      </c>
      <c r="C362" s="18" t="s">
        <v>462</v>
      </c>
      <c r="D362" s="18" t="s">
        <v>463</v>
      </c>
      <c r="E362" s="19">
        <v>2026</v>
      </c>
      <c r="F362" s="18" t="s">
        <v>1322</v>
      </c>
      <c r="G362" s="18" t="s">
        <v>7580</v>
      </c>
      <c r="H362" s="18" t="s">
        <v>165</v>
      </c>
      <c r="I362" s="18" t="s">
        <v>7700</v>
      </c>
      <c r="J362" s="18" t="s">
        <v>1058</v>
      </c>
    </row>
    <row r="363" spans="1:10" ht="209" x14ac:dyDescent="0.2">
      <c r="A363" s="16" t="s">
        <v>1323</v>
      </c>
      <c r="B363" s="17" t="s">
        <v>65</v>
      </c>
      <c r="C363" s="16" t="s">
        <v>1260</v>
      </c>
      <c r="D363" s="16" t="s">
        <v>1324</v>
      </c>
      <c r="E363" s="17">
        <v>2025</v>
      </c>
      <c r="F363" s="16" t="s">
        <v>1325</v>
      </c>
      <c r="G363" s="16" t="s">
        <v>35</v>
      </c>
      <c r="H363" s="16" t="s">
        <v>148</v>
      </c>
      <c r="I363" s="16" t="s">
        <v>7701</v>
      </c>
      <c r="J363" s="16" t="s">
        <v>123</v>
      </c>
    </row>
    <row r="364" spans="1:10" ht="190" x14ac:dyDescent="0.2">
      <c r="A364" s="16" t="s">
        <v>1326</v>
      </c>
      <c r="B364" s="17" t="s">
        <v>65</v>
      </c>
      <c r="C364" s="16" t="s">
        <v>1327</v>
      </c>
      <c r="D364" s="16" t="s">
        <v>1328</v>
      </c>
      <c r="E364" s="17">
        <v>2026</v>
      </c>
      <c r="F364" s="16" t="s">
        <v>1329</v>
      </c>
      <c r="G364" s="16" t="s">
        <v>35</v>
      </c>
      <c r="H364" s="16" t="s">
        <v>185</v>
      </c>
      <c r="I364" s="16" t="s">
        <v>7702</v>
      </c>
      <c r="J364" s="16" t="s">
        <v>123</v>
      </c>
    </row>
    <row r="365" spans="1:10" ht="95" x14ac:dyDescent="0.2">
      <c r="A365" s="18" t="s">
        <v>1330</v>
      </c>
      <c r="B365" s="19" t="s">
        <v>65</v>
      </c>
      <c r="C365" s="18" t="s">
        <v>231</v>
      </c>
      <c r="D365" s="18" t="s">
        <v>232</v>
      </c>
      <c r="E365" s="19">
        <v>2026</v>
      </c>
      <c r="F365" s="18" t="s">
        <v>747</v>
      </c>
      <c r="G365" s="18" t="s">
        <v>7323</v>
      </c>
      <c r="H365" s="18" t="s">
        <v>165</v>
      </c>
      <c r="I365" s="18" t="s">
        <v>7703</v>
      </c>
      <c r="J365" s="18" t="s">
        <v>468</v>
      </c>
    </row>
    <row r="366" spans="1:10" ht="247" x14ac:dyDescent="0.2">
      <c r="A366" s="16" t="s">
        <v>1331</v>
      </c>
      <c r="B366" s="17" t="s">
        <v>65</v>
      </c>
      <c r="C366" s="16" t="s">
        <v>1332</v>
      </c>
      <c r="D366" s="16" t="s">
        <v>1333</v>
      </c>
      <c r="E366" s="17">
        <v>2026</v>
      </c>
      <c r="F366" s="16" t="s">
        <v>1334</v>
      </c>
      <c r="G366" s="16" t="s">
        <v>35</v>
      </c>
      <c r="H366" s="16" t="s">
        <v>148</v>
      </c>
      <c r="I366" s="16" t="s">
        <v>7704</v>
      </c>
      <c r="J366" s="16" t="s">
        <v>123</v>
      </c>
    </row>
    <row r="367" spans="1:10" ht="76" x14ac:dyDescent="0.2">
      <c r="A367" s="18" t="s">
        <v>1335</v>
      </c>
      <c r="B367" s="19" t="s">
        <v>65</v>
      </c>
      <c r="C367" s="18" t="s">
        <v>478</v>
      </c>
      <c r="D367" s="18" t="s">
        <v>479</v>
      </c>
      <c r="E367" s="19">
        <v>2026</v>
      </c>
      <c r="F367" s="18" t="s">
        <v>758</v>
      </c>
      <c r="G367" s="18" t="s">
        <v>7441</v>
      </c>
      <c r="H367" s="18" t="s">
        <v>165</v>
      </c>
      <c r="I367" s="18" t="s">
        <v>7705</v>
      </c>
      <c r="J367" s="18" t="s">
        <v>759</v>
      </c>
    </row>
    <row r="368" spans="1:10" ht="209" x14ac:dyDescent="0.2">
      <c r="A368" s="16" t="s">
        <v>1336</v>
      </c>
      <c r="B368" s="17" t="s">
        <v>65</v>
      </c>
      <c r="C368" s="16" t="s">
        <v>1337</v>
      </c>
      <c r="D368" s="16" t="s">
        <v>1338</v>
      </c>
      <c r="E368" s="17">
        <v>2025</v>
      </c>
      <c r="F368" s="16" t="s">
        <v>1339</v>
      </c>
      <c r="G368" s="16" t="s">
        <v>35</v>
      </c>
      <c r="H368" s="16" t="s">
        <v>185</v>
      </c>
      <c r="I368" s="16" t="s">
        <v>7706</v>
      </c>
      <c r="J368" s="16" t="s">
        <v>123</v>
      </c>
    </row>
    <row r="369" spans="1:10" ht="114" x14ac:dyDescent="0.2">
      <c r="A369" s="18" t="s">
        <v>1340</v>
      </c>
      <c r="B369" s="19" t="s">
        <v>65</v>
      </c>
      <c r="C369" s="18" t="s">
        <v>1069</v>
      </c>
      <c r="D369" s="18" t="s">
        <v>1070</v>
      </c>
      <c r="E369" s="19">
        <v>2026</v>
      </c>
      <c r="F369" s="18" t="s">
        <v>1341</v>
      </c>
      <c r="G369" s="18" t="s">
        <v>7707</v>
      </c>
      <c r="H369" s="18" t="s">
        <v>165</v>
      </c>
      <c r="I369" s="18" t="s">
        <v>7708</v>
      </c>
      <c r="J369" s="18" t="s">
        <v>1342</v>
      </c>
    </row>
    <row r="370" spans="1:10" ht="304" x14ac:dyDescent="0.2">
      <c r="A370" s="16" t="s">
        <v>1343</v>
      </c>
      <c r="B370" s="17" t="s">
        <v>65</v>
      </c>
      <c r="C370" s="16" t="s">
        <v>1344</v>
      </c>
      <c r="D370" s="16" t="s">
        <v>1345</v>
      </c>
      <c r="E370" s="17">
        <v>2026</v>
      </c>
      <c r="F370" s="16" t="s">
        <v>1346</v>
      </c>
      <c r="G370" s="16" t="s">
        <v>35</v>
      </c>
      <c r="H370" s="16" t="s">
        <v>148</v>
      </c>
      <c r="I370" s="16" t="s">
        <v>7709</v>
      </c>
      <c r="J370" s="16" t="s">
        <v>48</v>
      </c>
    </row>
    <row r="371" spans="1:10" ht="171" x14ac:dyDescent="0.2">
      <c r="A371" s="16" t="s">
        <v>1347</v>
      </c>
      <c r="B371" s="17" t="s">
        <v>65</v>
      </c>
      <c r="C371" s="16" t="s">
        <v>1348</v>
      </c>
      <c r="D371" s="16" t="s">
        <v>1349</v>
      </c>
      <c r="E371" s="17">
        <v>2025</v>
      </c>
      <c r="F371" s="16" t="s">
        <v>1350</v>
      </c>
      <c r="G371" s="16" t="s">
        <v>35</v>
      </c>
      <c r="H371" s="16" t="s">
        <v>185</v>
      </c>
      <c r="I371" s="16" t="s">
        <v>7710</v>
      </c>
      <c r="J371" s="16" t="s">
        <v>186</v>
      </c>
    </row>
    <row r="372" spans="1:10" ht="95" x14ac:dyDescent="0.2">
      <c r="A372" s="18" t="s">
        <v>1351</v>
      </c>
      <c r="B372" s="19" t="s">
        <v>65</v>
      </c>
      <c r="C372" s="18" t="s">
        <v>500</v>
      </c>
      <c r="D372" s="18" t="s">
        <v>501</v>
      </c>
      <c r="E372" s="19">
        <v>2025</v>
      </c>
      <c r="F372" s="18" t="s">
        <v>1352</v>
      </c>
      <c r="G372" s="18" t="s">
        <v>7711</v>
      </c>
      <c r="H372" s="18" t="s">
        <v>165</v>
      </c>
      <c r="I372" s="18" t="s">
        <v>7712</v>
      </c>
      <c r="J372" s="18" t="s">
        <v>1353</v>
      </c>
    </row>
    <row r="373" spans="1:10" ht="171" x14ac:dyDescent="0.2">
      <c r="A373" s="16" t="s">
        <v>1354</v>
      </c>
      <c r="B373" s="17" t="s">
        <v>65</v>
      </c>
      <c r="C373" s="16" t="s">
        <v>1355</v>
      </c>
      <c r="D373" s="16" t="s">
        <v>1356</v>
      </c>
      <c r="E373" s="17">
        <v>2026</v>
      </c>
      <c r="F373" s="16" t="s">
        <v>1357</v>
      </c>
      <c r="G373" s="16" t="s">
        <v>35</v>
      </c>
      <c r="H373" s="16" t="s">
        <v>148</v>
      </c>
      <c r="I373" s="16" t="s">
        <v>7713</v>
      </c>
      <c r="J373" s="16" t="s">
        <v>123</v>
      </c>
    </row>
    <row r="374" spans="1:10" ht="95" x14ac:dyDescent="0.2">
      <c r="A374" s="18" t="s">
        <v>1358</v>
      </c>
      <c r="B374" s="19" t="s">
        <v>65</v>
      </c>
      <c r="C374" s="18" t="s">
        <v>512</v>
      </c>
      <c r="D374" s="18" t="s">
        <v>513</v>
      </c>
      <c r="E374" s="19">
        <v>2026</v>
      </c>
      <c r="F374" s="18" t="s">
        <v>1076</v>
      </c>
      <c r="G374" s="18" t="s">
        <v>7591</v>
      </c>
      <c r="H374" s="18" t="s">
        <v>165</v>
      </c>
      <c r="I374" s="18" t="s">
        <v>7714</v>
      </c>
      <c r="J374" s="18" t="s">
        <v>1077</v>
      </c>
    </row>
    <row r="375" spans="1:10" ht="190" x14ac:dyDescent="0.2">
      <c r="A375" s="16" t="s">
        <v>1359</v>
      </c>
      <c r="B375" s="17" t="s">
        <v>65</v>
      </c>
      <c r="C375" s="16" t="s">
        <v>1251</v>
      </c>
      <c r="D375" s="16" t="s">
        <v>1360</v>
      </c>
      <c r="E375" s="17">
        <v>2026</v>
      </c>
      <c r="F375" s="16" t="s">
        <v>1361</v>
      </c>
      <c r="G375" s="16" t="s">
        <v>35</v>
      </c>
      <c r="H375" s="16" t="s">
        <v>185</v>
      </c>
      <c r="I375" s="16" t="s">
        <v>7715</v>
      </c>
      <c r="J375" s="16" t="s">
        <v>123</v>
      </c>
    </row>
    <row r="376" spans="1:10" ht="76" x14ac:dyDescent="0.2">
      <c r="A376" s="18" t="s">
        <v>1362</v>
      </c>
      <c r="B376" s="19" t="s">
        <v>65</v>
      </c>
      <c r="C376" s="18" t="s">
        <v>528</v>
      </c>
      <c r="D376" s="18" t="s">
        <v>529</v>
      </c>
      <c r="E376" s="19">
        <v>2026</v>
      </c>
      <c r="F376" s="18" t="s">
        <v>897</v>
      </c>
      <c r="G376" s="18" t="s">
        <v>7446</v>
      </c>
      <c r="H376" s="18" t="s">
        <v>165</v>
      </c>
      <c r="I376" s="18" t="s">
        <v>7716</v>
      </c>
      <c r="J376" s="18" t="s">
        <v>774</v>
      </c>
    </row>
    <row r="377" spans="1:10" ht="95" x14ac:dyDescent="0.2">
      <c r="A377" s="18" t="s">
        <v>1363</v>
      </c>
      <c r="B377" s="19" t="s">
        <v>65</v>
      </c>
      <c r="C377" s="18" t="s">
        <v>899</v>
      </c>
      <c r="D377" s="18" t="s">
        <v>900</v>
      </c>
      <c r="E377" s="19">
        <v>2026</v>
      </c>
      <c r="F377" s="18" t="s">
        <v>1364</v>
      </c>
      <c r="G377" s="18" t="s">
        <v>7717</v>
      </c>
      <c r="H377" s="18" t="s">
        <v>165</v>
      </c>
      <c r="I377" s="18" t="s">
        <v>7718</v>
      </c>
      <c r="J377" s="18" t="s">
        <v>1365</v>
      </c>
    </row>
    <row r="378" spans="1:10" ht="95" x14ac:dyDescent="0.2">
      <c r="A378" s="18" t="s">
        <v>1366</v>
      </c>
      <c r="B378" s="19" t="s">
        <v>65</v>
      </c>
      <c r="C378" s="18" t="s">
        <v>533</v>
      </c>
      <c r="D378" s="18" t="s">
        <v>534</v>
      </c>
      <c r="E378" s="19">
        <v>2025</v>
      </c>
      <c r="F378" s="18" t="s">
        <v>903</v>
      </c>
      <c r="G378" s="18" t="s">
        <v>7507</v>
      </c>
      <c r="H378" s="18" t="s">
        <v>165</v>
      </c>
      <c r="I378" s="18" t="s">
        <v>7719</v>
      </c>
      <c r="J378" s="18" t="s">
        <v>904</v>
      </c>
    </row>
    <row r="379" spans="1:10" ht="76" x14ac:dyDescent="0.2">
      <c r="A379" s="18" t="s">
        <v>1367</v>
      </c>
      <c r="B379" s="19" t="s">
        <v>65</v>
      </c>
      <c r="C379" s="18" t="s">
        <v>537</v>
      </c>
      <c r="D379" s="18" t="s">
        <v>538</v>
      </c>
      <c r="E379" s="19">
        <v>2026</v>
      </c>
      <c r="F379" s="18" t="s">
        <v>906</v>
      </c>
      <c r="G379" s="18" t="s">
        <v>7509</v>
      </c>
      <c r="H379" s="18" t="s">
        <v>165</v>
      </c>
      <c r="I379" s="18" t="s">
        <v>7720</v>
      </c>
      <c r="J379" s="18" t="s">
        <v>907</v>
      </c>
    </row>
    <row r="380" spans="1:10" ht="95" x14ac:dyDescent="0.2">
      <c r="A380" s="18" t="s">
        <v>1368</v>
      </c>
      <c r="B380" s="19" t="s">
        <v>65</v>
      </c>
      <c r="C380" s="18" t="s">
        <v>545</v>
      </c>
      <c r="D380" s="18" t="s">
        <v>546</v>
      </c>
      <c r="E380" s="19">
        <v>2026</v>
      </c>
      <c r="F380" s="18" t="s">
        <v>1369</v>
      </c>
      <c r="G380" s="18" t="s">
        <v>7721</v>
      </c>
      <c r="H380" s="18" t="s">
        <v>165</v>
      </c>
      <c r="I380" s="18" t="s">
        <v>7722</v>
      </c>
      <c r="J380" s="18" t="s">
        <v>1370</v>
      </c>
    </row>
    <row r="381" spans="1:10" ht="76" x14ac:dyDescent="0.2">
      <c r="A381" s="18" t="s">
        <v>1371</v>
      </c>
      <c r="B381" s="19" t="s">
        <v>65</v>
      </c>
      <c r="C381" s="18" t="s">
        <v>159</v>
      </c>
      <c r="D381" s="18" t="s">
        <v>160</v>
      </c>
      <c r="E381" s="19">
        <v>2026</v>
      </c>
      <c r="F381" s="18" t="s">
        <v>1372</v>
      </c>
      <c r="G381" s="18" t="s">
        <v>7353</v>
      </c>
      <c r="H381" s="18" t="s">
        <v>165</v>
      </c>
      <c r="I381" s="18" t="s">
        <v>7723</v>
      </c>
      <c r="J381" s="18" t="s">
        <v>550</v>
      </c>
    </row>
    <row r="382" spans="1:10" ht="114" x14ac:dyDescent="0.2">
      <c r="A382" s="18" t="s">
        <v>1373</v>
      </c>
      <c r="B382" s="19" t="s">
        <v>65</v>
      </c>
      <c r="C382" s="18" t="s">
        <v>1085</v>
      </c>
      <c r="D382" s="18" t="s">
        <v>1086</v>
      </c>
      <c r="E382" s="19">
        <v>2026</v>
      </c>
      <c r="F382" s="18" t="s">
        <v>1374</v>
      </c>
      <c r="G382" s="18" t="s">
        <v>7724</v>
      </c>
      <c r="H382" s="18" t="s">
        <v>165</v>
      </c>
      <c r="I382" s="18" t="s">
        <v>7725</v>
      </c>
      <c r="J382" s="18" t="s">
        <v>1375</v>
      </c>
    </row>
    <row r="383" spans="1:10" ht="266" x14ac:dyDescent="0.2">
      <c r="A383" s="16" t="s">
        <v>1376</v>
      </c>
      <c r="B383" s="17" t="s">
        <v>65</v>
      </c>
      <c r="C383" s="16" t="s">
        <v>1377</v>
      </c>
      <c r="D383" s="16" t="s">
        <v>1378</v>
      </c>
      <c r="E383" s="17">
        <v>2026</v>
      </c>
      <c r="F383" s="16" t="s">
        <v>1379</v>
      </c>
      <c r="G383" s="16" t="s">
        <v>35</v>
      </c>
      <c r="H383" s="16" t="s">
        <v>185</v>
      </c>
      <c r="I383" s="16" t="s">
        <v>7726</v>
      </c>
      <c r="J383" s="16"/>
    </row>
    <row r="384" spans="1:10" ht="76" x14ac:dyDescent="0.2">
      <c r="A384" s="18" t="s">
        <v>1380</v>
      </c>
      <c r="B384" s="19" t="s">
        <v>65</v>
      </c>
      <c r="C384" s="18" t="s">
        <v>573</v>
      </c>
      <c r="D384" s="18" t="s">
        <v>574</v>
      </c>
      <c r="E384" s="19">
        <v>2026</v>
      </c>
      <c r="F384" s="18" t="s">
        <v>1381</v>
      </c>
      <c r="G384" s="18" t="s">
        <v>7727</v>
      </c>
      <c r="H384" s="18" t="s">
        <v>165</v>
      </c>
      <c r="I384" s="18" t="s">
        <v>7728</v>
      </c>
      <c r="J384" s="18" t="s">
        <v>1382</v>
      </c>
    </row>
    <row r="385" spans="1:10" ht="285" x14ac:dyDescent="0.2">
      <c r="A385" s="16" t="s">
        <v>1383</v>
      </c>
      <c r="B385" s="17" t="s">
        <v>65</v>
      </c>
      <c r="C385" s="16" t="s">
        <v>1384</v>
      </c>
      <c r="D385" s="16" t="s">
        <v>1385</v>
      </c>
      <c r="E385" s="17">
        <v>2026</v>
      </c>
      <c r="F385" s="16" t="s">
        <v>1386</v>
      </c>
      <c r="G385" s="16" t="s">
        <v>35</v>
      </c>
      <c r="H385" s="16" t="s">
        <v>148</v>
      </c>
      <c r="I385" s="16" t="s">
        <v>7729</v>
      </c>
      <c r="J385" s="16"/>
    </row>
    <row r="386" spans="1:10" ht="95" x14ac:dyDescent="0.2">
      <c r="A386" s="18" t="s">
        <v>1387</v>
      </c>
      <c r="B386" s="19" t="s">
        <v>65</v>
      </c>
      <c r="C386" s="18" t="s">
        <v>586</v>
      </c>
      <c r="D386" s="18" t="s">
        <v>587</v>
      </c>
      <c r="E386" s="19">
        <v>2026</v>
      </c>
      <c r="F386" s="18" t="s">
        <v>1388</v>
      </c>
      <c r="G386" s="18" t="s">
        <v>7730</v>
      </c>
      <c r="H386" s="18" t="s">
        <v>165</v>
      </c>
      <c r="I386" s="18" t="s">
        <v>7731</v>
      </c>
      <c r="J386" s="18" t="s">
        <v>1389</v>
      </c>
    </row>
    <row r="387" spans="1:10" ht="114" x14ac:dyDescent="0.2">
      <c r="A387" s="18" t="s">
        <v>1390</v>
      </c>
      <c r="B387" s="19" t="s">
        <v>65</v>
      </c>
      <c r="C387" s="18" t="s">
        <v>172</v>
      </c>
      <c r="D387" s="18" t="s">
        <v>173</v>
      </c>
      <c r="E387" s="19">
        <v>2025</v>
      </c>
      <c r="F387" s="18" t="s">
        <v>795</v>
      </c>
      <c r="G387" s="18" t="s">
        <v>7370</v>
      </c>
      <c r="H387" s="18" t="s">
        <v>165</v>
      </c>
      <c r="I387" s="18" t="s">
        <v>7732</v>
      </c>
      <c r="J387" s="18" t="s">
        <v>596</v>
      </c>
    </row>
    <row r="388" spans="1:10" ht="228" x14ac:dyDescent="0.2">
      <c r="A388" s="16" t="s">
        <v>1391</v>
      </c>
      <c r="B388" s="17" t="s">
        <v>65</v>
      </c>
      <c r="C388" s="16" t="s">
        <v>1392</v>
      </c>
      <c r="D388" s="16" t="s">
        <v>1393</v>
      </c>
      <c r="E388" s="17">
        <v>2025</v>
      </c>
      <c r="F388" s="16" t="s">
        <v>1394</v>
      </c>
      <c r="G388" s="16" t="s">
        <v>35</v>
      </c>
      <c r="H388" s="16" t="s">
        <v>148</v>
      </c>
      <c r="I388" s="16" t="s">
        <v>7733</v>
      </c>
      <c r="J388" s="16"/>
    </row>
    <row r="389" spans="1:10" ht="95" x14ac:dyDescent="0.2">
      <c r="A389" s="18" t="s">
        <v>1395</v>
      </c>
      <c r="B389" s="19" t="s">
        <v>65</v>
      </c>
      <c r="C389" s="18" t="s">
        <v>625</v>
      </c>
      <c r="D389" s="18" t="s">
        <v>626</v>
      </c>
      <c r="E389" s="19">
        <v>2026</v>
      </c>
      <c r="F389" s="18" t="s">
        <v>1396</v>
      </c>
      <c r="G389" s="18" t="s">
        <v>7734</v>
      </c>
      <c r="H389" s="18" t="s">
        <v>165</v>
      </c>
      <c r="I389" s="18" t="s">
        <v>7735</v>
      </c>
      <c r="J389" s="18" t="s">
        <v>1397</v>
      </c>
    </row>
    <row r="390" spans="1:10" ht="152" x14ac:dyDescent="0.2">
      <c r="A390" s="16" t="s">
        <v>1398</v>
      </c>
      <c r="B390" s="17" t="s">
        <v>65</v>
      </c>
      <c r="C390" s="16" t="s">
        <v>1399</v>
      </c>
      <c r="D390" s="16" t="s">
        <v>1400</v>
      </c>
      <c r="E390" s="17">
        <v>2026</v>
      </c>
      <c r="F390" s="16" t="s">
        <v>1401</v>
      </c>
      <c r="G390" s="16" t="s">
        <v>35</v>
      </c>
      <c r="H390" s="16" t="s">
        <v>185</v>
      </c>
      <c r="I390" s="16" t="s">
        <v>7736</v>
      </c>
      <c r="J390" s="16" t="s">
        <v>186</v>
      </c>
    </row>
    <row r="391" spans="1:10" ht="95" x14ac:dyDescent="0.2">
      <c r="A391" s="18" t="s">
        <v>1402</v>
      </c>
      <c r="B391" s="19" t="s">
        <v>65</v>
      </c>
      <c r="C391" s="18" t="s">
        <v>633</v>
      </c>
      <c r="D391" s="18" t="s">
        <v>634</v>
      </c>
      <c r="E391" s="19">
        <v>2025</v>
      </c>
      <c r="F391" s="18" t="s">
        <v>1403</v>
      </c>
      <c r="G391" s="18" t="s">
        <v>7606</v>
      </c>
      <c r="H391" s="18" t="s">
        <v>165</v>
      </c>
      <c r="I391" s="18" t="s">
        <v>7737</v>
      </c>
      <c r="J391" s="18" t="s">
        <v>1112</v>
      </c>
    </row>
    <row r="392" spans="1:10" ht="190" x14ac:dyDescent="0.2">
      <c r="A392" s="16" t="s">
        <v>1404</v>
      </c>
      <c r="B392" s="17" t="s">
        <v>65</v>
      </c>
      <c r="C392" s="16" t="s">
        <v>1405</v>
      </c>
      <c r="D392" s="16" t="s">
        <v>1406</v>
      </c>
      <c r="E392" s="17">
        <v>2025</v>
      </c>
      <c r="F392" s="16" t="s">
        <v>1407</v>
      </c>
      <c r="G392" s="16" t="s">
        <v>35</v>
      </c>
      <c r="H392" s="16" t="s">
        <v>185</v>
      </c>
      <c r="I392" s="16" t="s">
        <v>7738</v>
      </c>
      <c r="J392" s="16" t="s">
        <v>186</v>
      </c>
    </row>
    <row r="393" spans="1:10" ht="95" x14ac:dyDescent="0.2">
      <c r="A393" s="18" t="s">
        <v>1408</v>
      </c>
      <c r="B393" s="19" t="s">
        <v>65</v>
      </c>
      <c r="C393" s="18" t="s">
        <v>200</v>
      </c>
      <c r="D393" s="18" t="s">
        <v>201</v>
      </c>
      <c r="E393" s="19">
        <v>2024</v>
      </c>
      <c r="F393" s="18" t="s">
        <v>1409</v>
      </c>
      <c r="G393" s="18" t="s">
        <v>7537</v>
      </c>
      <c r="H393" s="18" t="s">
        <v>165</v>
      </c>
      <c r="I393" s="18" t="s">
        <v>7739</v>
      </c>
      <c r="J393" s="18" t="s">
        <v>972</v>
      </c>
    </row>
    <row r="394" spans="1:10" ht="76" x14ac:dyDescent="0.2">
      <c r="A394" s="18" t="s">
        <v>1410</v>
      </c>
      <c r="B394" s="19" t="s">
        <v>65</v>
      </c>
      <c r="C394" s="18" t="s">
        <v>259</v>
      </c>
      <c r="D394" s="18" t="s">
        <v>260</v>
      </c>
      <c r="E394" s="19">
        <v>2026</v>
      </c>
      <c r="F394" s="18" t="s">
        <v>1411</v>
      </c>
      <c r="G394" s="18" t="s">
        <v>7740</v>
      </c>
      <c r="H394" s="18" t="s">
        <v>165</v>
      </c>
      <c r="I394" s="18" t="s">
        <v>7741</v>
      </c>
      <c r="J394" s="18" t="s">
        <v>1412</v>
      </c>
    </row>
    <row r="395" spans="1:10" ht="95" x14ac:dyDescent="0.2">
      <c r="A395" s="18" t="s">
        <v>1413</v>
      </c>
      <c r="B395" s="19" t="s">
        <v>65</v>
      </c>
      <c r="C395" s="18" t="s">
        <v>191</v>
      </c>
      <c r="D395" s="18" t="s">
        <v>192</v>
      </c>
      <c r="E395" s="19">
        <v>2025</v>
      </c>
      <c r="F395" s="18" t="s">
        <v>974</v>
      </c>
      <c r="G395" s="18" t="s">
        <v>7247</v>
      </c>
      <c r="H395" s="18" t="s">
        <v>165</v>
      </c>
      <c r="I395" s="18" t="s">
        <v>7742</v>
      </c>
      <c r="J395" s="18" t="s">
        <v>263</v>
      </c>
    </row>
    <row r="396" spans="1:10" ht="152" x14ac:dyDescent="0.2">
      <c r="A396" s="16" t="s">
        <v>1414</v>
      </c>
      <c r="B396" s="17" t="s">
        <v>65</v>
      </c>
      <c r="C396" s="16" t="s">
        <v>1415</v>
      </c>
      <c r="D396" s="16" t="s">
        <v>1416</v>
      </c>
      <c r="E396" s="17">
        <v>2025</v>
      </c>
      <c r="F396" s="16" t="s">
        <v>1417</v>
      </c>
      <c r="G396" s="16" t="s">
        <v>35</v>
      </c>
      <c r="H396" s="16" t="s">
        <v>271</v>
      </c>
      <c r="I396" s="16" t="s">
        <v>7743</v>
      </c>
      <c r="J396" s="16" t="s">
        <v>186</v>
      </c>
    </row>
    <row r="397" spans="1:10" ht="133" x14ac:dyDescent="0.2">
      <c r="A397" s="16" t="s">
        <v>1418</v>
      </c>
      <c r="B397" s="17" t="s">
        <v>65</v>
      </c>
      <c r="C397" s="16" t="s">
        <v>1419</v>
      </c>
      <c r="D397" s="16" t="s">
        <v>1420</v>
      </c>
      <c r="E397" s="17">
        <v>2026</v>
      </c>
      <c r="F397" s="16" t="s">
        <v>1421</v>
      </c>
      <c r="G397" s="16" t="s">
        <v>35</v>
      </c>
      <c r="H397" s="16" t="s">
        <v>271</v>
      </c>
      <c r="I397" s="16" t="s">
        <v>7744</v>
      </c>
      <c r="J397" s="16" t="s">
        <v>186</v>
      </c>
    </row>
    <row r="398" spans="1:10" ht="114" x14ac:dyDescent="0.2">
      <c r="A398" s="18" t="s">
        <v>1422</v>
      </c>
      <c r="B398" s="19" t="s">
        <v>65</v>
      </c>
      <c r="C398" s="18" t="s">
        <v>159</v>
      </c>
      <c r="D398" s="18" t="s">
        <v>160</v>
      </c>
      <c r="E398" s="19">
        <v>2026</v>
      </c>
      <c r="F398" s="18" t="s">
        <v>1423</v>
      </c>
      <c r="G398" s="18" t="s">
        <v>7353</v>
      </c>
      <c r="H398" s="18" t="s">
        <v>165</v>
      </c>
      <c r="I398" s="18" t="s">
        <v>7745</v>
      </c>
      <c r="J398" s="18" t="s">
        <v>550</v>
      </c>
    </row>
    <row r="399" spans="1:10" ht="76" x14ac:dyDescent="0.2">
      <c r="A399" s="18" t="s">
        <v>1424</v>
      </c>
      <c r="B399" s="19" t="s">
        <v>65</v>
      </c>
      <c r="C399" s="18" t="s">
        <v>690</v>
      </c>
      <c r="D399" s="18" t="s">
        <v>691</v>
      </c>
      <c r="E399" s="19">
        <v>2026</v>
      </c>
      <c r="F399" s="18" t="s">
        <v>811</v>
      </c>
      <c r="G399" s="18" t="s">
        <v>7465</v>
      </c>
      <c r="H399" s="18" t="s">
        <v>165</v>
      </c>
      <c r="I399" s="18" t="s">
        <v>7746</v>
      </c>
      <c r="J399" s="18" t="s">
        <v>812</v>
      </c>
    </row>
    <row r="400" spans="1:10" ht="76" x14ac:dyDescent="0.2">
      <c r="A400" s="18" t="s">
        <v>1425</v>
      </c>
      <c r="B400" s="19" t="s">
        <v>65</v>
      </c>
      <c r="C400" s="18" t="s">
        <v>716</v>
      </c>
      <c r="D400" s="18" t="s">
        <v>717</v>
      </c>
      <c r="E400" s="19">
        <v>2026</v>
      </c>
      <c r="F400" s="18" t="s">
        <v>992</v>
      </c>
      <c r="G400" s="18" t="s">
        <v>7548</v>
      </c>
      <c r="H400" s="18" t="s">
        <v>165</v>
      </c>
      <c r="I400" s="18" t="s">
        <v>7747</v>
      </c>
      <c r="J400" s="18" t="s">
        <v>993</v>
      </c>
    </row>
    <row r="401" spans="1:10" ht="114" x14ac:dyDescent="0.2">
      <c r="A401" s="16" t="s">
        <v>1426</v>
      </c>
      <c r="B401" s="17" t="s">
        <v>65</v>
      </c>
      <c r="C401" s="16" t="s">
        <v>1427</v>
      </c>
      <c r="D401" s="16" t="s">
        <v>1428</v>
      </c>
      <c r="E401" s="17">
        <v>2025</v>
      </c>
      <c r="F401" s="16" t="s">
        <v>1429</v>
      </c>
      <c r="G401" s="16" t="s">
        <v>35</v>
      </c>
      <c r="H401" s="16" t="s">
        <v>271</v>
      </c>
      <c r="I401" s="16" t="s">
        <v>7748</v>
      </c>
      <c r="J401" s="16" t="s">
        <v>186</v>
      </c>
    </row>
    <row r="402" spans="1:10" ht="209" x14ac:dyDescent="0.2">
      <c r="A402" s="16" t="s">
        <v>1430</v>
      </c>
      <c r="B402" s="17" t="s">
        <v>68</v>
      </c>
      <c r="C402" s="16" t="s">
        <v>1431</v>
      </c>
      <c r="D402" s="16" t="s">
        <v>1432</v>
      </c>
      <c r="E402" s="17">
        <v>2023</v>
      </c>
      <c r="F402" s="16" t="s">
        <v>1433</v>
      </c>
      <c r="G402" s="16" t="s">
        <v>35</v>
      </c>
      <c r="H402" s="16" t="s">
        <v>133</v>
      </c>
      <c r="I402" s="16" t="s">
        <v>7749</v>
      </c>
      <c r="J402" s="16" t="s">
        <v>123</v>
      </c>
    </row>
    <row r="403" spans="1:10" ht="209" x14ac:dyDescent="0.2">
      <c r="A403" s="16" t="s">
        <v>1434</v>
      </c>
      <c r="B403" s="17" t="s">
        <v>68</v>
      </c>
      <c r="C403" s="16" t="s">
        <v>1435</v>
      </c>
      <c r="D403" s="16" t="s">
        <v>1436</v>
      </c>
      <c r="E403" s="17">
        <v>2024</v>
      </c>
      <c r="F403" s="16" t="s">
        <v>1437</v>
      </c>
      <c r="G403" s="16" t="s">
        <v>35</v>
      </c>
      <c r="H403" s="16" t="s">
        <v>133</v>
      </c>
      <c r="I403" s="16" t="s">
        <v>7750</v>
      </c>
      <c r="J403" s="16" t="s">
        <v>123</v>
      </c>
    </row>
    <row r="404" spans="1:10" ht="209" x14ac:dyDescent="0.2">
      <c r="A404" s="16" t="s">
        <v>1438</v>
      </c>
      <c r="B404" s="17" t="s">
        <v>68</v>
      </c>
      <c r="C404" s="16" t="s">
        <v>1439</v>
      </c>
      <c r="D404" s="16" t="s">
        <v>1440</v>
      </c>
      <c r="E404" s="17">
        <v>2023</v>
      </c>
      <c r="F404" s="16" t="s">
        <v>1441</v>
      </c>
      <c r="G404" s="16" t="s">
        <v>35</v>
      </c>
      <c r="H404" s="16" t="s">
        <v>133</v>
      </c>
      <c r="I404" s="16" t="s">
        <v>7751</v>
      </c>
      <c r="J404" s="16" t="s">
        <v>123</v>
      </c>
    </row>
    <row r="405" spans="1:10" ht="171" x14ac:dyDescent="0.2">
      <c r="A405" s="16" t="s">
        <v>1442</v>
      </c>
      <c r="B405" s="17" t="s">
        <v>68</v>
      </c>
      <c r="C405" s="16" t="s">
        <v>1443</v>
      </c>
      <c r="D405" s="16" t="s">
        <v>1444</v>
      </c>
      <c r="E405" s="17">
        <v>2023</v>
      </c>
      <c r="F405" s="16" t="s">
        <v>1445</v>
      </c>
      <c r="G405" s="16" t="s">
        <v>35</v>
      </c>
      <c r="H405" s="16" t="s">
        <v>148</v>
      </c>
      <c r="I405" s="16" t="s">
        <v>7752</v>
      </c>
      <c r="J405" s="16" t="s">
        <v>123</v>
      </c>
    </row>
    <row r="406" spans="1:10" ht="133" x14ac:dyDescent="0.2">
      <c r="A406" s="16" t="s">
        <v>1446</v>
      </c>
      <c r="B406" s="17" t="s">
        <v>68</v>
      </c>
      <c r="C406" s="16" t="s">
        <v>1447</v>
      </c>
      <c r="D406" s="16" t="s">
        <v>1448</v>
      </c>
      <c r="E406" s="17">
        <v>2024</v>
      </c>
      <c r="F406" s="16" t="s">
        <v>1449</v>
      </c>
      <c r="G406" s="16" t="s">
        <v>35</v>
      </c>
      <c r="H406" s="16" t="s">
        <v>148</v>
      </c>
      <c r="I406" s="16" t="s">
        <v>7753</v>
      </c>
      <c r="J406" s="16" t="s">
        <v>123</v>
      </c>
    </row>
    <row r="407" spans="1:10" ht="152" x14ac:dyDescent="0.2">
      <c r="A407" s="16" t="s">
        <v>1450</v>
      </c>
      <c r="B407" s="17" t="s">
        <v>68</v>
      </c>
      <c r="C407" s="16" t="s">
        <v>1451</v>
      </c>
      <c r="D407" s="16" t="s">
        <v>1452</v>
      </c>
      <c r="E407" s="17">
        <v>2024</v>
      </c>
      <c r="F407" s="16" t="s">
        <v>1453</v>
      </c>
      <c r="G407" s="16" t="s">
        <v>35</v>
      </c>
      <c r="H407" s="16" t="s">
        <v>148</v>
      </c>
      <c r="I407" s="16" t="s">
        <v>7754</v>
      </c>
      <c r="J407" s="16" t="s">
        <v>123</v>
      </c>
    </row>
    <row r="408" spans="1:10" ht="247" x14ac:dyDescent="0.2">
      <c r="A408" s="16" t="s">
        <v>1454</v>
      </c>
      <c r="B408" s="17" t="s">
        <v>68</v>
      </c>
      <c r="C408" s="16" t="s">
        <v>1455</v>
      </c>
      <c r="D408" s="16" t="s">
        <v>1456</v>
      </c>
      <c r="E408" s="17">
        <v>2025</v>
      </c>
      <c r="F408" s="16" t="s">
        <v>1457</v>
      </c>
      <c r="G408" s="16" t="s">
        <v>35</v>
      </c>
      <c r="H408" s="16" t="s">
        <v>133</v>
      </c>
      <c r="I408" s="16" t="s">
        <v>7755</v>
      </c>
      <c r="J408" s="16" t="s">
        <v>123</v>
      </c>
    </row>
    <row r="409" spans="1:10" ht="133" x14ac:dyDescent="0.2">
      <c r="A409" s="16" t="s">
        <v>1458</v>
      </c>
      <c r="B409" s="17" t="s">
        <v>68</v>
      </c>
      <c r="C409" s="16" t="s">
        <v>1459</v>
      </c>
      <c r="D409" s="16" t="s">
        <v>1460</v>
      </c>
      <c r="E409" s="17">
        <v>2023</v>
      </c>
      <c r="F409" s="16" t="s">
        <v>1461</v>
      </c>
      <c r="G409" s="16" t="s">
        <v>35</v>
      </c>
      <c r="H409" s="16" t="s">
        <v>148</v>
      </c>
      <c r="I409" s="16" t="s">
        <v>7756</v>
      </c>
      <c r="J409" s="16" t="s">
        <v>123</v>
      </c>
    </row>
    <row r="410" spans="1:10" ht="190" x14ac:dyDescent="0.2">
      <c r="A410" s="16" t="s">
        <v>1462</v>
      </c>
      <c r="B410" s="17" t="s">
        <v>68</v>
      </c>
      <c r="C410" s="16" t="s">
        <v>1463</v>
      </c>
      <c r="D410" s="16" t="s">
        <v>1464</v>
      </c>
      <c r="E410" s="17">
        <v>2025</v>
      </c>
      <c r="F410" s="16" t="s">
        <v>1465</v>
      </c>
      <c r="G410" s="16" t="s">
        <v>35</v>
      </c>
      <c r="H410" s="16" t="s">
        <v>133</v>
      </c>
      <c r="I410" s="16" t="s">
        <v>7757</v>
      </c>
      <c r="J410" s="16" t="s">
        <v>123</v>
      </c>
    </row>
    <row r="411" spans="1:10" ht="190" x14ac:dyDescent="0.2">
      <c r="A411" s="16" t="s">
        <v>1466</v>
      </c>
      <c r="B411" s="17" t="s">
        <v>68</v>
      </c>
      <c r="C411" s="16" t="s">
        <v>1467</v>
      </c>
      <c r="D411" s="16" t="s">
        <v>1468</v>
      </c>
      <c r="E411" s="17">
        <v>2023</v>
      </c>
      <c r="F411" s="16" t="s">
        <v>1469</v>
      </c>
      <c r="G411" s="16" t="s">
        <v>35</v>
      </c>
      <c r="H411" s="16" t="s">
        <v>133</v>
      </c>
      <c r="I411" s="16" t="s">
        <v>7758</v>
      </c>
      <c r="J411" s="16" t="s">
        <v>123</v>
      </c>
    </row>
    <row r="412" spans="1:10" ht="95" x14ac:dyDescent="0.2">
      <c r="A412" s="18" t="s">
        <v>1470</v>
      </c>
      <c r="B412" s="19" t="s">
        <v>68</v>
      </c>
      <c r="C412" s="18" t="s">
        <v>125</v>
      </c>
      <c r="D412" s="18" t="s">
        <v>126</v>
      </c>
      <c r="E412" s="19">
        <v>2026</v>
      </c>
      <c r="F412" s="18" t="s">
        <v>729</v>
      </c>
      <c r="G412" s="18" t="s">
        <v>7232</v>
      </c>
      <c r="H412" s="18" t="s">
        <v>165</v>
      </c>
      <c r="I412" s="18" t="s">
        <v>7759</v>
      </c>
      <c r="J412" s="18" t="s">
        <v>225</v>
      </c>
    </row>
    <row r="413" spans="1:10" ht="247" x14ac:dyDescent="0.2">
      <c r="A413" s="16" t="s">
        <v>1471</v>
      </c>
      <c r="B413" s="17" t="s">
        <v>68</v>
      </c>
      <c r="C413" s="16" t="s">
        <v>1472</v>
      </c>
      <c r="D413" s="16" t="s">
        <v>1473</v>
      </c>
      <c r="E413" s="17">
        <v>2024</v>
      </c>
      <c r="F413" s="16" t="s">
        <v>1474</v>
      </c>
      <c r="G413" s="16" t="s">
        <v>35</v>
      </c>
      <c r="H413" s="16" t="s">
        <v>148</v>
      </c>
      <c r="I413" s="16" t="s">
        <v>7760</v>
      </c>
      <c r="J413" s="16" t="s">
        <v>123</v>
      </c>
    </row>
    <row r="414" spans="1:10" ht="152" x14ac:dyDescent="0.2">
      <c r="A414" s="16" t="s">
        <v>1475</v>
      </c>
      <c r="B414" s="17" t="s">
        <v>68</v>
      </c>
      <c r="C414" s="16" t="s">
        <v>1476</v>
      </c>
      <c r="D414" s="16" t="s">
        <v>1477</v>
      </c>
      <c r="E414" s="17">
        <v>2026</v>
      </c>
      <c r="F414" s="16" t="s">
        <v>1478</v>
      </c>
      <c r="G414" s="16" t="s">
        <v>35</v>
      </c>
      <c r="H414" s="16" t="s">
        <v>148</v>
      </c>
      <c r="I414" s="16" t="s">
        <v>7761</v>
      </c>
      <c r="J414" s="16" t="s">
        <v>123</v>
      </c>
    </row>
    <row r="415" spans="1:10" ht="209" x14ac:dyDescent="0.2">
      <c r="A415" s="16" t="s">
        <v>1479</v>
      </c>
      <c r="B415" s="17" t="s">
        <v>68</v>
      </c>
      <c r="C415" s="16" t="s">
        <v>1480</v>
      </c>
      <c r="D415" s="16" t="s">
        <v>1481</v>
      </c>
      <c r="E415" s="17">
        <v>2025</v>
      </c>
      <c r="F415" s="16" t="s">
        <v>1482</v>
      </c>
      <c r="G415" s="16" t="s">
        <v>35</v>
      </c>
      <c r="H415" s="16" t="s">
        <v>148</v>
      </c>
      <c r="I415" s="16" t="s">
        <v>7762</v>
      </c>
      <c r="J415" s="16" t="s">
        <v>123</v>
      </c>
    </row>
    <row r="416" spans="1:10" ht="133" x14ac:dyDescent="0.2">
      <c r="A416" s="16" t="s">
        <v>1483</v>
      </c>
      <c r="B416" s="17" t="s">
        <v>68</v>
      </c>
      <c r="C416" s="16" t="s">
        <v>1484</v>
      </c>
      <c r="D416" s="16" t="s">
        <v>1485</v>
      </c>
      <c r="E416" s="17">
        <v>2024</v>
      </c>
      <c r="F416" s="16" t="s">
        <v>1486</v>
      </c>
      <c r="G416" s="16" t="s">
        <v>35</v>
      </c>
      <c r="H416" s="16" t="s">
        <v>148</v>
      </c>
      <c r="I416" s="16" t="s">
        <v>7763</v>
      </c>
      <c r="J416" s="16" t="s">
        <v>123</v>
      </c>
    </row>
    <row r="417" spans="1:10" ht="133" x14ac:dyDescent="0.2">
      <c r="A417" s="16" t="s">
        <v>1487</v>
      </c>
      <c r="B417" s="17" t="s">
        <v>68</v>
      </c>
      <c r="C417" s="16" t="s">
        <v>1488</v>
      </c>
      <c r="D417" s="16" t="s">
        <v>1489</v>
      </c>
      <c r="E417" s="17">
        <v>2024</v>
      </c>
      <c r="F417" s="16" t="s">
        <v>1490</v>
      </c>
      <c r="G417" s="16" t="s">
        <v>35</v>
      </c>
      <c r="H417" s="16" t="s">
        <v>148</v>
      </c>
      <c r="I417" s="16" t="s">
        <v>7764</v>
      </c>
      <c r="J417" s="16" t="s">
        <v>123</v>
      </c>
    </row>
    <row r="418" spans="1:10" ht="190" x14ac:dyDescent="0.2">
      <c r="A418" s="16" t="s">
        <v>1491</v>
      </c>
      <c r="B418" s="17" t="s">
        <v>68</v>
      </c>
      <c r="C418" s="16" t="s">
        <v>1492</v>
      </c>
      <c r="D418" s="16" t="s">
        <v>1493</v>
      </c>
      <c r="E418" s="17">
        <v>2025</v>
      </c>
      <c r="F418" s="16" t="s">
        <v>1494</v>
      </c>
      <c r="G418" s="16" t="s">
        <v>35</v>
      </c>
      <c r="H418" s="16" t="s">
        <v>148</v>
      </c>
      <c r="I418" s="16" t="s">
        <v>7765</v>
      </c>
      <c r="J418" s="16" t="s">
        <v>123</v>
      </c>
    </row>
    <row r="419" spans="1:10" ht="190" x14ac:dyDescent="0.2">
      <c r="A419" s="16" t="s">
        <v>1495</v>
      </c>
      <c r="B419" s="17" t="s">
        <v>68</v>
      </c>
      <c r="C419" s="16" t="s">
        <v>1496</v>
      </c>
      <c r="D419" s="16" t="s">
        <v>1497</v>
      </c>
      <c r="E419" s="17">
        <v>2023</v>
      </c>
      <c r="F419" s="16" t="s">
        <v>1498</v>
      </c>
      <c r="G419" s="16" t="s">
        <v>35</v>
      </c>
      <c r="H419" s="16" t="s">
        <v>185</v>
      </c>
      <c r="I419" s="16" t="s">
        <v>7766</v>
      </c>
      <c r="J419" s="16" t="s">
        <v>123</v>
      </c>
    </row>
    <row r="420" spans="1:10" ht="228" x14ac:dyDescent="0.2">
      <c r="A420" s="16" t="s">
        <v>1499</v>
      </c>
      <c r="B420" s="17" t="s">
        <v>68</v>
      </c>
      <c r="C420" s="16" t="s">
        <v>1500</v>
      </c>
      <c r="D420" s="16" t="s">
        <v>1501</v>
      </c>
      <c r="E420" s="17">
        <v>2025</v>
      </c>
      <c r="F420" s="16" t="s">
        <v>1502</v>
      </c>
      <c r="G420" s="16" t="s">
        <v>35</v>
      </c>
      <c r="H420" s="16" t="s">
        <v>133</v>
      </c>
      <c r="I420" s="16" t="s">
        <v>7767</v>
      </c>
      <c r="J420" s="16" t="s">
        <v>123</v>
      </c>
    </row>
    <row r="421" spans="1:10" ht="152" x14ac:dyDescent="0.2">
      <c r="A421" s="16" t="s">
        <v>1503</v>
      </c>
      <c r="B421" s="17" t="s">
        <v>68</v>
      </c>
      <c r="C421" s="16" t="s">
        <v>1504</v>
      </c>
      <c r="D421" s="16" t="s">
        <v>1505</v>
      </c>
      <c r="E421" s="17">
        <v>2023</v>
      </c>
      <c r="F421" s="16" t="s">
        <v>1506</v>
      </c>
      <c r="G421" s="16" t="s">
        <v>35</v>
      </c>
      <c r="H421" s="16" t="s">
        <v>148</v>
      </c>
      <c r="I421" s="16" t="s">
        <v>7768</v>
      </c>
      <c r="J421" s="16" t="s">
        <v>123</v>
      </c>
    </row>
    <row r="422" spans="1:10" ht="171" x14ac:dyDescent="0.2">
      <c r="A422" s="16" t="s">
        <v>1507</v>
      </c>
      <c r="B422" s="17" t="s">
        <v>68</v>
      </c>
      <c r="C422" s="16" t="s">
        <v>1508</v>
      </c>
      <c r="D422" s="16" t="s">
        <v>1509</v>
      </c>
      <c r="E422" s="17">
        <v>2024</v>
      </c>
      <c r="F422" s="16" t="s">
        <v>1510</v>
      </c>
      <c r="G422" s="16" t="s">
        <v>35</v>
      </c>
      <c r="H422" s="16" t="s">
        <v>133</v>
      </c>
      <c r="I422" s="16" t="s">
        <v>7769</v>
      </c>
      <c r="J422" s="16" t="s">
        <v>123</v>
      </c>
    </row>
    <row r="423" spans="1:10" ht="171" x14ac:dyDescent="0.2">
      <c r="A423" s="16" t="s">
        <v>1511</v>
      </c>
      <c r="B423" s="17" t="s">
        <v>68</v>
      </c>
      <c r="C423" s="16" t="s">
        <v>1512</v>
      </c>
      <c r="D423" s="16" t="s">
        <v>1513</v>
      </c>
      <c r="E423" s="17">
        <v>2025</v>
      </c>
      <c r="F423" s="16" t="s">
        <v>1514</v>
      </c>
      <c r="G423" s="16" t="s">
        <v>35</v>
      </c>
      <c r="H423" s="16" t="s">
        <v>185</v>
      </c>
      <c r="I423" s="16" t="s">
        <v>7770</v>
      </c>
      <c r="J423" s="16" t="s">
        <v>123</v>
      </c>
    </row>
    <row r="424" spans="1:10" ht="171" x14ac:dyDescent="0.2">
      <c r="A424" s="16" t="s">
        <v>1515</v>
      </c>
      <c r="B424" s="17" t="s">
        <v>68</v>
      </c>
      <c r="C424" s="16" t="s">
        <v>1516</v>
      </c>
      <c r="D424" s="16" t="s">
        <v>1517</v>
      </c>
      <c r="E424" s="17">
        <v>2024</v>
      </c>
      <c r="F424" s="16" t="s">
        <v>1518</v>
      </c>
      <c r="G424" s="16" t="s">
        <v>35</v>
      </c>
      <c r="H424" s="16" t="s">
        <v>185</v>
      </c>
      <c r="I424" s="16" t="s">
        <v>7771</v>
      </c>
      <c r="J424" s="16" t="s">
        <v>123</v>
      </c>
    </row>
    <row r="425" spans="1:10" ht="133" x14ac:dyDescent="0.2">
      <c r="A425" s="16" t="s">
        <v>1519</v>
      </c>
      <c r="B425" s="17" t="s">
        <v>68</v>
      </c>
      <c r="C425" s="16" t="s">
        <v>1520</v>
      </c>
      <c r="D425" s="16" t="s">
        <v>1521</v>
      </c>
      <c r="E425" s="17">
        <v>2024</v>
      </c>
      <c r="F425" s="16" t="s">
        <v>1522</v>
      </c>
      <c r="G425" s="16" t="s">
        <v>35</v>
      </c>
      <c r="H425" s="16" t="s">
        <v>148</v>
      </c>
      <c r="I425" s="16" t="s">
        <v>7772</v>
      </c>
      <c r="J425" s="16" t="s">
        <v>123</v>
      </c>
    </row>
    <row r="426" spans="1:10" ht="133" x14ac:dyDescent="0.2">
      <c r="A426" s="16" t="s">
        <v>1523</v>
      </c>
      <c r="B426" s="17" t="s">
        <v>68</v>
      </c>
      <c r="C426" s="16" t="s">
        <v>1524</v>
      </c>
      <c r="D426" s="16" t="s">
        <v>1525</v>
      </c>
      <c r="E426" s="17">
        <v>2023</v>
      </c>
      <c r="F426" s="16" t="s">
        <v>1526</v>
      </c>
      <c r="G426" s="16" t="s">
        <v>35</v>
      </c>
      <c r="H426" s="16" t="s">
        <v>148</v>
      </c>
      <c r="I426" s="16" t="s">
        <v>7773</v>
      </c>
      <c r="J426" s="16" t="s">
        <v>123</v>
      </c>
    </row>
    <row r="427" spans="1:10" ht="133" x14ac:dyDescent="0.2">
      <c r="A427" s="16" t="s">
        <v>1527</v>
      </c>
      <c r="B427" s="17" t="s">
        <v>68</v>
      </c>
      <c r="C427" s="16" t="s">
        <v>1528</v>
      </c>
      <c r="D427" s="16" t="s">
        <v>1529</v>
      </c>
      <c r="E427" s="17">
        <v>2024</v>
      </c>
      <c r="F427" s="16" t="s">
        <v>1530</v>
      </c>
      <c r="G427" s="16" t="s">
        <v>35</v>
      </c>
      <c r="H427" s="16" t="s">
        <v>148</v>
      </c>
      <c r="I427" s="16" t="s">
        <v>7774</v>
      </c>
      <c r="J427" s="16" t="s">
        <v>123</v>
      </c>
    </row>
    <row r="428" spans="1:10" ht="247" x14ac:dyDescent="0.2">
      <c r="A428" s="16" t="s">
        <v>1531</v>
      </c>
      <c r="B428" s="17" t="s">
        <v>68</v>
      </c>
      <c r="C428" s="16" t="s">
        <v>1532</v>
      </c>
      <c r="D428" s="16" t="s">
        <v>1533</v>
      </c>
      <c r="E428" s="17">
        <v>2024</v>
      </c>
      <c r="F428" s="16" t="s">
        <v>1534</v>
      </c>
      <c r="G428" s="16" t="s">
        <v>35</v>
      </c>
      <c r="H428" s="16" t="s">
        <v>148</v>
      </c>
      <c r="I428" s="16" t="s">
        <v>7775</v>
      </c>
      <c r="J428" s="16" t="s">
        <v>123</v>
      </c>
    </row>
    <row r="429" spans="1:10" ht="152" x14ac:dyDescent="0.2">
      <c r="A429" s="16" t="s">
        <v>1535</v>
      </c>
      <c r="B429" s="17" t="s">
        <v>68</v>
      </c>
      <c r="C429" s="16" t="s">
        <v>1536</v>
      </c>
      <c r="D429" s="16" t="s">
        <v>1537</v>
      </c>
      <c r="E429" s="17">
        <v>2023</v>
      </c>
      <c r="F429" s="16" t="s">
        <v>1538</v>
      </c>
      <c r="G429" s="16" t="s">
        <v>35</v>
      </c>
      <c r="H429" s="16" t="s">
        <v>148</v>
      </c>
      <c r="I429" s="16" t="s">
        <v>7776</v>
      </c>
      <c r="J429" s="16" t="s">
        <v>123</v>
      </c>
    </row>
    <row r="430" spans="1:10" ht="114" x14ac:dyDescent="0.2">
      <c r="A430" s="16" t="s">
        <v>1539</v>
      </c>
      <c r="B430" s="17" t="s">
        <v>68</v>
      </c>
      <c r="C430" s="16" t="s">
        <v>1540</v>
      </c>
      <c r="D430" s="16" t="s">
        <v>1541</v>
      </c>
      <c r="E430" s="17">
        <v>2024</v>
      </c>
      <c r="F430" s="16" t="s">
        <v>1542</v>
      </c>
      <c r="G430" s="16" t="s">
        <v>35</v>
      </c>
      <c r="H430" s="16" t="s">
        <v>148</v>
      </c>
      <c r="I430" s="16" t="s">
        <v>7777</v>
      </c>
      <c r="J430" s="16" t="s">
        <v>123</v>
      </c>
    </row>
    <row r="431" spans="1:10" ht="133" x14ac:dyDescent="0.2">
      <c r="A431" s="16" t="s">
        <v>1543</v>
      </c>
      <c r="B431" s="17" t="s">
        <v>68</v>
      </c>
      <c r="C431" s="16" t="s">
        <v>1544</v>
      </c>
      <c r="D431" s="16" t="s">
        <v>1545</v>
      </c>
      <c r="E431" s="17">
        <v>2024</v>
      </c>
      <c r="F431" s="16" t="s">
        <v>1546</v>
      </c>
      <c r="G431" s="16" t="s">
        <v>35</v>
      </c>
      <c r="H431" s="16" t="s">
        <v>148</v>
      </c>
      <c r="I431" s="16" t="s">
        <v>7778</v>
      </c>
      <c r="J431" s="16" t="s">
        <v>123</v>
      </c>
    </row>
    <row r="432" spans="1:10" ht="228" x14ac:dyDescent="0.2">
      <c r="A432" s="16" t="s">
        <v>1547</v>
      </c>
      <c r="B432" s="17" t="s">
        <v>68</v>
      </c>
      <c r="C432" s="16" t="s">
        <v>1548</v>
      </c>
      <c r="D432" s="16" t="s">
        <v>1549</v>
      </c>
      <c r="E432" s="17">
        <v>2024</v>
      </c>
      <c r="F432" s="16" t="s">
        <v>1550</v>
      </c>
      <c r="G432" s="16" t="s">
        <v>35</v>
      </c>
      <c r="H432" s="16" t="s">
        <v>148</v>
      </c>
      <c r="I432" s="16" t="s">
        <v>7779</v>
      </c>
      <c r="J432" s="16" t="s">
        <v>123</v>
      </c>
    </row>
    <row r="433" spans="1:10" ht="209" x14ac:dyDescent="0.2">
      <c r="A433" s="16" t="s">
        <v>1551</v>
      </c>
      <c r="B433" s="17" t="s">
        <v>68</v>
      </c>
      <c r="C433" s="16" t="s">
        <v>1552</v>
      </c>
      <c r="D433" s="16" t="s">
        <v>1553</v>
      </c>
      <c r="E433" s="17">
        <v>2024</v>
      </c>
      <c r="F433" s="16" t="s">
        <v>1554</v>
      </c>
      <c r="G433" s="16" t="s">
        <v>35</v>
      </c>
      <c r="H433" s="16" t="s">
        <v>148</v>
      </c>
      <c r="I433" s="16" t="s">
        <v>7780</v>
      </c>
      <c r="J433" s="16" t="s">
        <v>123</v>
      </c>
    </row>
    <row r="434" spans="1:10" ht="152" x14ac:dyDescent="0.2">
      <c r="A434" s="16" t="s">
        <v>1555</v>
      </c>
      <c r="B434" s="17" t="s">
        <v>68</v>
      </c>
      <c r="C434" s="16" t="s">
        <v>1556</v>
      </c>
      <c r="D434" s="16" t="s">
        <v>1557</v>
      </c>
      <c r="E434" s="17">
        <v>2025</v>
      </c>
      <c r="F434" s="16" t="s">
        <v>1558</v>
      </c>
      <c r="G434" s="16" t="s">
        <v>35</v>
      </c>
      <c r="H434" s="16" t="s">
        <v>148</v>
      </c>
      <c r="I434" s="16" t="s">
        <v>7781</v>
      </c>
      <c r="J434" s="16" t="s">
        <v>123</v>
      </c>
    </row>
    <row r="435" spans="1:10" ht="133" x14ac:dyDescent="0.2">
      <c r="A435" s="16" t="s">
        <v>1559</v>
      </c>
      <c r="B435" s="17" t="s">
        <v>68</v>
      </c>
      <c r="C435" s="16" t="s">
        <v>1560</v>
      </c>
      <c r="D435" s="16" t="s">
        <v>1561</v>
      </c>
      <c r="E435" s="17">
        <v>2024</v>
      </c>
      <c r="F435" s="16" t="s">
        <v>1562</v>
      </c>
      <c r="G435" s="16" t="s">
        <v>35</v>
      </c>
      <c r="H435" s="16" t="s">
        <v>133</v>
      </c>
      <c r="I435" s="16" t="s">
        <v>7782</v>
      </c>
      <c r="J435" s="16" t="s">
        <v>123</v>
      </c>
    </row>
    <row r="436" spans="1:10" ht="285" x14ac:dyDescent="0.2">
      <c r="A436" s="14" t="s">
        <v>1563</v>
      </c>
      <c r="B436" s="15" t="s">
        <v>68</v>
      </c>
      <c r="C436" s="14" t="s">
        <v>1564</v>
      </c>
      <c r="D436" s="14" t="s">
        <v>1565</v>
      </c>
      <c r="E436" s="15">
        <v>2024</v>
      </c>
      <c r="F436" s="14" t="s">
        <v>1566</v>
      </c>
      <c r="G436" s="14" t="s">
        <v>7783</v>
      </c>
      <c r="H436" s="14"/>
      <c r="I436" s="14" t="s">
        <v>7784</v>
      </c>
      <c r="J436" s="14" t="s">
        <v>123</v>
      </c>
    </row>
    <row r="437" spans="1:10" ht="133" x14ac:dyDescent="0.2">
      <c r="A437" s="16" t="s">
        <v>1567</v>
      </c>
      <c r="B437" s="17" t="s">
        <v>68</v>
      </c>
      <c r="C437" s="16" t="s">
        <v>1568</v>
      </c>
      <c r="D437" s="16" t="s">
        <v>1569</v>
      </c>
      <c r="E437" s="17">
        <v>2026</v>
      </c>
      <c r="F437" s="16" t="s">
        <v>1570</v>
      </c>
      <c r="G437" s="16" t="s">
        <v>35</v>
      </c>
      <c r="H437" s="16" t="s">
        <v>122</v>
      </c>
      <c r="I437" s="16" t="s">
        <v>7785</v>
      </c>
      <c r="J437" s="16" t="s">
        <v>123</v>
      </c>
    </row>
    <row r="438" spans="1:10" ht="114" x14ac:dyDescent="0.2">
      <c r="A438" s="16" t="s">
        <v>1571</v>
      </c>
      <c r="B438" s="17" t="s">
        <v>68</v>
      </c>
      <c r="C438" s="16" t="s">
        <v>1572</v>
      </c>
      <c r="D438" s="16" t="s">
        <v>1573</v>
      </c>
      <c r="E438" s="17">
        <v>2024</v>
      </c>
      <c r="F438" s="16" t="s">
        <v>1574</v>
      </c>
      <c r="G438" s="16" t="s">
        <v>35</v>
      </c>
      <c r="H438" s="16" t="s">
        <v>148</v>
      </c>
      <c r="I438" s="16" t="s">
        <v>7786</v>
      </c>
      <c r="J438" s="16" t="s">
        <v>123</v>
      </c>
    </row>
    <row r="439" spans="1:10" ht="133" x14ac:dyDescent="0.2">
      <c r="A439" s="16" t="s">
        <v>1575</v>
      </c>
      <c r="B439" s="17" t="s">
        <v>68</v>
      </c>
      <c r="C439" s="16" t="s">
        <v>1576</v>
      </c>
      <c r="D439" s="16" t="s">
        <v>1577</v>
      </c>
      <c r="E439" s="17">
        <v>2024</v>
      </c>
      <c r="F439" s="16" t="s">
        <v>1578</v>
      </c>
      <c r="G439" s="16" t="s">
        <v>35</v>
      </c>
      <c r="H439" s="16" t="s">
        <v>148</v>
      </c>
      <c r="I439" s="16" t="s">
        <v>7787</v>
      </c>
      <c r="J439" s="16" t="s">
        <v>123</v>
      </c>
    </row>
    <row r="440" spans="1:10" ht="152" x14ac:dyDescent="0.2">
      <c r="A440" s="16" t="s">
        <v>1579</v>
      </c>
      <c r="B440" s="17" t="s">
        <v>68</v>
      </c>
      <c r="C440" s="16" t="s">
        <v>1580</v>
      </c>
      <c r="D440" s="16" t="s">
        <v>1581</v>
      </c>
      <c r="E440" s="17">
        <v>2024</v>
      </c>
      <c r="F440" s="16" t="s">
        <v>1582</v>
      </c>
      <c r="G440" s="16" t="s">
        <v>35</v>
      </c>
      <c r="H440" s="16" t="s">
        <v>185</v>
      </c>
      <c r="I440" s="16" t="s">
        <v>7788</v>
      </c>
      <c r="J440" s="16" t="s">
        <v>123</v>
      </c>
    </row>
    <row r="441" spans="1:10" ht="114" x14ac:dyDescent="0.2">
      <c r="A441" s="16" t="s">
        <v>1583</v>
      </c>
      <c r="B441" s="17" t="s">
        <v>68</v>
      </c>
      <c r="C441" s="16" t="s">
        <v>1435</v>
      </c>
      <c r="D441" s="16" t="s">
        <v>1584</v>
      </c>
      <c r="E441" s="17">
        <v>2025</v>
      </c>
      <c r="F441" s="16" t="s">
        <v>1585</v>
      </c>
      <c r="G441" s="16" t="s">
        <v>35</v>
      </c>
      <c r="H441" s="16" t="s">
        <v>148</v>
      </c>
      <c r="I441" s="16" t="s">
        <v>7789</v>
      </c>
      <c r="J441" s="16" t="s">
        <v>123</v>
      </c>
    </row>
    <row r="442" spans="1:10" ht="133" x14ac:dyDescent="0.2">
      <c r="A442" s="16" t="s">
        <v>1586</v>
      </c>
      <c r="B442" s="17" t="s">
        <v>68</v>
      </c>
      <c r="C442" s="16" t="s">
        <v>1587</v>
      </c>
      <c r="D442" s="16" t="s">
        <v>1588</v>
      </c>
      <c r="E442" s="17">
        <v>2025</v>
      </c>
      <c r="F442" s="16" t="s">
        <v>1589</v>
      </c>
      <c r="G442" s="16" t="s">
        <v>35</v>
      </c>
      <c r="H442" s="16" t="s">
        <v>148</v>
      </c>
      <c r="I442" s="16" t="s">
        <v>7790</v>
      </c>
      <c r="J442" s="16" t="s">
        <v>123</v>
      </c>
    </row>
    <row r="443" spans="1:10" ht="133" x14ac:dyDescent="0.2">
      <c r="A443" s="16" t="s">
        <v>1590</v>
      </c>
      <c r="B443" s="17" t="s">
        <v>68</v>
      </c>
      <c r="C443" s="16" t="s">
        <v>1591</v>
      </c>
      <c r="D443" s="16" t="s">
        <v>1592</v>
      </c>
      <c r="E443" s="17">
        <v>2024</v>
      </c>
      <c r="F443" s="16" t="s">
        <v>1593</v>
      </c>
      <c r="G443" s="16" t="s">
        <v>35</v>
      </c>
      <c r="H443" s="16" t="s">
        <v>185</v>
      </c>
      <c r="I443" s="16" t="s">
        <v>7791</v>
      </c>
      <c r="J443" s="16" t="s">
        <v>123</v>
      </c>
    </row>
    <row r="444" spans="1:10" ht="247" x14ac:dyDescent="0.2">
      <c r="A444" s="16" t="s">
        <v>1594</v>
      </c>
      <c r="B444" s="17" t="s">
        <v>68</v>
      </c>
      <c r="C444" s="16" t="s">
        <v>1595</v>
      </c>
      <c r="D444" s="16" t="s">
        <v>1596</v>
      </c>
      <c r="E444" s="17">
        <v>2026</v>
      </c>
      <c r="F444" s="16" t="s">
        <v>1597</v>
      </c>
      <c r="G444" s="16" t="s">
        <v>35</v>
      </c>
      <c r="H444" s="16" t="s">
        <v>148</v>
      </c>
      <c r="I444" s="16" t="s">
        <v>7792</v>
      </c>
      <c r="J444" s="16" t="s">
        <v>186</v>
      </c>
    </row>
    <row r="445" spans="1:10" ht="133" x14ac:dyDescent="0.2">
      <c r="A445" s="16" t="s">
        <v>1598</v>
      </c>
      <c r="B445" s="17" t="s">
        <v>68</v>
      </c>
      <c r="C445" s="16" t="s">
        <v>1599</v>
      </c>
      <c r="D445" s="16" t="s">
        <v>1600</v>
      </c>
      <c r="E445" s="17">
        <v>2024</v>
      </c>
      <c r="F445" s="16" t="s">
        <v>1601</v>
      </c>
      <c r="G445" s="16" t="s">
        <v>35</v>
      </c>
      <c r="H445" s="16" t="s">
        <v>148</v>
      </c>
      <c r="I445" s="16" t="s">
        <v>7793</v>
      </c>
      <c r="J445" s="16" t="s">
        <v>123</v>
      </c>
    </row>
    <row r="446" spans="1:10" ht="209" x14ac:dyDescent="0.2">
      <c r="A446" s="16" t="s">
        <v>1602</v>
      </c>
      <c r="B446" s="17" t="s">
        <v>68</v>
      </c>
      <c r="C446" s="16" t="s">
        <v>1603</v>
      </c>
      <c r="D446" s="16" t="s">
        <v>1604</v>
      </c>
      <c r="E446" s="17">
        <v>2024</v>
      </c>
      <c r="F446" s="16" t="s">
        <v>1605</v>
      </c>
      <c r="G446" s="16" t="s">
        <v>35</v>
      </c>
      <c r="H446" s="16" t="s">
        <v>148</v>
      </c>
      <c r="I446" s="16" t="s">
        <v>7794</v>
      </c>
      <c r="J446" s="16" t="s">
        <v>123</v>
      </c>
    </row>
    <row r="447" spans="1:10" ht="152" x14ac:dyDescent="0.2">
      <c r="A447" s="16" t="s">
        <v>1606</v>
      </c>
      <c r="B447" s="17" t="s">
        <v>68</v>
      </c>
      <c r="C447" s="16" t="s">
        <v>1607</v>
      </c>
      <c r="D447" s="16" t="s">
        <v>1608</v>
      </c>
      <c r="E447" s="17">
        <v>2024</v>
      </c>
      <c r="F447" s="16" t="s">
        <v>1609</v>
      </c>
      <c r="G447" s="16" t="s">
        <v>35</v>
      </c>
      <c r="H447" s="16" t="s">
        <v>148</v>
      </c>
      <c r="I447" s="16" t="s">
        <v>7795</v>
      </c>
      <c r="J447" s="16" t="s">
        <v>123</v>
      </c>
    </row>
    <row r="448" spans="1:10" ht="76" x14ac:dyDescent="0.2">
      <c r="A448" s="16" t="s">
        <v>1610</v>
      </c>
      <c r="B448" s="17" t="s">
        <v>68</v>
      </c>
      <c r="C448" s="16" t="s">
        <v>1611</v>
      </c>
      <c r="D448" s="16" t="s">
        <v>1612</v>
      </c>
      <c r="E448" s="17">
        <v>2025</v>
      </c>
      <c r="F448" s="16" t="s">
        <v>1613</v>
      </c>
      <c r="G448" s="16" t="s">
        <v>35</v>
      </c>
      <c r="H448" s="16" t="s">
        <v>148</v>
      </c>
      <c r="I448" s="16" t="s">
        <v>7796</v>
      </c>
      <c r="J448" s="16" t="s">
        <v>123</v>
      </c>
    </row>
    <row r="449" spans="1:10" ht="114" x14ac:dyDescent="0.2">
      <c r="A449" s="16" t="s">
        <v>1614</v>
      </c>
      <c r="B449" s="17" t="s">
        <v>68</v>
      </c>
      <c r="C449" s="16" t="s">
        <v>1615</v>
      </c>
      <c r="D449" s="16" t="s">
        <v>1616</v>
      </c>
      <c r="E449" s="17">
        <v>2025</v>
      </c>
      <c r="F449" s="16" t="s">
        <v>1617</v>
      </c>
      <c r="G449" s="16" t="s">
        <v>35</v>
      </c>
      <c r="H449" s="16" t="s">
        <v>148</v>
      </c>
      <c r="I449" s="16" t="s">
        <v>7797</v>
      </c>
      <c r="J449" s="16" t="s">
        <v>123</v>
      </c>
    </row>
    <row r="450" spans="1:10" ht="133" x14ac:dyDescent="0.2">
      <c r="A450" s="16" t="s">
        <v>1618</v>
      </c>
      <c r="B450" s="17" t="s">
        <v>68</v>
      </c>
      <c r="C450" s="16" t="s">
        <v>1619</v>
      </c>
      <c r="D450" s="16" t="s">
        <v>1620</v>
      </c>
      <c r="E450" s="17">
        <v>2025</v>
      </c>
      <c r="F450" s="16" t="s">
        <v>1621</v>
      </c>
      <c r="G450" s="16" t="s">
        <v>35</v>
      </c>
      <c r="H450" s="16" t="s">
        <v>185</v>
      </c>
      <c r="I450" s="16" t="s">
        <v>7798</v>
      </c>
      <c r="J450" s="16" t="s">
        <v>123</v>
      </c>
    </row>
    <row r="451" spans="1:10" ht="114" x14ac:dyDescent="0.2">
      <c r="A451" s="16" t="s">
        <v>1622</v>
      </c>
      <c r="B451" s="17" t="s">
        <v>68</v>
      </c>
      <c r="C451" s="16" t="s">
        <v>1623</v>
      </c>
      <c r="D451" s="16" t="s">
        <v>1624</v>
      </c>
      <c r="E451" s="17">
        <v>2023</v>
      </c>
      <c r="F451" s="16" t="s">
        <v>1625</v>
      </c>
      <c r="G451" s="16" t="s">
        <v>35</v>
      </c>
      <c r="H451" s="16" t="s">
        <v>148</v>
      </c>
      <c r="I451" s="16" t="s">
        <v>7799</v>
      </c>
      <c r="J451" s="16" t="s">
        <v>123</v>
      </c>
    </row>
    <row r="452" spans="1:10" ht="190" x14ac:dyDescent="0.2">
      <c r="A452" s="16" t="s">
        <v>1626</v>
      </c>
      <c r="B452" s="17" t="s">
        <v>68</v>
      </c>
      <c r="C452" s="16" t="s">
        <v>1627</v>
      </c>
      <c r="D452" s="16" t="s">
        <v>1628</v>
      </c>
      <c r="E452" s="17">
        <v>2024</v>
      </c>
      <c r="F452" s="16" t="s">
        <v>1629</v>
      </c>
      <c r="G452" s="16" t="s">
        <v>35</v>
      </c>
      <c r="H452" s="16" t="s">
        <v>148</v>
      </c>
      <c r="I452" s="16" t="s">
        <v>7800</v>
      </c>
      <c r="J452" s="16" t="s">
        <v>123</v>
      </c>
    </row>
    <row r="453" spans="1:10" ht="342" x14ac:dyDescent="0.2">
      <c r="A453" s="14" t="s">
        <v>1630</v>
      </c>
      <c r="B453" s="15" t="s">
        <v>68</v>
      </c>
      <c r="C453" s="14" t="s">
        <v>1631</v>
      </c>
      <c r="D453" s="14" t="s">
        <v>1632</v>
      </c>
      <c r="E453" s="15">
        <v>2024</v>
      </c>
      <c r="F453" s="14" t="s">
        <v>1633</v>
      </c>
      <c r="G453" s="14" t="s">
        <v>7801</v>
      </c>
      <c r="H453" s="14"/>
      <c r="I453" s="14" t="s">
        <v>7802</v>
      </c>
      <c r="J453" s="14" t="s">
        <v>123</v>
      </c>
    </row>
    <row r="454" spans="1:10" ht="152" x14ac:dyDescent="0.2">
      <c r="A454" s="18" t="s">
        <v>1634</v>
      </c>
      <c r="B454" s="19" t="s">
        <v>68</v>
      </c>
      <c r="C454" s="18" t="s">
        <v>1467</v>
      </c>
      <c r="D454" s="18" t="s">
        <v>1468</v>
      </c>
      <c r="E454" s="19">
        <v>2023</v>
      </c>
      <c r="F454" s="18" t="s">
        <v>1635</v>
      </c>
      <c r="G454" s="18" t="s">
        <v>7803</v>
      </c>
      <c r="H454" s="18" t="s">
        <v>165</v>
      </c>
      <c r="I454" s="18" t="s">
        <v>7804</v>
      </c>
      <c r="J454" s="18" t="s">
        <v>1636</v>
      </c>
    </row>
    <row r="455" spans="1:10" ht="152" x14ac:dyDescent="0.2">
      <c r="A455" s="16" t="s">
        <v>1637</v>
      </c>
      <c r="B455" s="17" t="s">
        <v>68</v>
      </c>
      <c r="C455" s="16" t="s">
        <v>1638</v>
      </c>
      <c r="D455" s="16" t="s">
        <v>1639</v>
      </c>
      <c r="E455" s="17">
        <v>2024</v>
      </c>
      <c r="F455" s="16" t="s">
        <v>1640</v>
      </c>
      <c r="G455" s="16" t="s">
        <v>35</v>
      </c>
      <c r="H455" s="16" t="s">
        <v>148</v>
      </c>
      <c r="I455" s="16" t="s">
        <v>7805</v>
      </c>
      <c r="J455" s="16" t="s">
        <v>123</v>
      </c>
    </row>
    <row r="456" spans="1:10" ht="114" x14ac:dyDescent="0.2">
      <c r="A456" s="16" t="s">
        <v>1641</v>
      </c>
      <c r="B456" s="17" t="s">
        <v>68</v>
      </c>
      <c r="C456" s="16" t="s">
        <v>1642</v>
      </c>
      <c r="D456" s="16" t="s">
        <v>1643</v>
      </c>
      <c r="E456" s="17">
        <v>2025</v>
      </c>
      <c r="F456" s="16" t="s">
        <v>1644</v>
      </c>
      <c r="G456" s="16" t="s">
        <v>35</v>
      </c>
      <c r="H456" s="16" t="s">
        <v>148</v>
      </c>
      <c r="I456" s="16" t="s">
        <v>7806</v>
      </c>
      <c r="J456" s="16" t="s">
        <v>123</v>
      </c>
    </row>
    <row r="457" spans="1:10" ht="76" x14ac:dyDescent="0.2">
      <c r="A457" s="18" t="s">
        <v>1645</v>
      </c>
      <c r="B457" s="19" t="s">
        <v>68</v>
      </c>
      <c r="C457" s="18" t="s">
        <v>331</v>
      </c>
      <c r="D457" s="18" t="s">
        <v>332</v>
      </c>
      <c r="E457" s="19">
        <v>2025</v>
      </c>
      <c r="F457" s="18" t="s">
        <v>1646</v>
      </c>
      <c r="G457" s="18" t="s">
        <v>7472</v>
      </c>
      <c r="H457" s="18" t="s">
        <v>165</v>
      </c>
      <c r="I457" s="18" t="s">
        <v>7807</v>
      </c>
      <c r="J457" s="18" t="s">
        <v>829</v>
      </c>
    </row>
    <row r="458" spans="1:10" ht="133" x14ac:dyDescent="0.2">
      <c r="A458" s="16" t="s">
        <v>1647</v>
      </c>
      <c r="B458" s="17" t="s">
        <v>68</v>
      </c>
      <c r="C458" s="16" t="s">
        <v>1648</v>
      </c>
      <c r="D458" s="16" t="s">
        <v>1649</v>
      </c>
      <c r="E458" s="17">
        <v>2023</v>
      </c>
      <c r="F458" s="16" t="s">
        <v>1650</v>
      </c>
      <c r="G458" s="16" t="s">
        <v>35</v>
      </c>
      <c r="H458" s="16" t="s">
        <v>148</v>
      </c>
      <c r="I458" s="16" t="s">
        <v>7808</v>
      </c>
      <c r="J458" s="16" t="s">
        <v>123</v>
      </c>
    </row>
    <row r="459" spans="1:10" ht="114" x14ac:dyDescent="0.2">
      <c r="A459" s="16" t="s">
        <v>1651</v>
      </c>
      <c r="B459" s="17" t="s">
        <v>68</v>
      </c>
      <c r="C459" s="16" t="s">
        <v>1652</v>
      </c>
      <c r="D459" s="16" t="s">
        <v>1653</v>
      </c>
      <c r="E459" s="17">
        <v>2025</v>
      </c>
      <c r="F459" s="16" t="s">
        <v>1654</v>
      </c>
      <c r="G459" s="16" t="s">
        <v>35</v>
      </c>
      <c r="H459" s="16" t="s">
        <v>148</v>
      </c>
      <c r="I459" s="16" t="s">
        <v>7809</v>
      </c>
      <c r="J459" s="16" t="s">
        <v>123</v>
      </c>
    </row>
    <row r="460" spans="1:10" ht="114" x14ac:dyDescent="0.2">
      <c r="A460" s="16" t="s">
        <v>1655</v>
      </c>
      <c r="B460" s="17" t="s">
        <v>68</v>
      </c>
      <c r="C460" s="16" t="s">
        <v>1656</v>
      </c>
      <c r="D460" s="16" t="s">
        <v>1657</v>
      </c>
      <c r="E460" s="17">
        <v>2024</v>
      </c>
      <c r="F460" s="16" t="s">
        <v>1658</v>
      </c>
      <c r="G460" s="16" t="s">
        <v>35</v>
      </c>
      <c r="H460" s="16" t="s">
        <v>148</v>
      </c>
      <c r="I460" s="16" t="s">
        <v>7810</v>
      </c>
      <c r="J460" s="16" t="s">
        <v>186</v>
      </c>
    </row>
    <row r="461" spans="1:10" ht="171" x14ac:dyDescent="0.2">
      <c r="A461" s="16" t="s">
        <v>1659</v>
      </c>
      <c r="B461" s="17" t="s">
        <v>68</v>
      </c>
      <c r="C461" s="16" t="s">
        <v>1660</v>
      </c>
      <c r="D461" s="16" t="s">
        <v>1661</v>
      </c>
      <c r="E461" s="17">
        <v>2024</v>
      </c>
      <c r="F461" s="16" t="s">
        <v>1662</v>
      </c>
      <c r="G461" s="16" t="s">
        <v>35</v>
      </c>
      <c r="H461" s="16" t="s">
        <v>185</v>
      </c>
      <c r="I461" s="16" t="s">
        <v>7811</v>
      </c>
      <c r="J461" s="16" t="s">
        <v>123</v>
      </c>
    </row>
    <row r="462" spans="1:10" ht="285" x14ac:dyDescent="0.2">
      <c r="A462" s="14" t="s">
        <v>1663</v>
      </c>
      <c r="B462" s="15" t="s">
        <v>68</v>
      </c>
      <c r="C462" s="14" t="s">
        <v>1664</v>
      </c>
      <c r="D462" s="14" t="s">
        <v>1665</v>
      </c>
      <c r="E462" s="15">
        <v>2025</v>
      </c>
      <c r="F462" s="14" t="s">
        <v>1666</v>
      </c>
      <c r="G462" s="14" t="s">
        <v>7812</v>
      </c>
      <c r="H462" s="14"/>
      <c r="I462" s="14" t="s">
        <v>7813</v>
      </c>
      <c r="J462" s="14" t="s">
        <v>123</v>
      </c>
    </row>
    <row r="463" spans="1:10" ht="171" x14ac:dyDescent="0.2">
      <c r="A463" s="16" t="s">
        <v>1667</v>
      </c>
      <c r="B463" s="17" t="s">
        <v>68</v>
      </c>
      <c r="C463" s="16" t="s">
        <v>1668</v>
      </c>
      <c r="D463" s="16" t="s">
        <v>1669</v>
      </c>
      <c r="E463" s="17">
        <v>2025</v>
      </c>
      <c r="F463" s="16" t="s">
        <v>1670</v>
      </c>
      <c r="G463" s="16" t="s">
        <v>35</v>
      </c>
      <c r="H463" s="16" t="s">
        <v>148</v>
      </c>
      <c r="I463" s="16" t="s">
        <v>7814</v>
      </c>
      <c r="J463" s="16" t="s">
        <v>123</v>
      </c>
    </row>
    <row r="464" spans="1:10" ht="114" x14ac:dyDescent="0.2">
      <c r="A464" s="16" t="s">
        <v>1671</v>
      </c>
      <c r="B464" s="17" t="s">
        <v>68</v>
      </c>
      <c r="C464" s="16" t="s">
        <v>1672</v>
      </c>
      <c r="D464" s="16" t="s">
        <v>1673</v>
      </c>
      <c r="E464" s="17">
        <v>2024</v>
      </c>
      <c r="F464" s="16" t="s">
        <v>1674</v>
      </c>
      <c r="G464" s="16" t="s">
        <v>35</v>
      </c>
      <c r="H464" s="16" t="s">
        <v>148</v>
      </c>
      <c r="I464" s="16" t="s">
        <v>7815</v>
      </c>
      <c r="J464" s="16" t="s">
        <v>123</v>
      </c>
    </row>
    <row r="465" spans="1:10" ht="114" x14ac:dyDescent="0.2">
      <c r="A465" s="16" t="s">
        <v>1675</v>
      </c>
      <c r="B465" s="17" t="s">
        <v>68</v>
      </c>
      <c r="C465" s="16" t="s">
        <v>1676</v>
      </c>
      <c r="D465" s="16" t="s">
        <v>1677</v>
      </c>
      <c r="E465" s="17">
        <v>2023</v>
      </c>
      <c r="F465" s="16" t="s">
        <v>1678</v>
      </c>
      <c r="G465" s="16" t="s">
        <v>35</v>
      </c>
      <c r="H465" s="16" t="s">
        <v>148</v>
      </c>
      <c r="I465" s="16" t="s">
        <v>7816</v>
      </c>
      <c r="J465" s="16" t="s">
        <v>123</v>
      </c>
    </row>
    <row r="466" spans="1:10" ht="133" x14ac:dyDescent="0.2">
      <c r="A466" s="16" t="s">
        <v>1679</v>
      </c>
      <c r="B466" s="17" t="s">
        <v>68</v>
      </c>
      <c r="C466" s="16" t="s">
        <v>1680</v>
      </c>
      <c r="D466" s="16" t="s">
        <v>1681</v>
      </c>
      <c r="E466" s="17">
        <v>2024</v>
      </c>
      <c r="F466" s="16" t="s">
        <v>1682</v>
      </c>
      <c r="G466" s="16" t="s">
        <v>35</v>
      </c>
      <c r="H466" s="16" t="s">
        <v>185</v>
      </c>
      <c r="I466" s="16" t="s">
        <v>7817</v>
      </c>
      <c r="J466" s="16" t="s">
        <v>123</v>
      </c>
    </row>
    <row r="467" spans="1:10" ht="152" x14ac:dyDescent="0.2">
      <c r="A467" s="16" t="s">
        <v>1683</v>
      </c>
      <c r="B467" s="17" t="s">
        <v>68</v>
      </c>
      <c r="C467" s="16" t="s">
        <v>1684</v>
      </c>
      <c r="D467" s="16" t="s">
        <v>1685</v>
      </c>
      <c r="E467" s="17">
        <v>2025</v>
      </c>
      <c r="F467" s="16" t="s">
        <v>1686</v>
      </c>
      <c r="G467" s="16" t="s">
        <v>35</v>
      </c>
      <c r="H467" s="16" t="s">
        <v>148</v>
      </c>
      <c r="I467" s="16" t="s">
        <v>7818</v>
      </c>
      <c r="J467" s="16" t="s">
        <v>123</v>
      </c>
    </row>
    <row r="468" spans="1:10" ht="114" x14ac:dyDescent="0.2">
      <c r="A468" s="16" t="s">
        <v>1687</v>
      </c>
      <c r="B468" s="17" t="s">
        <v>68</v>
      </c>
      <c r="C468" s="16" t="s">
        <v>1688</v>
      </c>
      <c r="D468" s="16" t="s">
        <v>1689</v>
      </c>
      <c r="E468" s="17">
        <v>2024</v>
      </c>
      <c r="F468" s="16" t="s">
        <v>1690</v>
      </c>
      <c r="G468" s="16" t="s">
        <v>35</v>
      </c>
      <c r="H468" s="16" t="s">
        <v>271</v>
      </c>
      <c r="I468" s="16" t="s">
        <v>7819</v>
      </c>
      <c r="J468" s="16" t="s">
        <v>186</v>
      </c>
    </row>
    <row r="469" spans="1:10" ht="133" x14ac:dyDescent="0.2">
      <c r="A469" s="16" t="s">
        <v>1691</v>
      </c>
      <c r="B469" s="17" t="s">
        <v>68</v>
      </c>
      <c r="C469" s="16" t="s">
        <v>1692</v>
      </c>
      <c r="D469" s="16" t="s">
        <v>1693</v>
      </c>
      <c r="E469" s="17">
        <v>2024</v>
      </c>
      <c r="F469" s="16" t="s">
        <v>1694</v>
      </c>
      <c r="G469" s="16" t="s">
        <v>35</v>
      </c>
      <c r="H469" s="16" t="s">
        <v>185</v>
      </c>
      <c r="I469" s="16" t="s">
        <v>7820</v>
      </c>
      <c r="J469" s="16" t="s">
        <v>123</v>
      </c>
    </row>
    <row r="470" spans="1:10" ht="266" x14ac:dyDescent="0.2">
      <c r="A470" s="14" t="s">
        <v>1695</v>
      </c>
      <c r="B470" s="15" t="s">
        <v>68</v>
      </c>
      <c r="C470" s="14" t="s">
        <v>1696</v>
      </c>
      <c r="D470" s="14" t="s">
        <v>1697</v>
      </c>
      <c r="E470" s="15">
        <v>2024</v>
      </c>
      <c r="F470" s="14" t="s">
        <v>1698</v>
      </c>
      <c r="G470" s="14" t="s">
        <v>7821</v>
      </c>
      <c r="H470" s="14"/>
      <c r="I470" s="14" t="s">
        <v>7822</v>
      </c>
      <c r="J470" s="14" t="s">
        <v>123</v>
      </c>
    </row>
    <row r="471" spans="1:10" ht="247" x14ac:dyDescent="0.2">
      <c r="A471" s="14" t="s">
        <v>1699</v>
      </c>
      <c r="B471" s="15" t="s">
        <v>68</v>
      </c>
      <c r="C471" s="14" t="s">
        <v>1700</v>
      </c>
      <c r="D471" s="14" t="s">
        <v>1701</v>
      </c>
      <c r="E471" s="15">
        <v>2024</v>
      </c>
      <c r="F471" s="14" t="s">
        <v>1702</v>
      </c>
      <c r="G471" s="14" t="s">
        <v>7823</v>
      </c>
      <c r="H471" s="14"/>
      <c r="I471" s="14" t="s">
        <v>7824</v>
      </c>
      <c r="J471" s="14" t="s">
        <v>123</v>
      </c>
    </row>
    <row r="472" spans="1:10" ht="228" x14ac:dyDescent="0.2">
      <c r="A472" s="16" t="s">
        <v>1703</v>
      </c>
      <c r="B472" s="17" t="s">
        <v>68</v>
      </c>
      <c r="C472" s="16" t="s">
        <v>1704</v>
      </c>
      <c r="D472" s="16" t="s">
        <v>1705</v>
      </c>
      <c r="E472" s="17">
        <v>2024</v>
      </c>
      <c r="F472" s="16" t="s">
        <v>1706</v>
      </c>
      <c r="G472" s="16" t="s">
        <v>35</v>
      </c>
      <c r="H472" s="16" t="s">
        <v>148</v>
      </c>
      <c r="I472" s="16" t="s">
        <v>7825</v>
      </c>
      <c r="J472" s="16" t="s">
        <v>123</v>
      </c>
    </row>
    <row r="473" spans="1:10" ht="171" x14ac:dyDescent="0.2">
      <c r="A473" s="16" t="s">
        <v>1707</v>
      </c>
      <c r="B473" s="17" t="s">
        <v>68</v>
      </c>
      <c r="C473" s="16" t="s">
        <v>1708</v>
      </c>
      <c r="D473" s="16" t="s">
        <v>1709</v>
      </c>
      <c r="E473" s="17">
        <v>2025</v>
      </c>
      <c r="F473" s="16" t="s">
        <v>1710</v>
      </c>
      <c r="G473" s="16" t="s">
        <v>35</v>
      </c>
      <c r="H473" s="16" t="s">
        <v>148</v>
      </c>
      <c r="I473" s="16" t="s">
        <v>7826</v>
      </c>
      <c r="J473" s="16" t="s">
        <v>123</v>
      </c>
    </row>
    <row r="474" spans="1:10" ht="114" x14ac:dyDescent="0.2">
      <c r="A474" s="16" t="s">
        <v>1711</v>
      </c>
      <c r="B474" s="17" t="s">
        <v>68</v>
      </c>
      <c r="C474" s="16" t="s">
        <v>1712</v>
      </c>
      <c r="D474" s="16" t="s">
        <v>1713</v>
      </c>
      <c r="E474" s="17">
        <v>2025</v>
      </c>
      <c r="F474" s="16" t="s">
        <v>1714</v>
      </c>
      <c r="G474" s="16" t="s">
        <v>35</v>
      </c>
      <c r="H474" s="16" t="s">
        <v>148</v>
      </c>
      <c r="I474" s="16" t="s">
        <v>7827</v>
      </c>
      <c r="J474" s="16" t="s">
        <v>123</v>
      </c>
    </row>
    <row r="475" spans="1:10" ht="171" x14ac:dyDescent="0.2">
      <c r="A475" s="16" t="s">
        <v>1715</v>
      </c>
      <c r="B475" s="17" t="s">
        <v>68</v>
      </c>
      <c r="C475" s="16" t="s">
        <v>1716</v>
      </c>
      <c r="D475" s="16" t="s">
        <v>1717</v>
      </c>
      <c r="E475" s="17">
        <v>2024</v>
      </c>
      <c r="F475" s="16" t="s">
        <v>1718</v>
      </c>
      <c r="G475" s="16" t="s">
        <v>35</v>
      </c>
      <c r="H475" s="16" t="s">
        <v>185</v>
      </c>
      <c r="I475" s="16" t="s">
        <v>7828</v>
      </c>
      <c r="J475" s="16" t="s">
        <v>123</v>
      </c>
    </row>
    <row r="476" spans="1:10" ht="114" x14ac:dyDescent="0.2">
      <c r="A476" s="18" t="s">
        <v>1719</v>
      </c>
      <c r="B476" s="19" t="s">
        <v>68</v>
      </c>
      <c r="C476" s="18" t="s">
        <v>95</v>
      </c>
      <c r="D476" s="18" t="s">
        <v>96</v>
      </c>
      <c r="E476" s="19">
        <v>2026</v>
      </c>
      <c r="F476" s="18" t="s">
        <v>1720</v>
      </c>
      <c r="G476" s="18" t="s">
        <v>7374</v>
      </c>
      <c r="H476" s="18" t="s">
        <v>165</v>
      </c>
      <c r="I476" s="18" t="s">
        <v>7829</v>
      </c>
      <c r="J476" s="18" t="s">
        <v>602</v>
      </c>
    </row>
    <row r="477" spans="1:10" ht="133" x14ac:dyDescent="0.2">
      <c r="A477" s="16" t="s">
        <v>1721</v>
      </c>
      <c r="B477" s="17" t="s">
        <v>68</v>
      </c>
      <c r="C477" s="16" t="s">
        <v>1722</v>
      </c>
      <c r="D477" s="16" t="s">
        <v>1723</v>
      </c>
      <c r="E477" s="17">
        <v>2025</v>
      </c>
      <c r="F477" s="16" t="s">
        <v>1724</v>
      </c>
      <c r="G477" s="16" t="s">
        <v>35</v>
      </c>
      <c r="H477" s="16" t="s">
        <v>148</v>
      </c>
      <c r="I477" s="16" t="s">
        <v>7830</v>
      </c>
      <c r="J477" s="16" t="s">
        <v>123</v>
      </c>
    </row>
    <row r="478" spans="1:10" ht="114" x14ac:dyDescent="0.2">
      <c r="A478" s="16" t="s">
        <v>1725</v>
      </c>
      <c r="B478" s="17" t="s">
        <v>68</v>
      </c>
      <c r="C478" s="16" t="s">
        <v>1726</v>
      </c>
      <c r="D478" s="16" t="s">
        <v>1727</v>
      </c>
      <c r="E478" s="17">
        <v>2024</v>
      </c>
      <c r="F478" s="16" t="s">
        <v>1728</v>
      </c>
      <c r="G478" s="16" t="s">
        <v>35</v>
      </c>
      <c r="H478" s="16" t="s">
        <v>148</v>
      </c>
      <c r="I478" s="16" t="s">
        <v>7831</v>
      </c>
      <c r="J478" s="16" t="s">
        <v>123</v>
      </c>
    </row>
    <row r="479" spans="1:10" ht="133" x14ac:dyDescent="0.2">
      <c r="A479" s="16" t="s">
        <v>1729</v>
      </c>
      <c r="B479" s="17" t="s">
        <v>68</v>
      </c>
      <c r="C479" s="16" t="s">
        <v>1730</v>
      </c>
      <c r="D479" s="16" t="s">
        <v>1731</v>
      </c>
      <c r="E479" s="17">
        <v>2024</v>
      </c>
      <c r="F479" s="16" t="s">
        <v>1732</v>
      </c>
      <c r="G479" s="16" t="s">
        <v>35</v>
      </c>
      <c r="H479" s="16" t="s">
        <v>148</v>
      </c>
      <c r="I479" s="16" t="s">
        <v>7832</v>
      </c>
      <c r="J479" s="16" t="s">
        <v>123</v>
      </c>
    </row>
    <row r="480" spans="1:10" ht="190" x14ac:dyDescent="0.2">
      <c r="A480" s="16" t="s">
        <v>1733</v>
      </c>
      <c r="B480" s="17" t="s">
        <v>68</v>
      </c>
      <c r="C480" s="16" t="s">
        <v>1734</v>
      </c>
      <c r="D480" s="16" t="s">
        <v>1735</v>
      </c>
      <c r="E480" s="17">
        <v>2024</v>
      </c>
      <c r="F480" s="16" t="s">
        <v>1736</v>
      </c>
      <c r="G480" s="16" t="s">
        <v>35</v>
      </c>
      <c r="H480" s="16" t="s">
        <v>148</v>
      </c>
      <c r="I480" s="16" t="s">
        <v>7833</v>
      </c>
      <c r="J480" s="16" t="s">
        <v>123</v>
      </c>
    </row>
    <row r="481" spans="1:10" ht="171" x14ac:dyDescent="0.2">
      <c r="A481" s="16" t="s">
        <v>1737</v>
      </c>
      <c r="B481" s="17" t="s">
        <v>68</v>
      </c>
      <c r="C481" s="16" t="s">
        <v>1738</v>
      </c>
      <c r="D481" s="16" t="s">
        <v>1739</v>
      </c>
      <c r="E481" s="17">
        <v>2023</v>
      </c>
      <c r="F481" s="16" t="s">
        <v>1740</v>
      </c>
      <c r="G481" s="16" t="s">
        <v>35</v>
      </c>
      <c r="H481" s="16" t="s">
        <v>185</v>
      </c>
      <c r="I481" s="16" t="s">
        <v>7834</v>
      </c>
      <c r="J481" s="16" t="s">
        <v>123</v>
      </c>
    </row>
    <row r="482" spans="1:10" ht="209" x14ac:dyDescent="0.2">
      <c r="A482" s="16" t="s">
        <v>1741</v>
      </c>
      <c r="B482" s="17" t="s">
        <v>68</v>
      </c>
      <c r="C482" s="16" t="s">
        <v>1742</v>
      </c>
      <c r="D482" s="16" t="s">
        <v>1743</v>
      </c>
      <c r="E482" s="17">
        <v>2023</v>
      </c>
      <c r="F482" s="16" t="s">
        <v>1744</v>
      </c>
      <c r="G482" s="16" t="s">
        <v>35</v>
      </c>
      <c r="H482" s="16" t="s">
        <v>148</v>
      </c>
      <c r="I482" s="16" t="s">
        <v>7835</v>
      </c>
      <c r="J482" s="16" t="s">
        <v>123</v>
      </c>
    </row>
    <row r="483" spans="1:10" ht="114" x14ac:dyDescent="0.2">
      <c r="A483" s="16" t="s">
        <v>1745</v>
      </c>
      <c r="B483" s="17" t="s">
        <v>68</v>
      </c>
      <c r="C483" s="16" t="s">
        <v>1746</v>
      </c>
      <c r="D483" s="16" t="s">
        <v>1747</v>
      </c>
      <c r="E483" s="17">
        <v>2024</v>
      </c>
      <c r="F483" s="16" t="s">
        <v>1748</v>
      </c>
      <c r="G483" s="16" t="s">
        <v>35</v>
      </c>
      <c r="H483" s="16" t="s">
        <v>148</v>
      </c>
      <c r="I483" s="16" t="s">
        <v>7836</v>
      </c>
      <c r="J483" s="16" t="s">
        <v>123</v>
      </c>
    </row>
    <row r="484" spans="1:10" ht="114" x14ac:dyDescent="0.2">
      <c r="A484" s="16" t="s">
        <v>1749</v>
      </c>
      <c r="B484" s="17" t="s">
        <v>68</v>
      </c>
      <c r="C484" s="16" t="s">
        <v>1750</v>
      </c>
      <c r="D484" s="16" t="s">
        <v>1751</v>
      </c>
      <c r="E484" s="17">
        <v>2025</v>
      </c>
      <c r="F484" s="16" t="s">
        <v>1752</v>
      </c>
      <c r="G484" s="16" t="s">
        <v>35</v>
      </c>
      <c r="H484" s="16" t="s">
        <v>148</v>
      </c>
      <c r="I484" s="16" t="s">
        <v>7837</v>
      </c>
      <c r="J484" s="16" t="s">
        <v>123</v>
      </c>
    </row>
    <row r="485" spans="1:10" ht="133" x14ac:dyDescent="0.2">
      <c r="A485" s="16" t="s">
        <v>1753</v>
      </c>
      <c r="B485" s="17" t="s">
        <v>68</v>
      </c>
      <c r="C485" s="16" t="s">
        <v>1754</v>
      </c>
      <c r="D485" s="16" t="s">
        <v>1755</v>
      </c>
      <c r="E485" s="17">
        <v>2023</v>
      </c>
      <c r="F485" s="16" t="s">
        <v>1756</v>
      </c>
      <c r="G485" s="16" t="s">
        <v>35</v>
      </c>
      <c r="H485" s="16" t="s">
        <v>148</v>
      </c>
      <c r="I485" s="16" t="s">
        <v>7838</v>
      </c>
      <c r="J485" s="16" t="s">
        <v>123</v>
      </c>
    </row>
    <row r="486" spans="1:10" ht="114" x14ac:dyDescent="0.2">
      <c r="A486" s="16" t="s">
        <v>1757</v>
      </c>
      <c r="B486" s="17" t="s">
        <v>68</v>
      </c>
      <c r="C486" s="16" t="s">
        <v>1758</v>
      </c>
      <c r="D486" s="16" t="s">
        <v>1759</v>
      </c>
      <c r="E486" s="17">
        <v>2024</v>
      </c>
      <c r="F486" s="16" t="s">
        <v>1760</v>
      </c>
      <c r="G486" s="16" t="s">
        <v>35</v>
      </c>
      <c r="H486" s="16" t="s">
        <v>148</v>
      </c>
      <c r="I486" s="16" t="s">
        <v>7839</v>
      </c>
      <c r="J486" s="16" t="s">
        <v>123</v>
      </c>
    </row>
    <row r="487" spans="1:10" ht="152" x14ac:dyDescent="0.2">
      <c r="A487" s="16" t="s">
        <v>1761</v>
      </c>
      <c r="B487" s="17" t="s">
        <v>68</v>
      </c>
      <c r="C487" s="16" t="s">
        <v>1762</v>
      </c>
      <c r="D487" s="16" t="s">
        <v>1763</v>
      </c>
      <c r="E487" s="17">
        <v>2024</v>
      </c>
      <c r="F487" s="16" t="s">
        <v>1764</v>
      </c>
      <c r="G487" s="16" t="s">
        <v>35</v>
      </c>
      <c r="H487" s="16" t="s">
        <v>185</v>
      </c>
      <c r="I487" s="16" t="s">
        <v>7840</v>
      </c>
      <c r="J487" s="16" t="s">
        <v>123</v>
      </c>
    </row>
    <row r="488" spans="1:10" ht="190" x14ac:dyDescent="0.2">
      <c r="A488" s="16" t="s">
        <v>1765</v>
      </c>
      <c r="B488" s="17" t="s">
        <v>68</v>
      </c>
      <c r="C488" s="16" t="s">
        <v>1766</v>
      </c>
      <c r="D488" s="16" t="s">
        <v>1767</v>
      </c>
      <c r="E488" s="17">
        <v>2025</v>
      </c>
      <c r="F488" s="16" t="s">
        <v>1768</v>
      </c>
      <c r="G488" s="16" t="s">
        <v>35</v>
      </c>
      <c r="H488" s="16" t="s">
        <v>148</v>
      </c>
      <c r="I488" s="16" t="s">
        <v>7841</v>
      </c>
      <c r="J488" s="16" t="s">
        <v>123</v>
      </c>
    </row>
    <row r="489" spans="1:10" ht="304" x14ac:dyDescent="0.2">
      <c r="A489" s="14" t="s">
        <v>1769</v>
      </c>
      <c r="B489" s="15" t="s">
        <v>68</v>
      </c>
      <c r="C489" s="14" t="s">
        <v>1700</v>
      </c>
      <c r="D489" s="14" t="s">
        <v>1770</v>
      </c>
      <c r="E489" s="15">
        <v>2025</v>
      </c>
      <c r="F489" s="14" t="s">
        <v>1771</v>
      </c>
      <c r="G489" s="14" t="s">
        <v>7842</v>
      </c>
      <c r="H489" s="14"/>
      <c r="I489" s="14" t="s">
        <v>7843</v>
      </c>
      <c r="J489" s="14" t="s">
        <v>123</v>
      </c>
    </row>
    <row r="490" spans="1:10" ht="304" x14ac:dyDescent="0.2">
      <c r="A490" s="14" t="s">
        <v>1772</v>
      </c>
      <c r="B490" s="15" t="s">
        <v>68</v>
      </c>
      <c r="C490" s="14" t="s">
        <v>1773</v>
      </c>
      <c r="D490" s="14" t="s">
        <v>1774</v>
      </c>
      <c r="E490" s="15">
        <v>2024</v>
      </c>
      <c r="F490" s="14" t="s">
        <v>1775</v>
      </c>
      <c r="G490" s="14" t="s">
        <v>7844</v>
      </c>
      <c r="H490" s="14"/>
      <c r="I490" s="14" t="s">
        <v>7845</v>
      </c>
      <c r="J490" s="14" t="s">
        <v>123</v>
      </c>
    </row>
    <row r="491" spans="1:10" ht="228" x14ac:dyDescent="0.2">
      <c r="A491" s="16" t="s">
        <v>1776</v>
      </c>
      <c r="B491" s="17" t="s">
        <v>68</v>
      </c>
      <c r="C491" s="16" t="s">
        <v>1777</v>
      </c>
      <c r="D491" s="16" t="s">
        <v>1778</v>
      </c>
      <c r="E491" s="17">
        <v>2025</v>
      </c>
      <c r="F491" s="16" t="s">
        <v>1779</v>
      </c>
      <c r="G491" s="16" t="s">
        <v>35</v>
      </c>
      <c r="H491" s="16" t="s">
        <v>148</v>
      </c>
      <c r="I491" s="16" t="s">
        <v>7846</v>
      </c>
      <c r="J491" s="16" t="s">
        <v>123</v>
      </c>
    </row>
    <row r="492" spans="1:10" ht="114" x14ac:dyDescent="0.2">
      <c r="A492" s="16" t="s">
        <v>1780</v>
      </c>
      <c r="B492" s="17" t="s">
        <v>68</v>
      </c>
      <c r="C492" s="16" t="s">
        <v>1781</v>
      </c>
      <c r="D492" s="16" t="s">
        <v>1782</v>
      </c>
      <c r="E492" s="17">
        <v>2025</v>
      </c>
      <c r="F492" s="16" t="s">
        <v>1783</v>
      </c>
      <c r="G492" s="16" t="s">
        <v>35</v>
      </c>
      <c r="H492" s="16" t="s">
        <v>148</v>
      </c>
      <c r="I492" s="16" t="s">
        <v>7847</v>
      </c>
      <c r="J492" s="16" t="s">
        <v>123</v>
      </c>
    </row>
    <row r="493" spans="1:10" ht="133" x14ac:dyDescent="0.2">
      <c r="A493" s="16" t="s">
        <v>1784</v>
      </c>
      <c r="B493" s="17" t="s">
        <v>68</v>
      </c>
      <c r="C493" s="16" t="s">
        <v>1785</v>
      </c>
      <c r="D493" s="16" t="s">
        <v>1786</v>
      </c>
      <c r="E493" s="17">
        <v>2024</v>
      </c>
      <c r="F493" s="16" t="s">
        <v>1787</v>
      </c>
      <c r="G493" s="16" t="s">
        <v>35</v>
      </c>
      <c r="H493" s="16" t="s">
        <v>148</v>
      </c>
      <c r="I493" s="16" t="s">
        <v>7848</v>
      </c>
      <c r="J493" s="16" t="s">
        <v>123</v>
      </c>
    </row>
    <row r="494" spans="1:10" ht="133" x14ac:dyDescent="0.2">
      <c r="A494" s="16" t="s">
        <v>1788</v>
      </c>
      <c r="B494" s="17" t="s">
        <v>68</v>
      </c>
      <c r="C494" s="16" t="s">
        <v>1789</v>
      </c>
      <c r="D494" s="16" t="s">
        <v>1790</v>
      </c>
      <c r="E494" s="17">
        <v>2026</v>
      </c>
      <c r="F494" s="16" t="s">
        <v>1791</v>
      </c>
      <c r="G494" s="16" t="s">
        <v>35</v>
      </c>
      <c r="H494" s="16" t="s">
        <v>133</v>
      </c>
      <c r="I494" s="16" t="s">
        <v>7849</v>
      </c>
      <c r="J494" s="16" t="s">
        <v>123</v>
      </c>
    </row>
    <row r="495" spans="1:10" ht="133" x14ac:dyDescent="0.2">
      <c r="A495" s="16" t="s">
        <v>1792</v>
      </c>
      <c r="B495" s="17" t="s">
        <v>68</v>
      </c>
      <c r="C495" s="16" t="s">
        <v>1793</v>
      </c>
      <c r="D495" s="16" t="s">
        <v>1794</v>
      </c>
      <c r="E495" s="17">
        <v>2023</v>
      </c>
      <c r="F495" s="16" t="s">
        <v>1795</v>
      </c>
      <c r="G495" s="16" t="s">
        <v>35</v>
      </c>
      <c r="H495" s="16" t="s">
        <v>148</v>
      </c>
      <c r="I495" s="16" t="s">
        <v>7850</v>
      </c>
      <c r="J495" s="16" t="s">
        <v>123</v>
      </c>
    </row>
    <row r="496" spans="1:10" ht="152" x14ac:dyDescent="0.2">
      <c r="A496" s="16" t="s">
        <v>1796</v>
      </c>
      <c r="B496" s="17" t="s">
        <v>68</v>
      </c>
      <c r="C496" s="16" t="s">
        <v>1797</v>
      </c>
      <c r="D496" s="16" t="s">
        <v>1798</v>
      </c>
      <c r="E496" s="17">
        <v>2025</v>
      </c>
      <c r="F496" s="16" t="s">
        <v>1799</v>
      </c>
      <c r="G496" s="16" t="s">
        <v>35</v>
      </c>
      <c r="H496" s="16" t="s">
        <v>148</v>
      </c>
      <c r="I496" s="16" t="s">
        <v>7851</v>
      </c>
      <c r="J496" s="16" t="s">
        <v>123</v>
      </c>
    </row>
    <row r="497" spans="1:10" ht="114" x14ac:dyDescent="0.2">
      <c r="A497" s="18" t="s">
        <v>1800</v>
      </c>
      <c r="B497" s="19" t="s">
        <v>68</v>
      </c>
      <c r="C497" s="18" t="s">
        <v>376</v>
      </c>
      <c r="D497" s="18" t="s">
        <v>377</v>
      </c>
      <c r="E497" s="19">
        <v>2025</v>
      </c>
      <c r="F497" s="18" t="s">
        <v>1801</v>
      </c>
      <c r="G497" s="18" t="s">
        <v>7431</v>
      </c>
      <c r="H497" s="18" t="s">
        <v>165</v>
      </c>
      <c r="I497" s="18" t="s">
        <v>7852</v>
      </c>
      <c r="J497" s="18" t="s">
        <v>742</v>
      </c>
    </row>
    <row r="498" spans="1:10" ht="190" x14ac:dyDescent="0.2">
      <c r="A498" s="16" t="s">
        <v>1802</v>
      </c>
      <c r="B498" s="17" t="s">
        <v>68</v>
      </c>
      <c r="C498" s="16" t="s">
        <v>1803</v>
      </c>
      <c r="D498" s="16" t="s">
        <v>1804</v>
      </c>
      <c r="E498" s="17">
        <v>2024</v>
      </c>
      <c r="F498" s="16" t="s">
        <v>1805</v>
      </c>
      <c r="G498" s="16" t="s">
        <v>35</v>
      </c>
      <c r="H498" s="16" t="s">
        <v>148</v>
      </c>
      <c r="I498" s="16" t="s">
        <v>7853</v>
      </c>
      <c r="J498" s="16" t="s">
        <v>123</v>
      </c>
    </row>
    <row r="499" spans="1:10" ht="76" x14ac:dyDescent="0.2">
      <c r="A499" s="18" t="s">
        <v>1806</v>
      </c>
      <c r="B499" s="19" t="s">
        <v>68</v>
      </c>
      <c r="C499" s="18" t="s">
        <v>1157</v>
      </c>
      <c r="D499" s="18" t="s">
        <v>1158</v>
      </c>
      <c r="E499" s="19">
        <v>2025</v>
      </c>
      <c r="F499" s="18" t="s">
        <v>1159</v>
      </c>
      <c r="G499" s="18" t="s">
        <v>7854</v>
      </c>
      <c r="H499" s="18" t="s">
        <v>165</v>
      </c>
      <c r="I499" s="18" t="s">
        <v>7855</v>
      </c>
      <c r="J499" s="18" t="s">
        <v>1807</v>
      </c>
    </row>
    <row r="500" spans="1:10" ht="209" x14ac:dyDescent="0.2">
      <c r="A500" s="16" t="s">
        <v>1808</v>
      </c>
      <c r="B500" s="17" t="s">
        <v>68</v>
      </c>
      <c r="C500" s="16" t="s">
        <v>1809</v>
      </c>
      <c r="D500" s="16" t="s">
        <v>1810</v>
      </c>
      <c r="E500" s="17">
        <v>2024</v>
      </c>
      <c r="F500" s="16" t="s">
        <v>1811</v>
      </c>
      <c r="G500" s="16" t="s">
        <v>35</v>
      </c>
      <c r="H500" s="16" t="s">
        <v>148</v>
      </c>
      <c r="I500" s="16" t="s">
        <v>7856</v>
      </c>
      <c r="J500" s="16" t="s">
        <v>123</v>
      </c>
    </row>
    <row r="501" spans="1:10" ht="171" x14ac:dyDescent="0.2">
      <c r="A501" s="16" t="s">
        <v>1812</v>
      </c>
      <c r="B501" s="17" t="s">
        <v>68</v>
      </c>
      <c r="C501" s="16" t="s">
        <v>1813</v>
      </c>
      <c r="D501" s="16" t="s">
        <v>1814</v>
      </c>
      <c r="E501" s="17">
        <v>2023</v>
      </c>
      <c r="F501" s="16" t="s">
        <v>1815</v>
      </c>
      <c r="G501" s="16" t="s">
        <v>35</v>
      </c>
      <c r="H501" s="16" t="s">
        <v>185</v>
      </c>
      <c r="I501" s="16" t="s">
        <v>7857</v>
      </c>
      <c r="J501" s="16" t="s">
        <v>123</v>
      </c>
    </row>
    <row r="502" spans="1:10" ht="171" x14ac:dyDescent="0.2">
      <c r="A502" s="16" t="s">
        <v>1816</v>
      </c>
      <c r="B502" s="17" t="s">
        <v>68</v>
      </c>
      <c r="C502" s="16" t="s">
        <v>1817</v>
      </c>
      <c r="D502" s="16" t="s">
        <v>1818</v>
      </c>
      <c r="E502" s="17">
        <v>2026</v>
      </c>
      <c r="F502" s="16" t="s">
        <v>1819</v>
      </c>
      <c r="G502" s="16" t="s">
        <v>35</v>
      </c>
      <c r="H502" s="16" t="s">
        <v>133</v>
      </c>
      <c r="I502" s="16" t="s">
        <v>7858</v>
      </c>
      <c r="J502" s="16" t="s">
        <v>123</v>
      </c>
    </row>
    <row r="503" spans="1:10" ht="152" x14ac:dyDescent="0.2">
      <c r="A503" s="16" t="s">
        <v>1820</v>
      </c>
      <c r="B503" s="17" t="s">
        <v>68</v>
      </c>
      <c r="C503" s="16" t="s">
        <v>1821</v>
      </c>
      <c r="D503" s="16" t="s">
        <v>1822</v>
      </c>
      <c r="E503" s="17">
        <v>2024</v>
      </c>
      <c r="F503" s="16" t="s">
        <v>1823</v>
      </c>
      <c r="G503" s="16" t="s">
        <v>35</v>
      </c>
      <c r="H503" s="16" t="s">
        <v>148</v>
      </c>
      <c r="I503" s="16" t="s">
        <v>7859</v>
      </c>
      <c r="J503" s="16" t="s">
        <v>123</v>
      </c>
    </row>
    <row r="504" spans="1:10" ht="114" x14ac:dyDescent="0.2">
      <c r="A504" s="16" t="s">
        <v>1824</v>
      </c>
      <c r="B504" s="17" t="s">
        <v>68</v>
      </c>
      <c r="C504" s="16" t="s">
        <v>1825</v>
      </c>
      <c r="D504" s="16" t="s">
        <v>1826</v>
      </c>
      <c r="E504" s="17">
        <v>2025</v>
      </c>
      <c r="F504" s="16" t="s">
        <v>1827</v>
      </c>
      <c r="G504" s="16" t="s">
        <v>35</v>
      </c>
      <c r="H504" s="16" t="s">
        <v>148</v>
      </c>
      <c r="I504" s="16" t="s">
        <v>7860</v>
      </c>
      <c r="J504" s="16" t="s">
        <v>123</v>
      </c>
    </row>
    <row r="505" spans="1:10" ht="152" x14ac:dyDescent="0.2">
      <c r="A505" s="16" t="s">
        <v>1828</v>
      </c>
      <c r="B505" s="17" t="s">
        <v>68</v>
      </c>
      <c r="C505" s="16" t="s">
        <v>1829</v>
      </c>
      <c r="D505" s="16" t="s">
        <v>1830</v>
      </c>
      <c r="E505" s="17">
        <v>2025</v>
      </c>
      <c r="F505" s="16" t="s">
        <v>1831</v>
      </c>
      <c r="G505" s="16" t="s">
        <v>35</v>
      </c>
      <c r="H505" s="16" t="s">
        <v>185</v>
      </c>
      <c r="I505" s="16" t="s">
        <v>7861</v>
      </c>
      <c r="J505" s="16" t="s">
        <v>123</v>
      </c>
    </row>
    <row r="506" spans="1:10" ht="152" x14ac:dyDescent="0.2">
      <c r="A506" s="16" t="s">
        <v>1832</v>
      </c>
      <c r="B506" s="17" t="s">
        <v>68</v>
      </c>
      <c r="C506" s="16" t="s">
        <v>583</v>
      </c>
      <c r="D506" s="16" t="s">
        <v>1833</v>
      </c>
      <c r="E506" s="17" t="s">
        <v>583</v>
      </c>
      <c r="F506" s="16" t="s">
        <v>1834</v>
      </c>
      <c r="G506" s="16" t="s">
        <v>35</v>
      </c>
      <c r="H506" s="16" t="s">
        <v>277</v>
      </c>
      <c r="I506" s="16" t="s">
        <v>7862</v>
      </c>
      <c r="J506" s="16" t="s">
        <v>186</v>
      </c>
    </row>
    <row r="507" spans="1:10" ht="152" x14ac:dyDescent="0.2">
      <c r="A507" s="18" t="s">
        <v>1835</v>
      </c>
      <c r="B507" s="19" t="s">
        <v>68</v>
      </c>
      <c r="C507" s="18" t="s">
        <v>46</v>
      </c>
      <c r="D507" s="18" t="s">
        <v>47</v>
      </c>
      <c r="E507" s="19">
        <v>2025</v>
      </c>
      <c r="F507" s="18" t="s">
        <v>1836</v>
      </c>
      <c r="G507" s="18" t="s">
        <v>7293</v>
      </c>
      <c r="H507" s="18" t="s">
        <v>215</v>
      </c>
      <c r="I507" s="18" t="s">
        <v>7863</v>
      </c>
      <c r="J507" s="18" t="s">
        <v>1837</v>
      </c>
    </row>
    <row r="508" spans="1:10" ht="76" x14ac:dyDescent="0.2">
      <c r="A508" s="18" t="s">
        <v>1838</v>
      </c>
      <c r="B508" s="19" t="s">
        <v>68</v>
      </c>
      <c r="C508" s="18" t="s">
        <v>392</v>
      </c>
      <c r="D508" s="18" t="s">
        <v>393</v>
      </c>
      <c r="E508" s="19">
        <v>2025</v>
      </c>
      <c r="F508" s="18" t="s">
        <v>394</v>
      </c>
      <c r="G508" s="18" t="s">
        <v>7864</v>
      </c>
      <c r="H508" s="18" t="s">
        <v>165</v>
      </c>
      <c r="I508" s="18" t="s">
        <v>7865</v>
      </c>
      <c r="J508" s="18" t="s">
        <v>1839</v>
      </c>
    </row>
    <row r="509" spans="1:10" ht="133" x14ac:dyDescent="0.2">
      <c r="A509" s="16" t="s">
        <v>1840</v>
      </c>
      <c r="B509" s="17" t="s">
        <v>68</v>
      </c>
      <c r="C509" s="16" t="s">
        <v>1841</v>
      </c>
      <c r="D509" s="16" t="s">
        <v>1842</v>
      </c>
      <c r="E509" s="17">
        <v>2024</v>
      </c>
      <c r="F509" s="16" t="s">
        <v>1843</v>
      </c>
      <c r="G509" s="16" t="s">
        <v>35</v>
      </c>
      <c r="H509" s="16" t="s">
        <v>148</v>
      </c>
      <c r="I509" s="16" t="s">
        <v>7866</v>
      </c>
      <c r="J509" s="16" t="s">
        <v>123</v>
      </c>
    </row>
    <row r="510" spans="1:10" ht="133" x14ac:dyDescent="0.2">
      <c r="A510" s="16" t="s">
        <v>1844</v>
      </c>
      <c r="B510" s="17" t="s">
        <v>68</v>
      </c>
      <c r="C510" s="16" t="s">
        <v>1845</v>
      </c>
      <c r="D510" s="16" t="s">
        <v>1846</v>
      </c>
      <c r="E510" s="17">
        <v>2024</v>
      </c>
      <c r="F510" s="16" t="s">
        <v>1847</v>
      </c>
      <c r="G510" s="16" t="s">
        <v>35</v>
      </c>
      <c r="H510" s="16" t="s">
        <v>148</v>
      </c>
      <c r="I510" s="16" t="s">
        <v>7867</v>
      </c>
      <c r="J510" s="16" t="s">
        <v>123</v>
      </c>
    </row>
    <row r="511" spans="1:10" ht="114" x14ac:dyDescent="0.2">
      <c r="A511" s="18" t="s">
        <v>1848</v>
      </c>
      <c r="B511" s="19" t="s">
        <v>68</v>
      </c>
      <c r="C511" s="18" t="s">
        <v>1803</v>
      </c>
      <c r="D511" s="18" t="s">
        <v>1804</v>
      </c>
      <c r="E511" s="19">
        <v>2024</v>
      </c>
      <c r="F511" s="18" t="s">
        <v>1849</v>
      </c>
      <c r="G511" s="18" t="s">
        <v>7868</v>
      </c>
      <c r="H511" s="18" t="s">
        <v>165</v>
      </c>
      <c r="I511" s="18" t="s">
        <v>7869</v>
      </c>
      <c r="J511" s="18" t="s">
        <v>1850</v>
      </c>
    </row>
    <row r="512" spans="1:10" ht="114" x14ac:dyDescent="0.2">
      <c r="A512" s="16" t="s">
        <v>1851</v>
      </c>
      <c r="B512" s="17" t="s">
        <v>68</v>
      </c>
      <c r="C512" s="16" t="s">
        <v>1852</v>
      </c>
      <c r="D512" s="16" t="s">
        <v>1853</v>
      </c>
      <c r="E512" s="17">
        <v>2026</v>
      </c>
      <c r="F512" s="16" t="s">
        <v>1854</v>
      </c>
      <c r="G512" s="16" t="s">
        <v>35</v>
      </c>
      <c r="H512" s="16" t="s">
        <v>148</v>
      </c>
      <c r="I512" s="16" t="s">
        <v>7870</v>
      </c>
      <c r="J512" s="16" t="s">
        <v>123</v>
      </c>
    </row>
    <row r="513" spans="1:10" ht="152" x14ac:dyDescent="0.2">
      <c r="A513" s="16" t="s">
        <v>1855</v>
      </c>
      <c r="B513" s="17" t="s">
        <v>68</v>
      </c>
      <c r="C513" s="16" t="s">
        <v>1856</v>
      </c>
      <c r="D513" s="16" t="s">
        <v>1857</v>
      </c>
      <c r="E513" s="17">
        <v>2024</v>
      </c>
      <c r="F513" s="16" t="s">
        <v>1858</v>
      </c>
      <c r="G513" s="16" t="s">
        <v>35</v>
      </c>
      <c r="H513" s="16" t="s">
        <v>148</v>
      </c>
      <c r="I513" s="16" t="s">
        <v>7871</v>
      </c>
      <c r="J513" s="16" t="s">
        <v>123</v>
      </c>
    </row>
    <row r="514" spans="1:10" ht="114" x14ac:dyDescent="0.2">
      <c r="A514" s="16" t="s">
        <v>1859</v>
      </c>
      <c r="B514" s="17" t="s">
        <v>68</v>
      </c>
      <c r="C514" s="16" t="s">
        <v>1860</v>
      </c>
      <c r="D514" s="16" t="s">
        <v>1861</v>
      </c>
      <c r="E514" s="17">
        <v>2024</v>
      </c>
      <c r="F514" s="16" t="s">
        <v>1862</v>
      </c>
      <c r="G514" s="16" t="s">
        <v>35</v>
      </c>
      <c r="H514" s="16" t="s">
        <v>148</v>
      </c>
      <c r="I514" s="16" t="s">
        <v>7872</v>
      </c>
      <c r="J514" s="16" t="s">
        <v>123</v>
      </c>
    </row>
    <row r="515" spans="1:10" ht="114" x14ac:dyDescent="0.2">
      <c r="A515" s="16" t="s">
        <v>1863</v>
      </c>
      <c r="B515" s="17" t="s">
        <v>68</v>
      </c>
      <c r="C515" s="16" t="s">
        <v>1864</v>
      </c>
      <c r="D515" s="16" t="s">
        <v>1865</v>
      </c>
      <c r="E515" s="17">
        <v>2025</v>
      </c>
      <c r="F515" s="16" t="s">
        <v>1866</v>
      </c>
      <c r="G515" s="16" t="s">
        <v>35</v>
      </c>
      <c r="H515" s="16" t="s">
        <v>148</v>
      </c>
      <c r="I515" s="16" t="s">
        <v>7873</v>
      </c>
      <c r="J515" s="16" t="s">
        <v>123</v>
      </c>
    </row>
    <row r="516" spans="1:10" ht="76" x14ac:dyDescent="0.2">
      <c r="A516" s="18" t="s">
        <v>1867</v>
      </c>
      <c r="B516" s="19" t="s">
        <v>68</v>
      </c>
      <c r="C516" s="18" t="s">
        <v>1868</v>
      </c>
      <c r="D516" s="18" t="s">
        <v>1869</v>
      </c>
      <c r="E516" s="19">
        <v>2025</v>
      </c>
      <c r="F516" s="18" t="s">
        <v>1870</v>
      </c>
      <c r="G516" s="18" t="s">
        <v>7874</v>
      </c>
      <c r="H516" s="18" t="s">
        <v>165</v>
      </c>
      <c r="I516" s="18" t="s">
        <v>7875</v>
      </c>
      <c r="J516" s="18" t="s">
        <v>1871</v>
      </c>
    </row>
    <row r="517" spans="1:10" ht="114" x14ac:dyDescent="0.2">
      <c r="A517" s="16" t="s">
        <v>1872</v>
      </c>
      <c r="B517" s="17" t="s">
        <v>68</v>
      </c>
      <c r="C517" s="16" t="s">
        <v>1520</v>
      </c>
      <c r="D517" s="16" t="s">
        <v>1873</v>
      </c>
      <c r="E517" s="17">
        <v>2023</v>
      </c>
      <c r="F517" s="16" t="s">
        <v>1874</v>
      </c>
      <c r="G517" s="16" t="s">
        <v>35</v>
      </c>
      <c r="H517" s="16" t="s">
        <v>185</v>
      </c>
      <c r="I517" s="16" t="s">
        <v>7876</v>
      </c>
      <c r="J517" s="16" t="s">
        <v>123</v>
      </c>
    </row>
    <row r="518" spans="1:10" ht="133" x14ac:dyDescent="0.2">
      <c r="A518" s="16" t="s">
        <v>1875</v>
      </c>
      <c r="B518" s="17" t="s">
        <v>68</v>
      </c>
      <c r="C518" s="16" t="s">
        <v>1876</v>
      </c>
      <c r="D518" s="16" t="s">
        <v>1877</v>
      </c>
      <c r="E518" s="17">
        <v>2024</v>
      </c>
      <c r="F518" s="16" t="s">
        <v>1878</v>
      </c>
      <c r="G518" s="16" t="s">
        <v>35</v>
      </c>
      <c r="H518" s="16" t="s">
        <v>133</v>
      </c>
      <c r="I518" s="16" t="s">
        <v>7877</v>
      </c>
      <c r="J518" s="16" t="s">
        <v>123</v>
      </c>
    </row>
    <row r="519" spans="1:10" ht="171" x14ac:dyDescent="0.2">
      <c r="A519" s="16" t="s">
        <v>1879</v>
      </c>
      <c r="B519" s="17" t="s">
        <v>68</v>
      </c>
      <c r="C519" s="16" t="s">
        <v>1880</v>
      </c>
      <c r="D519" s="16" t="s">
        <v>1881</v>
      </c>
      <c r="E519" s="17">
        <v>2024</v>
      </c>
      <c r="F519" s="16" t="s">
        <v>1882</v>
      </c>
      <c r="G519" s="16" t="s">
        <v>35</v>
      </c>
      <c r="H519" s="16" t="s">
        <v>148</v>
      </c>
      <c r="I519" s="16" t="s">
        <v>7878</v>
      </c>
      <c r="J519" s="16" t="s">
        <v>123</v>
      </c>
    </row>
    <row r="520" spans="1:10" ht="247" x14ac:dyDescent="0.2">
      <c r="A520" s="14" t="s">
        <v>1883</v>
      </c>
      <c r="B520" s="15" t="s">
        <v>68</v>
      </c>
      <c r="C520" s="14" t="s">
        <v>1884</v>
      </c>
      <c r="D520" s="14" t="s">
        <v>1885</v>
      </c>
      <c r="E520" s="15">
        <v>2024</v>
      </c>
      <c r="F520" s="14" t="s">
        <v>1886</v>
      </c>
      <c r="G520" s="14" t="s">
        <v>7879</v>
      </c>
      <c r="H520" s="14"/>
      <c r="I520" s="14" t="s">
        <v>7880</v>
      </c>
      <c r="J520" s="14" t="s">
        <v>123</v>
      </c>
    </row>
    <row r="521" spans="1:10" ht="95" x14ac:dyDescent="0.2">
      <c r="A521" s="16" t="s">
        <v>1887</v>
      </c>
      <c r="B521" s="17" t="s">
        <v>68</v>
      </c>
      <c r="C521" s="16" t="s">
        <v>1888</v>
      </c>
      <c r="D521" s="16" t="s">
        <v>1889</v>
      </c>
      <c r="E521" s="17">
        <v>2024</v>
      </c>
      <c r="F521" s="16" t="s">
        <v>1890</v>
      </c>
      <c r="G521" s="16" t="s">
        <v>35</v>
      </c>
      <c r="H521" s="16" t="s">
        <v>148</v>
      </c>
      <c r="I521" s="16" t="s">
        <v>7881</v>
      </c>
      <c r="J521" s="16" t="s">
        <v>123</v>
      </c>
    </row>
    <row r="522" spans="1:10" ht="114" x14ac:dyDescent="0.2">
      <c r="A522" s="16" t="s">
        <v>1891</v>
      </c>
      <c r="B522" s="17" t="s">
        <v>68</v>
      </c>
      <c r="C522" s="16" t="s">
        <v>1892</v>
      </c>
      <c r="D522" s="16" t="s">
        <v>1893</v>
      </c>
      <c r="E522" s="17">
        <v>2026</v>
      </c>
      <c r="F522" s="16" t="s">
        <v>1894</v>
      </c>
      <c r="G522" s="16" t="s">
        <v>35</v>
      </c>
      <c r="H522" s="16" t="s">
        <v>148</v>
      </c>
      <c r="I522" s="16" t="s">
        <v>7882</v>
      </c>
      <c r="J522" s="16" t="s">
        <v>123</v>
      </c>
    </row>
    <row r="523" spans="1:10" ht="190" x14ac:dyDescent="0.2">
      <c r="A523" s="16" t="s">
        <v>1895</v>
      </c>
      <c r="B523" s="17" t="s">
        <v>68</v>
      </c>
      <c r="C523" s="16" t="s">
        <v>1896</v>
      </c>
      <c r="D523" s="16" t="s">
        <v>1897</v>
      </c>
      <c r="E523" s="17">
        <v>2026</v>
      </c>
      <c r="F523" s="16" t="s">
        <v>1898</v>
      </c>
      <c r="G523" s="16" t="s">
        <v>35</v>
      </c>
      <c r="H523" s="16" t="s">
        <v>148</v>
      </c>
      <c r="I523" s="16" t="s">
        <v>7883</v>
      </c>
      <c r="J523" s="16" t="s">
        <v>123</v>
      </c>
    </row>
    <row r="524" spans="1:10" ht="152" x14ac:dyDescent="0.2">
      <c r="A524" s="16" t="s">
        <v>1899</v>
      </c>
      <c r="B524" s="17" t="s">
        <v>68</v>
      </c>
      <c r="C524" s="16" t="s">
        <v>1900</v>
      </c>
      <c r="D524" s="16" t="s">
        <v>1901</v>
      </c>
      <c r="E524" s="17">
        <v>2025</v>
      </c>
      <c r="F524" s="16" t="s">
        <v>1902</v>
      </c>
      <c r="G524" s="16" t="s">
        <v>35</v>
      </c>
      <c r="H524" s="16" t="s">
        <v>203</v>
      </c>
      <c r="I524" s="16" t="s">
        <v>7884</v>
      </c>
      <c r="J524" s="16" t="s">
        <v>123</v>
      </c>
    </row>
    <row r="525" spans="1:10" ht="152" x14ac:dyDescent="0.2">
      <c r="A525" s="16" t="s">
        <v>1903</v>
      </c>
      <c r="B525" s="17" t="s">
        <v>68</v>
      </c>
      <c r="C525" s="16" t="s">
        <v>1868</v>
      </c>
      <c r="D525" s="16" t="s">
        <v>1904</v>
      </c>
      <c r="E525" s="17">
        <v>2026</v>
      </c>
      <c r="F525" s="16" t="s">
        <v>1905</v>
      </c>
      <c r="G525" s="16" t="s">
        <v>35</v>
      </c>
      <c r="H525" s="16" t="s">
        <v>148</v>
      </c>
      <c r="I525" s="16" t="s">
        <v>7885</v>
      </c>
      <c r="J525" s="16" t="s">
        <v>123</v>
      </c>
    </row>
    <row r="526" spans="1:10" ht="133" x14ac:dyDescent="0.2">
      <c r="A526" s="16" t="s">
        <v>1906</v>
      </c>
      <c r="B526" s="17" t="s">
        <v>68</v>
      </c>
      <c r="C526" s="16" t="s">
        <v>1907</v>
      </c>
      <c r="D526" s="16" t="s">
        <v>1908</v>
      </c>
      <c r="E526" s="17">
        <v>2025</v>
      </c>
      <c r="F526" s="16" t="s">
        <v>1909</v>
      </c>
      <c r="G526" s="16" t="s">
        <v>35</v>
      </c>
      <c r="H526" s="16" t="s">
        <v>122</v>
      </c>
      <c r="I526" s="16" t="s">
        <v>7886</v>
      </c>
      <c r="J526" s="16" t="s">
        <v>123</v>
      </c>
    </row>
    <row r="527" spans="1:10" ht="133" x14ac:dyDescent="0.2">
      <c r="A527" s="18" t="s">
        <v>1910</v>
      </c>
      <c r="B527" s="19" t="s">
        <v>68</v>
      </c>
      <c r="C527" s="18" t="s">
        <v>1911</v>
      </c>
      <c r="D527" s="18" t="s">
        <v>1912</v>
      </c>
      <c r="E527" s="19">
        <v>2023</v>
      </c>
      <c r="F527" s="18" t="s">
        <v>1913</v>
      </c>
      <c r="G527" s="18" t="s">
        <v>7887</v>
      </c>
      <c r="H527" s="18" t="s">
        <v>165</v>
      </c>
      <c r="I527" s="18" t="s">
        <v>7888</v>
      </c>
      <c r="J527" s="18" t="s">
        <v>1914</v>
      </c>
    </row>
    <row r="528" spans="1:10" ht="95" x14ac:dyDescent="0.2">
      <c r="A528" s="16" t="s">
        <v>1915</v>
      </c>
      <c r="B528" s="17" t="s">
        <v>68</v>
      </c>
      <c r="C528" s="16" t="s">
        <v>1916</v>
      </c>
      <c r="D528" s="16" t="s">
        <v>1917</v>
      </c>
      <c r="E528" s="17">
        <v>2024</v>
      </c>
      <c r="F528" s="16" t="s">
        <v>1918</v>
      </c>
      <c r="G528" s="16" t="s">
        <v>35</v>
      </c>
      <c r="H528" s="16" t="s">
        <v>148</v>
      </c>
      <c r="I528" s="16" t="s">
        <v>7889</v>
      </c>
      <c r="J528" s="16" t="s">
        <v>123</v>
      </c>
    </row>
    <row r="529" spans="1:10" ht="133" x14ac:dyDescent="0.2">
      <c r="A529" s="16" t="s">
        <v>1919</v>
      </c>
      <c r="B529" s="17" t="s">
        <v>68</v>
      </c>
      <c r="C529" s="16" t="s">
        <v>1920</v>
      </c>
      <c r="D529" s="16" t="s">
        <v>1921</v>
      </c>
      <c r="E529" s="17">
        <v>2024</v>
      </c>
      <c r="F529" s="16" t="s">
        <v>1922</v>
      </c>
      <c r="G529" s="16" t="s">
        <v>35</v>
      </c>
      <c r="H529" s="16" t="s">
        <v>148</v>
      </c>
      <c r="I529" s="16" t="s">
        <v>7890</v>
      </c>
      <c r="J529" s="16" t="s">
        <v>123</v>
      </c>
    </row>
    <row r="530" spans="1:10" ht="114" x14ac:dyDescent="0.2">
      <c r="A530" s="16" t="s">
        <v>1923</v>
      </c>
      <c r="B530" s="17" t="s">
        <v>68</v>
      </c>
      <c r="C530" s="16" t="s">
        <v>1924</v>
      </c>
      <c r="D530" s="16" t="s">
        <v>1925</v>
      </c>
      <c r="E530" s="17">
        <v>2024</v>
      </c>
      <c r="F530" s="16" t="s">
        <v>1926</v>
      </c>
      <c r="G530" s="16" t="s">
        <v>35</v>
      </c>
      <c r="H530" s="16" t="s">
        <v>148</v>
      </c>
      <c r="I530" s="16" t="s">
        <v>7891</v>
      </c>
      <c r="J530" s="16" t="s">
        <v>123</v>
      </c>
    </row>
    <row r="531" spans="1:10" ht="95" x14ac:dyDescent="0.2">
      <c r="A531" s="18" t="s">
        <v>1927</v>
      </c>
      <c r="B531" s="19" t="s">
        <v>68</v>
      </c>
      <c r="C531" s="18" t="s">
        <v>1435</v>
      </c>
      <c r="D531" s="18" t="s">
        <v>1436</v>
      </c>
      <c r="E531" s="19">
        <v>2024</v>
      </c>
      <c r="F531" s="18" t="s">
        <v>1928</v>
      </c>
      <c r="G531" s="18" t="s">
        <v>7892</v>
      </c>
      <c r="H531" s="18" t="s">
        <v>165</v>
      </c>
      <c r="I531" s="18" t="s">
        <v>7893</v>
      </c>
      <c r="J531" s="18" t="s">
        <v>1929</v>
      </c>
    </row>
    <row r="532" spans="1:10" ht="114" x14ac:dyDescent="0.2">
      <c r="A532" s="16" t="s">
        <v>1930</v>
      </c>
      <c r="B532" s="17" t="s">
        <v>68</v>
      </c>
      <c r="C532" s="16" t="s">
        <v>583</v>
      </c>
      <c r="D532" s="16" t="s">
        <v>1931</v>
      </c>
      <c r="E532" s="17" t="s">
        <v>583</v>
      </c>
      <c r="F532" s="16" t="s">
        <v>1932</v>
      </c>
      <c r="G532" s="16" t="s">
        <v>35</v>
      </c>
      <c r="H532" s="16" t="s">
        <v>185</v>
      </c>
      <c r="I532" s="16" t="s">
        <v>7894</v>
      </c>
      <c r="J532" s="16" t="s">
        <v>186</v>
      </c>
    </row>
    <row r="533" spans="1:10" ht="114" x14ac:dyDescent="0.2">
      <c r="A533" s="16" t="s">
        <v>1933</v>
      </c>
      <c r="B533" s="17" t="s">
        <v>68</v>
      </c>
      <c r="C533" s="16" t="s">
        <v>1934</v>
      </c>
      <c r="D533" s="16" t="s">
        <v>1935</v>
      </c>
      <c r="E533" s="17">
        <v>2024</v>
      </c>
      <c r="F533" s="16" t="s">
        <v>1936</v>
      </c>
      <c r="G533" s="16" t="s">
        <v>35</v>
      </c>
      <c r="H533" s="16" t="s">
        <v>185</v>
      </c>
      <c r="I533" s="16" t="s">
        <v>7895</v>
      </c>
      <c r="J533" s="16" t="s">
        <v>123</v>
      </c>
    </row>
    <row r="534" spans="1:10" ht="228" x14ac:dyDescent="0.2">
      <c r="A534" s="14" t="s">
        <v>1937</v>
      </c>
      <c r="B534" s="15" t="s">
        <v>68</v>
      </c>
      <c r="C534" s="14" t="s">
        <v>1938</v>
      </c>
      <c r="D534" s="14" t="s">
        <v>1939</v>
      </c>
      <c r="E534" s="15">
        <v>2024</v>
      </c>
      <c r="F534" s="14" t="s">
        <v>1940</v>
      </c>
      <c r="G534" s="14" t="s">
        <v>7896</v>
      </c>
      <c r="H534" s="14"/>
      <c r="I534" s="14" t="s">
        <v>7897</v>
      </c>
      <c r="J534" s="14" t="s">
        <v>123</v>
      </c>
    </row>
    <row r="535" spans="1:10" ht="133" x14ac:dyDescent="0.2">
      <c r="A535" s="16" t="s">
        <v>1941</v>
      </c>
      <c r="B535" s="17" t="s">
        <v>68</v>
      </c>
      <c r="C535" s="16" t="s">
        <v>1942</v>
      </c>
      <c r="D535" s="16" t="s">
        <v>1943</v>
      </c>
      <c r="E535" s="17">
        <v>2023</v>
      </c>
      <c r="F535" s="16" t="s">
        <v>1944</v>
      </c>
      <c r="G535" s="16" t="s">
        <v>35</v>
      </c>
      <c r="H535" s="16" t="s">
        <v>148</v>
      </c>
      <c r="I535" s="16" t="s">
        <v>7898</v>
      </c>
      <c r="J535" s="16" t="s">
        <v>123</v>
      </c>
    </row>
    <row r="536" spans="1:10" ht="171" x14ac:dyDescent="0.2">
      <c r="A536" s="16" t="s">
        <v>1945</v>
      </c>
      <c r="B536" s="17" t="s">
        <v>68</v>
      </c>
      <c r="C536" s="16" t="s">
        <v>1911</v>
      </c>
      <c r="D536" s="16" t="s">
        <v>1946</v>
      </c>
      <c r="E536" s="17">
        <v>2025</v>
      </c>
      <c r="F536" s="16" t="s">
        <v>1947</v>
      </c>
      <c r="G536" s="16" t="s">
        <v>35</v>
      </c>
      <c r="H536" s="16" t="s">
        <v>133</v>
      </c>
      <c r="I536" s="16" t="s">
        <v>7899</v>
      </c>
      <c r="J536" s="16" t="s">
        <v>123</v>
      </c>
    </row>
    <row r="537" spans="1:10" ht="114" x14ac:dyDescent="0.2">
      <c r="A537" s="18" t="s">
        <v>1948</v>
      </c>
      <c r="B537" s="19" t="s">
        <v>68</v>
      </c>
      <c r="C537" s="18" t="s">
        <v>441</v>
      </c>
      <c r="D537" s="18" t="s">
        <v>442</v>
      </c>
      <c r="E537" s="19">
        <v>2025</v>
      </c>
      <c r="F537" s="18" t="s">
        <v>1949</v>
      </c>
      <c r="G537" s="18" t="s">
        <v>7492</v>
      </c>
      <c r="H537" s="18" t="s">
        <v>165</v>
      </c>
      <c r="I537" s="18" t="s">
        <v>7900</v>
      </c>
      <c r="J537" s="18" t="s">
        <v>870</v>
      </c>
    </row>
    <row r="538" spans="1:10" ht="114" x14ac:dyDescent="0.2">
      <c r="A538" s="16" t="s">
        <v>1950</v>
      </c>
      <c r="B538" s="17" t="s">
        <v>68</v>
      </c>
      <c r="C538" s="16" t="s">
        <v>583</v>
      </c>
      <c r="D538" s="16" t="s">
        <v>1951</v>
      </c>
      <c r="E538" s="17" t="s">
        <v>583</v>
      </c>
      <c r="F538" s="16" t="s">
        <v>1952</v>
      </c>
      <c r="G538" s="16" t="s">
        <v>35</v>
      </c>
      <c r="H538" s="16" t="s">
        <v>277</v>
      </c>
      <c r="I538" s="16" t="s">
        <v>7901</v>
      </c>
      <c r="J538" s="16" t="s">
        <v>186</v>
      </c>
    </row>
    <row r="539" spans="1:10" ht="114" x14ac:dyDescent="0.2">
      <c r="A539" s="16" t="s">
        <v>1953</v>
      </c>
      <c r="B539" s="17" t="s">
        <v>68</v>
      </c>
      <c r="C539" s="16" t="s">
        <v>1954</v>
      </c>
      <c r="D539" s="16" t="s">
        <v>1955</v>
      </c>
      <c r="E539" s="17">
        <v>2026</v>
      </c>
      <c r="F539" s="16" t="s">
        <v>1956</v>
      </c>
      <c r="G539" s="16" t="s">
        <v>35</v>
      </c>
      <c r="H539" s="16" t="s">
        <v>148</v>
      </c>
      <c r="I539" s="16" t="s">
        <v>7902</v>
      </c>
      <c r="J539" s="16" t="s">
        <v>123</v>
      </c>
    </row>
    <row r="540" spans="1:10" ht="114" x14ac:dyDescent="0.2">
      <c r="A540" s="16" t="s">
        <v>1957</v>
      </c>
      <c r="B540" s="17" t="s">
        <v>68</v>
      </c>
      <c r="C540" s="16" t="s">
        <v>1958</v>
      </c>
      <c r="D540" s="16" t="s">
        <v>1959</v>
      </c>
      <c r="E540" s="17">
        <v>2024</v>
      </c>
      <c r="F540" s="16" t="s">
        <v>1960</v>
      </c>
      <c r="G540" s="16" t="s">
        <v>35</v>
      </c>
      <c r="H540" s="16" t="s">
        <v>148</v>
      </c>
      <c r="I540" s="16" t="s">
        <v>7903</v>
      </c>
      <c r="J540" s="16" t="s">
        <v>186</v>
      </c>
    </row>
    <row r="541" spans="1:10" ht="190" x14ac:dyDescent="0.2">
      <c r="A541" s="16" t="s">
        <v>1961</v>
      </c>
      <c r="B541" s="17" t="s">
        <v>68</v>
      </c>
      <c r="C541" s="16" t="s">
        <v>1962</v>
      </c>
      <c r="D541" s="16" t="s">
        <v>1963</v>
      </c>
      <c r="E541" s="17">
        <v>2025</v>
      </c>
      <c r="F541" s="16" t="s">
        <v>1964</v>
      </c>
      <c r="G541" s="16" t="s">
        <v>35</v>
      </c>
      <c r="H541" s="16" t="s">
        <v>185</v>
      </c>
      <c r="I541" s="16" t="s">
        <v>7904</v>
      </c>
      <c r="J541" s="16" t="s">
        <v>123</v>
      </c>
    </row>
    <row r="542" spans="1:10" ht="190" x14ac:dyDescent="0.2">
      <c r="A542" s="16" t="s">
        <v>1965</v>
      </c>
      <c r="B542" s="17" t="s">
        <v>68</v>
      </c>
      <c r="C542" s="16" t="s">
        <v>1966</v>
      </c>
      <c r="D542" s="16" t="s">
        <v>1967</v>
      </c>
      <c r="E542" s="17">
        <v>2026</v>
      </c>
      <c r="F542" s="16" t="s">
        <v>1968</v>
      </c>
      <c r="G542" s="16" t="s">
        <v>35</v>
      </c>
      <c r="H542" s="16" t="s">
        <v>148</v>
      </c>
      <c r="I542" s="16" t="s">
        <v>7905</v>
      </c>
      <c r="J542" s="16" t="s">
        <v>123</v>
      </c>
    </row>
    <row r="543" spans="1:10" ht="190" x14ac:dyDescent="0.2">
      <c r="A543" s="16" t="s">
        <v>1969</v>
      </c>
      <c r="B543" s="17" t="s">
        <v>68</v>
      </c>
      <c r="C543" s="16" t="s">
        <v>1970</v>
      </c>
      <c r="D543" s="16" t="s">
        <v>1971</v>
      </c>
      <c r="E543" s="17">
        <v>2026</v>
      </c>
      <c r="F543" s="16" t="s">
        <v>1972</v>
      </c>
      <c r="G543" s="16" t="s">
        <v>35</v>
      </c>
      <c r="H543" s="16" t="s">
        <v>148</v>
      </c>
      <c r="I543" s="16" t="s">
        <v>7906</v>
      </c>
      <c r="J543" s="16" t="s">
        <v>186</v>
      </c>
    </row>
    <row r="544" spans="1:10" ht="209" x14ac:dyDescent="0.2">
      <c r="A544" s="16" t="s">
        <v>1973</v>
      </c>
      <c r="B544" s="17" t="s">
        <v>68</v>
      </c>
      <c r="C544" s="16" t="s">
        <v>1708</v>
      </c>
      <c r="D544" s="16" t="s">
        <v>1974</v>
      </c>
      <c r="E544" s="17">
        <v>2026</v>
      </c>
      <c r="F544" s="16" t="s">
        <v>1975</v>
      </c>
      <c r="G544" s="16" t="s">
        <v>35</v>
      </c>
      <c r="H544" s="16" t="s">
        <v>148</v>
      </c>
      <c r="I544" s="16" t="s">
        <v>7907</v>
      </c>
      <c r="J544" s="16" t="s">
        <v>123</v>
      </c>
    </row>
    <row r="545" spans="1:10" ht="190" x14ac:dyDescent="0.2">
      <c r="A545" s="16" t="s">
        <v>1976</v>
      </c>
      <c r="B545" s="17" t="s">
        <v>68</v>
      </c>
      <c r="C545" s="16" t="s">
        <v>1977</v>
      </c>
      <c r="D545" s="16" t="s">
        <v>1978</v>
      </c>
      <c r="E545" s="17">
        <v>2026</v>
      </c>
      <c r="F545" s="16" t="s">
        <v>1979</v>
      </c>
      <c r="G545" s="16" t="s">
        <v>35</v>
      </c>
      <c r="H545" s="16" t="s">
        <v>122</v>
      </c>
      <c r="I545" s="16" t="s">
        <v>7908</v>
      </c>
      <c r="J545" s="16" t="s">
        <v>123</v>
      </c>
    </row>
    <row r="546" spans="1:10" ht="133" x14ac:dyDescent="0.2">
      <c r="A546" s="18" t="s">
        <v>1980</v>
      </c>
      <c r="B546" s="19" t="s">
        <v>68</v>
      </c>
      <c r="C546" s="18" t="s">
        <v>1318</v>
      </c>
      <c r="D546" s="18" t="s">
        <v>1319</v>
      </c>
      <c r="E546" s="19">
        <v>2026</v>
      </c>
      <c r="F546" s="18" t="s">
        <v>1981</v>
      </c>
      <c r="G546" s="18" t="s">
        <v>7909</v>
      </c>
      <c r="H546" s="18" t="s">
        <v>165</v>
      </c>
      <c r="I546" s="18" t="s">
        <v>7910</v>
      </c>
      <c r="J546" s="18" t="s">
        <v>1982</v>
      </c>
    </row>
    <row r="547" spans="1:10" ht="133" x14ac:dyDescent="0.2">
      <c r="A547" s="16" t="s">
        <v>1983</v>
      </c>
      <c r="B547" s="17" t="s">
        <v>68</v>
      </c>
      <c r="C547" s="16" t="s">
        <v>1984</v>
      </c>
      <c r="D547" s="16" t="s">
        <v>1985</v>
      </c>
      <c r="E547" s="17">
        <v>2025</v>
      </c>
      <c r="F547" s="16" t="s">
        <v>1986</v>
      </c>
      <c r="G547" s="16" t="s">
        <v>35</v>
      </c>
      <c r="H547" s="16" t="s">
        <v>277</v>
      </c>
      <c r="I547" s="16" t="s">
        <v>7911</v>
      </c>
      <c r="J547" s="16" t="s">
        <v>186</v>
      </c>
    </row>
    <row r="548" spans="1:10" ht="285" x14ac:dyDescent="0.2">
      <c r="A548" s="14" t="s">
        <v>1987</v>
      </c>
      <c r="B548" s="15" t="s">
        <v>68</v>
      </c>
      <c r="C548" s="14" t="s">
        <v>1988</v>
      </c>
      <c r="D548" s="14" t="s">
        <v>1989</v>
      </c>
      <c r="E548" s="15">
        <v>2025</v>
      </c>
      <c r="F548" s="14" t="s">
        <v>1990</v>
      </c>
      <c r="G548" s="14" t="s">
        <v>7912</v>
      </c>
      <c r="H548" s="14"/>
      <c r="I548" s="14" t="s">
        <v>7913</v>
      </c>
      <c r="J548" s="14" t="s">
        <v>123</v>
      </c>
    </row>
    <row r="549" spans="1:10" ht="171" x14ac:dyDescent="0.2">
      <c r="A549" s="16" t="s">
        <v>1991</v>
      </c>
      <c r="B549" s="17" t="s">
        <v>68</v>
      </c>
      <c r="C549" s="16" t="s">
        <v>1992</v>
      </c>
      <c r="D549" s="16" t="s">
        <v>1993</v>
      </c>
      <c r="E549" s="17">
        <v>2025</v>
      </c>
      <c r="F549" s="16" t="s">
        <v>1994</v>
      </c>
      <c r="G549" s="16" t="s">
        <v>35</v>
      </c>
      <c r="H549" s="16" t="s">
        <v>148</v>
      </c>
      <c r="I549" s="16" t="s">
        <v>7914</v>
      </c>
      <c r="J549" s="16" t="s">
        <v>123</v>
      </c>
    </row>
    <row r="550" spans="1:10" ht="171" x14ac:dyDescent="0.2">
      <c r="A550" s="16" t="s">
        <v>1995</v>
      </c>
      <c r="B550" s="17" t="s">
        <v>68</v>
      </c>
      <c r="C550" s="16" t="s">
        <v>1996</v>
      </c>
      <c r="D550" s="16" t="s">
        <v>1997</v>
      </c>
      <c r="E550" s="17">
        <v>2025</v>
      </c>
      <c r="F550" s="16" t="s">
        <v>1998</v>
      </c>
      <c r="G550" s="16" t="s">
        <v>35</v>
      </c>
      <c r="H550" s="16" t="s">
        <v>148</v>
      </c>
      <c r="I550" s="16" t="s">
        <v>7915</v>
      </c>
      <c r="J550" s="16" t="s">
        <v>186</v>
      </c>
    </row>
    <row r="551" spans="1:10" ht="133" x14ac:dyDescent="0.2">
      <c r="A551" s="18" t="s">
        <v>1999</v>
      </c>
      <c r="B551" s="19" t="s">
        <v>68</v>
      </c>
      <c r="C551" s="18" t="s">
        <v>249</v>
      </c>
      <c r="D551" s="18" t="s">
        <v>250</v>
      </c>
      <c r="E551" s="19">
        <v>2026</v>
      </c>
      <c r="F551" s="18" t="s">
        <v>2000</v>
      </c>
      <c r="G551" s="18" t="s">
        <v>7388</v>
      </c>
      <c r="H551" s="18" t="s">
        <v>165</v>
      </c>
      <c r="I551" s="18" t="s">
        <v>7916</v>
      </c>
      <c r="J551" s="18" t="s">
        <v>638</v>
      </c>
    </row>
    <row r="552" spans="1:10" ht="133" x14ac:dyDescent="0.2">
      <c r="A552" s="16" t="s">
        <v>2001</v>
      </c>
      <c r="B552" s="17" t="s">
        <v>68</v>
      </c>
      <c r="C552" s="16" t="s">
        <v>2002</v>
      </c>
      <c r="D552" s="16" t="s">
        <v>2003</v>
      </c>
      <c r="E552" s="17">
        <v>2023</v>
      </c>
      <c r="F552" s="16" t="s">
        <v>2004</v>
      </c>
      <c r="G552" s="16" t="s">
        <v>35</v>
      </c>
      <c r="H552" s="16" t="s">
        <v>148</v>
      </c>
      <c r="I552" s="16" t="s">
        <v>7917</v>
      </c>
      <c r="J552" s="16" t="s">
        <v>123</v>
      </c>
    </row>
    <row r="553" spans="1:10" ht="133" x14ac:dyDescent="0.2">
      <c r="A553" s="16" t="s">
        <v>2005</v>
      </c>
      <c r="B553" s="17" t="s">
        <v>68</v>
      </c>
      <c r="C553" s="16" t="s">
        <v>2006</v>
      </c>
      <c r="D553" s="16" t="s">
        <v>2007</v>
      </c>
      <c r="E553" s="17">
        <v>2024</v>
      </c>
      <c r="F553" s="16" t="s">
        <v>2008</v>
      </c>
      <c r="G553" s="16" t="s">
        <v>35</v>
      </c>
      <c r="H553" s="16" t="s">
        <v>148</v>
      </c>
      <c r="I553" s="16" t="s">
        <v>7918</v>
      </c>
      <c r="J553" s="16" t="s">
        <v>123</v>
      </c>
    </row>
    <row r="554" spans="1:10" ht="152" x14ac:dyDescent="0.2">
      <c r="A554" s="16" t="s">
        <v>2009</v>
      </c>
      <c r="B554" s="17" t="s">
        <v>68</v>
      </c>
      <c r="C554" s="16" t="s">
        <v>2010</v>
      </c>
      <c r="D554" s="16" t="s">
        <v>2011</v>
      </c>
      <c r="E554" s="17">
        <v>2023</v>
      </c>
      <c r="F554" s="16" t="s">
        <v>2012</v>
      </c>
      <c r="G554" s="16" t="s">
        <v>35</v>
      </c>
      <c r="H554" s="16" t="s">
        <v>133</v>
      </c>
      <c r="I554" s="16" t="s">
        <v>7919</v>
      </c>
      <c r="J554" s="16" t="s">
        <v>123</v>
      </c>
    </row>
    <row r="555" spans="1:10" ht="133" x14ac:dyDescent="0.2">
      <c r="A555" s="16" t="s">
        <v>2013</v>
      </c>
      <c r="B555" s="17" t="s">
        <v>68</v>
      </c>
      <c r="C555" s="16" t="s">
        <v>1708</v>
      </c>
      <c r="D555" s="16" t="s">
        <v>2014</v>
      </c>
      <c r="E555" s="17">
        <v>2025</v>
      </c>
      <c r="F555" s="16" t="s">
        <v>2015</v>
      </c>
      <c r="G555" s="16" t="s">
        <v>35</v>
      </c>
      <c r="H555" s="16" t="s">
        <v>148</v>
      </c>
      <c r="I555" s="16" t="s">
        <v>7920</v>
      </c>
      <c r="J555" s="16" t="s">
        <v>123</v>
      </c>
    </row>
    <row r="556" spans="1:10" ht="152" x14ac:dyDescent="0.2">
      <c r="A556" s="16" t="s">
        <v>2016</v>
      </c>
      <c r="B556" s="17" t="s">
        <v>68</v>
      </c>
      <c r="C556" s="16" t="s">
        <v>2017</v>
      </c>
      <c r="D556" s="16" t="s">
        <v>2018</v>
      </c>
      <c r="E556" s="17">
        <v>2024</v>
      </c>
      <c r="F556" s="16" t="s">
        <v>2019</v>
      </c>
      <c r="G556" s="16" t="s">
        <v>35</v>
      </c>
      <c r="H556" s="16" t="s">
        <v>148</v>
      </c>
      <c r="I556" s="16" t="s">
        <v>7921</v>
      </c>
      <c r="J556" s="16" t="s">
        <v>123</v>
      </c>
    </row>
    <row r="557" spans="1:10" ht="171" x14ac:dyDescent="0.2">
      <c r="A557" s="16" t="s">
        <v>2020</v>
      </c>
      <c r="B557" s="17" t="s">
        <v>68</v>
      </c>
      <c r="C557" s="16" t="s">
        <v>1992</v>
      </c>
      <c r="D557" s="16" t="s">
        <v>2021</v>
      </c>
      <c r="E557" s="17">
        <v>2025</v>
      </c>
      <c r="F557" s="16" t="s">
        <v>2022</v>
      </c>
      <c r="G557" s="16" t="s">
        <v>35</v>
      </c>
      <c r="H557" s="16" t="s">
        <v>148</v>
      </c>
      <c r="I557" s="16" t="s">
        <v>7922</v>
      </c>
      <c r="J557" s="16" t="s">
        <v>123</v>
      </c>
    </row>
    <row r="558" spans="1:10" ht="190" x14ac:dyDescent="0.2">
      <c r="A558" s="16" t="s">
        <v>2023</v>
      </c>
      <c r="B558" s="17" t="s">
        <v>68</v>
      </c>
      <c r="C558" s="16" t="s">
        <v>2024</v>
      </c>
      <c r="D558" s="16" t="s">
        <v>2025</v>
      </c>
      <c r="E558" s="17">
        <v>2024</v>
      </c>
      <c r="F558" s="16" t="s">
        <v>2026</v>
      </c>
      <c r="G558" s="16" t="s">
        <v>35</v>
      </c>
      <c r="H558" s="16" t="s">
        <v>148</v>
      </c>
      <c r="I558" s="16" t="s">
        <v>7923</v>
      </c>
      <c r="J558" s="16" t="s">
        <v>123</v>
      </c>
    </row>
    <row r="559" spans="1:10" ht="171" x14ac:dyDescent="0.2">
      <c r="A559" s="16" t="s">
        <v>2027</v>
      </c>
      <c r="B559" s="17" t="s">
        <v>68</v>
      </c>
      <c r="C559" s="16" t="s">
        <v>2028</v>
      </c>
      <c r="D559" s="16" t="s">
        <v>2029</v>
      </c>
      <c r="E559" s="17">
        <v>2024</v>
      </c>
      <c r="F559" s="16" t="s">
        <v>2030</v>
      </c>
      <c r="G559" s="16" t="s">
        <v>35</v>
      </c>
      <c r="H559" s="16" t="s">
        <v>185</v>
      </c>
      <c r="I559" s="16" t="s">
        <v>7924</v>
      </c>
      <c r="J559" s="16" t="s">
        <v>123</v>
      </c>
    </row>
    <row r="560" spans="1:10" ht="190" x14ac:dyDescent="0.2">
      <c r="A560" s="16" t="s">
        <v>2031</v>
      </c>
      <c r="B560" s="17" t="s">
        <v>68</v>
      </c>
      <c r="C560" s="16" t="s">
        <v>2032</v>
      </c>
      <c r="D560" s="16" t="s">
        <v>2033</v>
      </c>
      <c r="E560" s="17">
        <v>2024</v>
      </c>
      <c r="F560" s="16" t="s">
        <v>2034</v>
      </c>
      <c r="G560" s="16" t="s">
        <v>35</v>
      </c>
      <c r="H560" s="16" t="s">
        <v>148</v>
      </c>
      <c r="I560" s="16" t="s">
        <v>7925</v>
      </c>
      <c r="J560" s="16" t="s">
        <v>123</v>
      </c>
    </row>
    <row r="561" spans="1:10" ht="171" x14ac:dyDescent="0.2">
      <c r="A561" s="16" t="s">
        <v>2035</v>
      </c>
      <c r="B561" s="17" t="s">
        <v>68</v>
      </c>
      <c r="C561" s="16" t="s">
        <v>2036</v>
      </c>
      <c r="D561" s="16" t="s">
        <v>2037</v>
      </c>
      <c r="E561" s="17">
        <v>2023</v>
      </c>
      <c r="F561" s="16" t="s">
        <v>2038</v>
      </c>
      <c r="G561" s="16" t="s">
        <v>35</v>
      </c>
      <c r="H561" s="16" t="s">
        <v>148</v>
      </c>
      <c r="I561" s="16" t="s">
        <v>7926</v>
      </c>
      <c r="J561" s="16" t="s">
        <v>123</v>
      </c>
    </row>
    <row r="562" spans="1:10" ht="171" x14ac:dyDescent="0.2">
      <c r="A562" s="16" t="s">
        <v>2039</v>
      </c>
      <c r="B562" s="17" t="s">
        <v>68</v>
      </c>
      <c r="C562" s="16" t="s">
        <v>2040</v>
      </c>
      <c r="D562" s="16" t="s">
        <v>2041</v>
      </c>
      <c r="E562" s="17">
        <v>2024</v>
      </c>
      <c r="F562" s="16" t="s">
        <v>2042</v>
      </c>
      <c r="G562" s="16" t="s">
        <v>35</v>
      </c>
      <c r="H562" s="16" t="s">
        <v>148</v>
      </c>
      <c r="I562" s="16" t="s">
        <v>7927</v>
      </c>
      <c r="J562" s="16" t="s">
        <v>123</v>
      </c>
    </row>
    <row r="563" spans="1:10" ht="133" x14ac:dyDescent="0.2">
      <c r="A563" s="18" t="s">
        <v>2043</v>
      </c>
      <c r="B563" s="19" t="s">
        <v>68</v>
      </c>
      <c r="C563" s="18" t="s">
        <v>483</v>
      </c>
      <c r="D563" s="18" t="s">
        <v>484</v>
      </c>
      <c r="E563" s="19">
        <v>2026</v>
      </c>
      <c r="F563" s="18" t="s">
        <v>2044</v>
      </c>
      <c r="G563" s="18" t="s">
        <v>7585</v>
      </c>
      <c r="H563" s="18" t="s">
        <v>165</v>
      </c>
      <c r="I563" s="18" t="s">
        <v>7928</v>
      </c>
      <c r="J563" s="18" t="s">
        <v>1067</v>
      </c>
    </row>
    <row r="564" spans="1:10" ht="152" x14ac:dyDescent="0.2">
      <c r="A564" s="16" t="s">
        <v>2045</v>
      </c>
      <c r="B564" s="17" t="s">
        <v>68</v>
      </c>
      <c r="C564" s="16" t="s">
        <v>2046</v>
      </c>
      <c r="D564" s="16" t="s">
        <v>2047</v>
      </c>
      <c r="E564" s="17">
        <v>2023</v>
      </c>
      <c r="F564" s="16" t="s">
        <v>2048</v>
      </c>
      <c r="G564" s="16" t="s">
        <v>35</v>
      </c>
      <c r="H564" s="16" t="s">
        <v>271</v>
      </c>
      <c r="I564" s="16" t="s">
        <v>7929</v>
      </c>
      <c r="J564" s="16" t="s">
        <v>123</v>
      </c>
    </row>
    <row r="565" spans="1:10" ht="133" x14ac:dyDescent="0.2">
      <c r="A565" s="16" t="s">
        <v>2049</v>
      </c>
      <c r="B565" s="17" t="s">
        <v>68</v>
      </c>
      <c r="C565" s="16" t="s">
        <v>2050</v>
      </c>
      <c r="D565" s="16" t="s">
        <v>2051</v>
      </c>
      <c r="E565" s="17">
        <v>2024</v>
      </c>
      <c r="F565" s="16" t="s">
        <v>2052</v>
      </c>
      <c r="G565" s="16" t="s">
        <v>35</v>
      </c>
      <c r="H565" s="16" t="s">
        <v>133</v>
      </c>
      <c r="I565" s="16" t="s">
        <v>7930</v>
      </c>
      <c r="J565" s="16" t="s">
        <v>123</v>
      </c>
    </row>
    <row r="566" spans="1:10" ht="342" x14ac:dyDescent="0.2">
      <c r="A566" s="14" t="s">
        <v>2053</v>
      </c>
      <c r="B566" s="15" t="s">
        <v>68</v>
      </c>
      <c r="C566" s="14" t="s">
        <v>2054</v>
      </c>
      <c r="D566" s="14" t="s">
        <v>2055</v>
      </c>
      <c r="E566" s="15">
        <v>2026</v>
      </c>
      <c r="F566" s="14" t="s">
        <v>2056</v>
      </c>
      <c r="G566" s="14" t="s">
        <v>7931</v>
      </c>
      <c r="H566" s="14"/>
      <c r="I566" s="14" t="s">
        <v>7932</v>
      </c>
      <c r="J566" s="14" t="s">
        <v>123</v>
      </c>
    </row>
    <row r="567" spans="1:10" ht="171" x14ac:dyDescent="0.2">
      <c r="A567" s="16" t="s">
        <v>2057</v>
      </c>
      <c r="B567" s="17" t="s">
        <v>68</v>
      </c>
      <c r="C567" s="16" t="s">
        <v>2058</v>
      </c>
      <c r="D567" s="16" t="s">
        <v>2059</v>
      </c>
      <c r="E567" s="17">
        <v>2024</v>
      </c>
      <c r="F567" s="16" t="s">
        <v>2060</v>
      </c>
      <c r="G567" s="16" t="s">
        <v>35</v>
      </c>
      <c r="H567" s="16" t="s">
        <v>133</v>
      </c>
      <c r="I567" s="16" t="s">
        <v>7933</v>
      </c>
      <c r="J567" s="16" t="s">
        <v>123</v>
      </c>
    </row>
    <row r="568" spans="1:10" ht="133" x14ac:dyDescent="0.2">
      <c r="A568" s="18" t="s">
        <v>2061</v>
      </c>
      <c r="B568" s="19" t="s">
        <v>68</v>
      </c>
      <c r="C568" s="18" t="s">
        <v>145</v>
      </c>
      <c r="D568" s="18" t="s">
        <v>146</v>
      </c>
      <c r="E568" s="19">
        <v>2025</v>
      </c>
      <c r="F568" s="18" t="s">
        <v>2062</v>
      </c>
      <c r="G568" s="18" t="s">
        <v>7220</v>
      </c>
      <c r="H568" s="18" t="s">
        <v>165</v>
      </c>
      <c r="I568" s="18" t="s">
        <v>7934</v>
      </c>
      <c r="J568" s="18" t="s">
        <v>189</v>
      </c>
    </row>
    <row r="569" spans="1:10" ht="133" x14ac:dyDescent="0.2">
      <c r="A569" s="18" t="s">
        <v>2063</v>
      </c>
      <c r="B569" s="19" t="s">
        <v>68</v>
      </c>
      <c r="C569" s="18" t="s">
        <v>496</v>
      </c>
      <c r="D569" s="18" t="s">
        <v>497</v>
      </c>
      <c r="E569" s="19">
        <v>2026</v>
      </c>
      <c r="F569" s="18" t="s">
        <v>2064</v>
      </c>
      <c r="G569" s="18" t="s">
        <v>7499</v>
      </c>
      <c r="H569" s="18" t="s">
        <v>165</v>
      </c>
      <c r="I569" s="18" t="s">
        <v>7935</v>
      </c>
      <c r="J569" s="18" t="s">
        <v>888</v>
      </c>
    </row>
    <row r="570" spans="1:10" ht="152" x14ac:dyDescent="0.2">
      <c r="A570" s="16" t="s">
        <v>2065</v>
      </c>
      <c r="B570" s="17" t="s">
        <v>68</v>
      </c>
      <c r="C570" s="16" t="s">
        <v>1688</v>
      </c>
      <c r="D570" s="16" t="s">
        <v>2066</v>
      </c>
      <c r="E570" s="17">
        <v>2024</v>
      </c>
      <c r="F570" s="16" t="s">
        <v>2067</v>
      </c>
      <c r="G570" s="16" t="s">
        <v>35</v>
      </c>
      <c r="H570" s="16" t="s">
        <v>271</v>
      </c>
      <c r="I570" s="16" t="s">
        <v>7936</v>
      </c>
      <c r="J570" s="16" t="s">
        <v>123</v>
      </c>
    </row>
    <row r="571" spans="1:10" ht="152" x14ac:dyDescent="0.2">
      <c r="A571" s="16" t="s">
        <v>2068</v>
      </c>
      <c r="B571" s="17" t="s">
        <v>68</v>
      </c>
      <c r="C571" s="16" t="s">
        <v>2069</v>
      </c>
      <c r="D571" s="16" t="s">
        <v>2070</v>
      </c>
      <c r="E571" s="17">
        <v>2026</v>
      </c>
      <c r="F571" s="16" t="s">
        <v>2071</v>
      </c>
      <c r="G571" s="16" t="s">
        <v>35</v>
      </c>
      <c r="H571" s="16" t="s">
        <v>148</v>
      </c>
      <c r="I571" s="16" t="s">
        <v>7937</v>
      </c>
      <c r="J571" s="16" t="s">
        <v>123</v>
      </c>
    </row>
    <row r="572" spans="1:10" ht="133" x14ac:dyDescent="0.2">
      <c r="A572" s="16" t="s">
        <v>2072</v>
      </c>
      <c r="B572" s="17" t="s">
        <v>68</v>
      </c>
      <c r="C572" s="16" t="s">
        <v>2073</v>
      </c>
      <c r="D572" s="16" t="s">
        <v>2074</v>
      </c>
      <c r="E572" s="17">
        <v>2024</v>
      </c>
      <c r="F572" s="16" t="s">
        <v>2075</v>
      </c>
      <c r="G572" s="16" t="s">
        <v>35</v>
      </c>
      <c r="H572" s="16" t="s">
        <v>148</v>
      </c>
      <c r="I572" s="16" t="s">
        <v>7938</v>
      </c>
      <c r="J572" s="16" t="s">
        <v>123</v>
      </c>
    </row>
    <row r="573" spans="1:10" ht="133" x14ac:dyDescent="0.2">
      <c r="A573" s="16" t="s">
        <v>2076</v>
      </c>
      <c r="B573" s="17" t="s">
        <v>68</v>
      </c>
      <c r="C573" s="16" t="s">
        <v>583</v>
      </c>
      <c r="D573" s="16" t="s">
        <v>2077</v>
      </c>
      <c r="E573" s="17">
        <v>2026</v>
      </c>
      <c r="F573" s="16" t="s">
        <v>2078</v>
      </c>
      <c r="G573" s="16" t="s">
        <v>35</v>
      </c>
      <c r="H573" s="16" t="s">
        <v>277</v>
      </c>
      <c r="I573" s="16" t="s">
        <v>7939</v>
      </c>
      <c r="J573" s="16" t="s">
        <v>186</v>
      </c>
    </row>
    <row r="574" spans="1:10" ht="114" x14ac:dyDescent="0.2">
      <c r="A574" s="16" t="s">
        <v>2079</v>
      </c>
      <c r="B574" s="17" t="s">
        <v>68</v>
      </c>
      <c r="C574" s="16" t="s">
        <v>2080</v>
      </c>
      <c r="D574" s="16" t="s">
        <v>2081</v>
      </c>
      <c r="E574" s="17">
        <v>2024</v>
      </c>
      <c r="F574" s="16" t="s">
        <v>2082</v>
      </c>
      <c r="G574" s="16" t="s">
        <v>35</v>
      </c>
      <c r="H574" s="16" t="s">
        <v>148</v>
      </c>
      <c r="I574" s="16" t="s">
        <v>7940</v>
      </c>
      <c r="J574" s="16" t="s">
        <v>123</v>
      </c>
    </row>
    <row r="575" spans="1:10" ht="133" x14ac:dyDescent="0.2">
      <c r="A575" s="16" t="s">
        <v>2083</v>
      </c>
      <c r="B575" s="17" t="s">
        <v>68</v>
      </c>
      <c r="C575" s="16" t="s">
        <v>2084</v>
      </c>
      <c r="D575" s="16" t="s">
        <v>2085</v>
      </c>
      <c r="E575" s="17">
        <v>2026</v>
      </c>
      <c r="F575" s="16" t="s">
        <v>2086</v>
      </c>
      <c r="G575" s="16" t="s">
        <v>35</v>
      </c>
      <c r="H575" s="16" t="s">
        <v>148</v>
      </c>
      <c r="I575" s="16" t="s">
        <v>7941</v>
      </c>
      <c r="J575" s="16" t="s">
        <v>123</v>
      </c>
    </row>
    <row r="576" spans="1:10" ht="228" x14ac:dyDescent="0.2">
      <c r="A576" s="16" t="s">
        <v>2087</v>
      </c>
      <c r="B576" s="17" t="s">
        <v>68</v>
      </c>
      <c r="C576" s="16" t="s">
        <v>2088</v>
      </c>
      <c r="D576" s="16" t="s">
        <v>2089</v>
      </c>
      <c r="E576" s="17">
        <v>2025</v>
      </c>
      <c r="F576" s="16" t="s">
        <v>2090</v>
      </c>
      <c r="G576" s="16" t="s">
        <v>35</v>
      </c>
      <c r="H576" s="16" t="s">
        <v>148</v>
      </c>
      <c r="I576" s="16" t="s">
        <v>7942</v>
      </c>
      <c r="J576" s="16" t="s">
        <v>123</v>
      </c>
    </row>
    <row r="577" spans="1:10" ht="152" x14ac:dyDescent="0.2">
      <c r="A577" s="16" t="s">
        <v>2091</v>
      </c>
      <c r="B577" s="17" t="s">
        <v>68</v>
      </c>
      <c r="C577" s="16" t="s">
        <v>2092</v>
      </c>
      <c r="D577" s="16" t="s">
        <v>2093</v>
      </c>
      <c r="E577" s="17">
        <v>2024</v>
      </c>
      <c r="F577" s="16" t="s">
        <v>2094</v>
      </c>
      <c r="G577" s="16" t="s">
        <v>35</v>
      </c>
      <c r="H577" s="16" t="s">
        <v>148</v>
      </c>
      <c r="I577" s="16" t="s">
        <v>7943</v>
      </c>
      <c r="J577" s="16" t="s">
        <v>123</v>
      </c>
    </row>
    <row r="578" spans="1:10" ht="171" x14ac:dyDescent="0.2">
      <c r="A578" s="16" t="s">
        <v>2095</v>
      </c>
      <c r="B578" s="17" t="s">
        <v>68</v>
      </c>
      <c r="C578" s="16" t="s">
        <v>2096</v>
      </c>
      <c r="D578" s="16" t="s">
        <v>2097</v>
      </c>
      <c r="E578" s="17">
        <v>2024</v>
      </c>
      <c r="F578" s="16" t="s">
        <v>2098</v>
      </c>
      <c r="G578" s="16" t="s">
        <v>35</v>
      </c>
      <c r="H578" s="16" t="s">
        <v>148</v>
      </c>
      <c r="I578" s="16" t="s">
        <v>7944</v>
      </c>
      <c r="J578" s="16" t="s">
        <v>123</v>
      </c>
    </row>
    <row r="579" spans="1:10" ht="228" x14ac:dyDescent="0.2">
      <c r="A579" s="16" t="s">
        <v>2099</v>
      </c>
      <c r="B579" s="17" t="s">
        <v>68</v>
      </c>
      <c r="C579" s="16" t="s">
        <v>2100</v>
      </c>
      <c r="D579" s="16" t="s">
        <v>2101</v>
      </c>
      <c r="E579" s="17">
        <v>2026</v>
      </c>
      <c r="F579" s="16" t="s">
        <v>2102</v>
      </c>
      <c r="G579" s="16" t="s">
        <v>35</v>
      </c>
      <c r="H579" s="16" t="s">
        <v>185</v>
      </c>
      <c r="I579" s="16" t="s">
        <v>7945</v>
      </c>
      <c r="J579" s="16" t="s">
        <v>123</v>
      </c>
    </row>
    <row r="580" spans="1:10" ht="209" x14ac:dyDescent="0.2">
      <c r="A580" s="16" t="s">
        <v>2103</v>
      </c>
      <c r="B580" s="17" t="s">
        <v>68</v>
      </c>
      <c r="C580" s="16" t="s">
        <v>1992</v>
      </c>
      <c r="D580" s="16" t="s">
        <v>2104</v>
      </c>
      <c r="E580" s="17">
        <v>2024</v>
      </c>
      <c r="F580" s="16" t="s">
        <v>2105</v>
      </c>
      <c r="G580" s="16" t="s">
        <v>35</v>
      </c>
      <c r="H580" s="16" t="s">
        <v>148</v>
      </c>
      <c r="I580" s="16" t="s">
        <v>7946</v>
      </c>
      <c r="J580" s="16" t="s">
        <v>123</v>
      </c>
    </row>
    <row r="581" spans="1:10" ht="228" x14ac:dyDescent="0.2">
      <c r="A581" s="16" t="s">
        <v>2106</v>
      </c>
      <c r="B581" s="17" t="s">
        <v>68</v>
      </c>
      <c r="C581" s="16" t="s">
        <v>2107</v>
      </c>
      <c r="D581" s="16" t="s">
        <v>2108</v>
      </c>
      <c r="E581" s="17">
        <v>2023</v>
      </c>
      <c r="F581" s="16" t="s">
        <v>2109</v>
      </c>
      <c r="G581" s="16" t="s">
        <v>35</v>
      </c>
      <c r="H581" s="16" t="s">
        <v>185</v>
      </c>
      <c r="I581" s="16" t="s">
        <v>7947</v>
      </c>
      <c r="J581" s="16" t="s">
        <v>123</v>
      </c>
    </row>
    <row r="582" spans="1:10" ht="247" x14ac:dyDescent="0.2">
      <c r="A582" s="16" t="s">
        <v>2110</v>
      </c>
      <c r="B582" s="17" t="s">
        <v>68</v>
      </c>
      <c r="C582" s="16" t="s">
        <v>2111</v>
      </c>
      <c r="D582" s="16" t="s">
        <v>2112</v>
      </c>
      <c r="E582" s="17">
        <v>2026</v>
      </c>
      <c r="F582" s="16" t="s">
        <v>2113</v>
      </c>
      <c r="G582" s="16" t="s">
        <v>35</v>
      </c>
      <c r="H582" s="16" t="s">
        <v>185</v>
      </c>
      <c r="I582" s="16" t="s">
        <v>7948</v>
      </c>
      <c r="J582" s="16" t="s">
        <v>123</v>
      </c>
    </row>
    <row r="583" spans="1:10" ht="190" x14ac:dyDescent="0.2">
      <c r="A583" s="16" t="s">
        <v>2114</v>
      </c>
      <c r="B583" s="17" t="s">
        <v>68</v>
      </c>
      <c r="C583" s="16" t="s">
        <v>2115</v>
      </c>
      <c r="D583" s="16" t="s">
        <v>2116</v>
      </c>
      <c r="E583" s="17">
        <v>2024</v>
      </c>
      <c r="F583" s="16" t="s">
        <v>2117</v>
      </c>
      <c r="G583" s="16" t="s">
        <v>35</v>
      </c>
      <c r="H583" s="16" t="s">
        <v>133</v>
      </c>
      <c r="I583" s="16" t="s">
        <v>7949</v>
      </c>
      <c r="J583" s="16" t="s">
        <v>123</v>
      </c>
    </row>
    <row r="584" spans="1:10" ht="95" x14ac:dyDescent="0.2">
      <c r="A584" s="16" t="s">
        <v>2118</v>
      </c>
      <c r="B584" s="17" t="s">
        <v>68</v>
      </c>
      <c r="C584" s="16" t="s">
        <v>583</v>
      </c>
      <c r="D584" s="16" t="s">
        <v>2119</v>
      </c>
      <c r="E584" s="17" t="s">
        <v>583</v>
      </c>
      <c r="F584" s="16" t="s">
        <v>2120</v>
      </c>
      <c r="G584" s="16" t="s">
        <v>35</v>
      </c>
      <c r="H584" s="16" t="s">
        <v>185</v>
      </c>
      <c r="I584" s="16" t="s">
        <v>7950</v>
      </c>
      <c r="J584" s="16" t="s">
        <v>186</v>
      </c>
    </row>
    <row r="585" spans="1:10" ht="133" x14ac:dyDescent="0.2">
      <c r="A585" s="16" t="s">
        <v>2121</v>
      </c>
      <c r="B585" s="17" t="s">
        <v>68</v>
      </c>
      <c r="C585" s="16" t="s">
        <v>2122</v>
      </c>
      <c r="D585" s="16" t="s">
        <v>2123</v>
      </c>
      <c r="E585" s="17">
        <v>2026</v>
      </c>
      <c r="F585" s="16" t="s">
        <v>2124</v>
      </c>
      <c r="G585" s="16" t="s">
        <v>35</v>
      </c>
      <c r="H585" s="16" t="s">
        <v>148</v>
      </c>
      <c r="I585" s="16" t="s">
        <v>7951</v>
      </c>
      <c r="J585" s="16" t="s">
        <v>123</v>
      </c>
    </row>
    <row r="586" spans="1:10" ht="133" x14ac:dyDescent="0.2">
      <c r="A586" s="16" t="s">
        <v>2125</v>
      </c>
      <c r="B586" s="17" t="s">
        <v>68</v>
      </c>
      <c r="C586" s="16" t="s">
        <v>2126</v>
      </c>
      <c r="D586" s="16" t="s">
        <v>2127</v>
      </c>
      <c r="E586" s="17">
        <v>2025</v>
      </c>
      <c r="F586" s="16" t="s">
        <v>2128</v>
      </c>
      <c r="G586" s="16" t="s">
        <v>35</v>
      </c>
      <c r="H586" s="16" t="s">
        <v>148</v>
      </c>
      <c r="I586" s="16" t="s">
        <v>7952</v>
      </c>
      <c r="J586" s="16" t="s">
        <v>123</v>
      </c>
    </row>
    <row r="587" spans="1:10" ht="228" x14ac:dyDescent="0.2">
      <c r="A587" s="16" t="s">
        <v>2129</v>
      </c>
      <c r="B587" s="17" t="s">
        <v>68</v>
      </c>
      <c r="C587" s="16" t="s">
        <v>1880</v>
      </c>
      <c r="D587" s="16" t="s">
        <v>2130</v>
      </c>
      <c r="E587" s="17">
        <v>2024</v>
      </c>
      <c r="F587" s="16" t="s">
        <v>2131</v>
      </c>
      <c r="G587" s="16" t="s">
        <v>35</v>
      </c>
      <c r="H587" s="16" t="s">
        <v>148</v>
      </c>
      <c r="I587" s="16" t="s">
        <v>7953</v>
      </c>
      <c r="J587" s="16" t="s">
        <v>123</v>
      </c>
    </row>
    <row r="588" spans="1:10" ht="209" x14ac:dyDescent="0.2">
      <c r="A588" s="16" t="s">
        <v>2132</v>
      </c>
      <c r="B588" s="17" t="s">
        <v>68</v>
      </c>
      <c r="C588" s="16" t="s">
        <v>2133</v>
      </c>
      <c r="D588" s="16" t="s">
        <v>2134</v>
      </c>
      <c r="E588" s="17">
        <v>2023</v>
      </c>
      <c r="F588" s="16" t="s">
        <v>2135</v>
      </c>
      <c r="G588" s="16" t="s">
        <v>35</v>
      </c>
      <c r="H588" s="16" t="s">
        <v>148</v>
      </c>
      <c r="I588" s="16" t="s">
        <v>7954</v>
      </c>
      <c r="J588" s="16" t="s">
        <v>123</v>
      </c>
    </row>
    <row r="589" spans="1:10" ht="190" x14ac:dyDescent="0.2">
      <c r="A589" s="16" t="s">
        <v>2136</v>
      </c>
      <c r="B589" s="17" t="s">
        <v>68</v>
      </c>
      <c r="C589" s="16" t="s">
        <v>2137</v>
      </c>
      <c r="D589" s="16" t="s">
        <v>2138</v>
      </c>
      <c r="E589" s="17">
        <v>2024</v>
      </c>
      <c r="F589" s="16" t="s">
        <v>2139</v>
      </c>
      <c r="G589" s="16" t="s">
        <v>35</v>
      </c>
      <c r="H589" s="16" t="s">
        <v>185</v>
      </c>
      <c r="I589" s="16" t="s">
        <v>7955</v>
      </c>
      <c r="J589" s="16" t="s">
        <v>123</v>
      </c>
    </row>
    <row r="590" spans="1:10" ht="190" x14ac:dyDescent="0.2">
      <c r="A590" s="16" t="s">
        <v>2140</v>
      </c>
      <c r="B590" s="17" t="s">
        <v>68</v>
      </c>
      <c r="C590" s="16" t="s">
        <v>2141</v>
      </c>
      <c r="D590" s="16" t="s">
        <v>2142</v>
      </c>
      <c r="E590" s="17">
        <v>2025</v>
      </c>
      <c r="F590" s="16" t="s">
        <v>2143</v>
      </c>
      <c r="G590" s="16" t="s">
        <v>35</v>
      </c>
      <c r="H590" s="16" t="s">
        <v>185</v>
      </c>
      <c r="I590" s="16" t="s">
        <v>7956</v>
      </c>
      <c r="J590" s="16" t="s">
        <v>186</v>
      </c>
    </row>
    <row r="591" spans="1:10" ht="285" x14ac:dyDescent="0.2">
      <c r="A591" s="16" t="s">
        <v>2144</v>
      </c>
      <c r="B591" s="17" t="s">
        <v>68</v>
      </c>
      <c r="C591" s="16" t="s">
        <v>2145</v>
      </c>
      <c r="D591" s="16" t="s">
        <v>2146</v>
      </c>
      <c r="E591" s="17">
        <v>2025</v>
      </c>
      <c r="F591" s="16" t="s">
        <v>2147</v>
      </c>
      <c r="G591" s="16" t="s">
        <v>35</v>
      </c>
      <c r="H591" s="16" t="s">
        <v>148</v>
      </c>
      <c r="I591" s="16" t="s">
        <v>7957</v>
      </c>
      <c r="J591" s="16" t="s">
        <v>123</v>
      </c>
    </row>
    <row r="592" spans="1:10" ht="171" x14ac:dyDescent="0.2">
      <c r="A592" s="16" t="s">
        <v>2148</v>
      </c>
      <c r="B592" s="17" t="s">
        <v>68</v>
      </c>
      <c r="C592" s="16" t="s">
        <v>2149</v>
      </c>
      <c r="D592" s="16" t="s">
        <v>2150</v>
      </c>
      <c r="E592" s="17">
        <v>2025</v>
      </c>
      <c r="F592" s="16" t="s">
        <v>2151</v>
      </c>
      <c r="G592" s="16" t="s">
        <v>35</v>
      </c>
      <c r="H592" s="16" t="s">
        <v>133</v>
      </c>
      <c r="I592" s="16" t="s">
        <v>7958</v>
      </c>
      <c r="J592" s="16" t="s">
        <v>123</v>
      </c>
    </row>
    <row r="593" spans="1:10" ht="247" x14ac:dyDescent="0.2">
      <c r="A593" s="16" t="s">
        <v>2152</v>
      </c>
      <c r="B593" s="17" t="s">
        <v>68</v>
      </c>
      <c r="C593" s="16" t="s">
        <v>2153</v>
      </c>
      <c r="D593" s="16" t="s">
        <v>2154</v>
      </c>
      <c r="E593" s="17">
        <v>2026</v>
      </c>
      <c r="F593" s="16" t="s">
        <v>2155</v>
      </c>
      <c r="G593" s="16" t="s">
        <v>35</v>
      </c>
      <c r="H593" s="16" t="s">
        <v>148</v>
      </c>
      <c r="I593" s="16" t="s">
        <v>7959</v>
      </c>
      <c r="J593" s="16" t="s">
        <v>123</v>
      </c>
    </row>
    <row r="594" spans="1:10" ht="190" x14ac:dyDescent="0.2">
      <c r="A594" s="16" t="s">
        <v>2156</v>
      </c>
      <c r="B594" s="17" t="s">
        <v>68</v>
      </c>
      <c r="C594" s="16" t="s">
        <v>2157</v>
      </c>
      <c r="D594" s="16" t="s">
        <v>2158</v>
      </c>
      <c r="E594" s="17">
        <v>2024</v>
      </c>
      <c r="F594" s="16" t="s">
        <v>2159</v>
      </c>
      <c r="G594" s="16" t="s">
        <v>35</v>
      </c>
      <c r="H594" s="16" t="s">
        <v>148</v>
      </c>
      <c r="I594" s="16" t="s">
        <v>7960</v>
      </c>
      <c r="J594" s="16" t="s">
        <v>123</v>
      </c>
    </row>
    <row r="595" spans="1:10" ht="152" x14ac:dyDescent="0.2">
      <c r="A595" s="16" t="s">
        <v>2160</v>
      </c>
      <c r="B595" s="17" t="s">
        <v>68</v>
      </c>
      <c r="C595" s="16" t="s">
        <v>2161</v>
      </c>
      <c r="D595" s="16" t="s">
        <v>2162</v>
      </c>
      <c r="E595" s="17">
        <v>2026</v>
      </c>
      <c r="F595" s="16" t="s">
        <v>2163</v>
      </c>
      <c r="G595" s="16" t="s">
        <v>35</v>
      </c>
      <c r="H595" s="16" t="s">
        <v>133</v>
      </c>
      <c r="I595" s="16" t="s">
        <v>7961</v>
      </c>
      <c r="J595" s="16" t="s">
        <v>123</v>
      </c>
    </row>
    <row r="596" spans="1:10" ht="152" x14ac:dyDescent="0.2">
      <c r="A596" s="16" t="s">
        <v>2164</v>
      </c>
      <c r="B596" s="17" t="s">
        <v>68</v>
      </c>
      <c r="C596" s="16" t="s">
        <v>2165</v>
      </c>
      <c r="D596" s="16" t="s">
        <v>2166</v>
      </c>
      <c r="E596" s="17">
        <v>2023</v>
      </c>
      <c r="F596" s="16" t="s">
        <v>2167</v>
      </c>
      <c r="G596" s="16" t="s">
        <v>35</v>
      </c>
      <c r="H596" s="16" t="s">
        <v>148</v>
      </c>
      <c r="I596" s="16" t="s">
        <v>7962</v>
      </c>
      <c r="J596" s="16" t="s">
        <v>123</v>
      </c>
    </row>
    <row r="597" spans="1:10" ht="95" x14ac:dyDescent="0.2">
      <c r="A597" s="18" t="s">
        <v>2168</v>
      </c>
      <c r="B597" s="19" t="s">
        <v>68</v>
      </c>
      <c r="C597" s="18" t="s">
        <v>586</v>
      </c>
      <c r="D597" s="18" t="s">
        <v>587</v>
      </c>
      <c r="E597" s="19">
        <v>2026</v>
      </c>
      <c r="F597" s="18" t="s">
        <v>2169</v>
      </c>
      <c r="G597" s="18" t="s">
        <v>7730</v>
      </c>
      <c r="H597" s="18" t="s">
        <v>165</v>
      </c>
      <c r="I597" s="18" t="s">
        <v>7963</v>
      </c>
      <c r="J597" s="18" t="s">
        <v>1389</v>
      </c>
    </row>
    <row r="598" spans="1:10" ht="209" x14ac:dyDescent="0.2">
      <c r="A598" s="16" t="s">
        <v>2170</v>
      </c>
      <c r="B598" s="17" t="s">
        <v>68</v>
      </c>
      <c r="C598" s="16" t="s">
        <v>2171</v>
      </c>
      <c r="D598" s="16" t="s">
        <v>2172</v>
      </c>
      <c r="E598" s="17">
        <v>2023</v>
      </c>
      <c r="F598" s="16" t="s">
        <v>2173</v>
      </c>
      <c r="G598" s="16" t="s">
        <v>35</v>
      </c>
      <c r="H598" s="16" t="s">
        <v>185</v>
      </c>
      <c r="I598" s="16" t="s">
        <v>7964</v>
      </c>
      <c r="J598" s="16" t="s">
        <v>123</v>
      </c>
    </row>
    <row r="599" spans="1:10" ht="114" x14ac:dyDescent="0.2">
      <c r="A599" s="18" t="s">
        <v>2174</v>
      </c>
      <c r="B599" s="19" t="s">
        <v>68</v>
      </c>
      <c r="C599" s="18" t="s">
        <v>1684</v>
      </c>
      <c r="D599" s="18" t="s">
        <v>1685</v>
      </c>
      <c r="E599" s="19">
        <v>2025</v>
      </c>
      <c r="F599" s="18" t="s">
        <v>2175</v>
      </c>
      <c r="G599" s="18" t="s">
        <v>7965</v>
      </c>
      <c r="H599" s="18" t="s">
        <v>165</v>
      </c>
      <c r="I599" s="18" t="s">
        <v>7966</v>
      </c>
      <c r="J599" s="18" t="s">
        <v>2176</v>
      </c>
    </row>
    <row r="600" spans="1:10" ht="133" x14ac:dyDescent="0.2">
      <c r="A600" s="18" t="s">
        <v>2177</v>
      </c>
      <c r="B600" s="19" t="s">
        <v>68</v>
      </c>
      <c r="C600" s="18" t="s">
        <v>95</v>
      </c>
      <c r="D600" s="18" t="s">
        <v>96</v>
      </c>
      <c r="E600" s="19">
        <v>2026</v>
      </c>
      <c r="F600" s="18" t="s">
        <v>2178</v>
      </c>
      <c r="G600" s="18" t="s">
        <v>7374</v>
      </c>
      <c r="H600" s="18" t="s">
        <v>165</v>
      </c>
      <c r="I600" s="18" t="s">
        <v>7967</v>
      </c>
      <c r="J600" s="18" t="s">
        <v>602</v>
      </c>
    </row>
    <row r="601" spans="1:10" ht="76" x14ac:dyDescent="0.2">
      <c r="A601" s="16" t="s">
        <v>2179</v>
      </c>
      <c r="B601" s="17" t="s">
        <v>68</v>
      </c>
      <c r="C601" s="16" t="s">
        <v>583</v>
      </c>
      <c r="D601" s="16" t="s">
        <v>2180</v>
      </c>
      <c r="E601" s="17" t="s">
        <v>583</v>
      </c>
      <c r="F601" s="16" t="s">
        <v>2181</v>
      </c>
      <c r="G601" s="16" t="s">
        <v>35</v>
      </c>
      <c r="H601" s="16" t="s">
        <v>185</v>
      </c>
      <c r="I601" s="16" t="s">
        <v>7968</v>
      </c>
      <c r="J601" s="16" t="s">
        <v>186</v>
      </c>
    </row>
    <row r="602" spans="1:10" ht="114" x14ac:dyDescent="0.2">
      <c r="A602" s="18" t="s">
        <v>2182</v>
      </c>
      <c r="B602" s="19" t="s">
        <v>68</v>
      </c>
      <c r="C602" s="18" t="s">
        <v>1484</v>
      </c>
      <c r="D602" s="18" t="s">
        <v>1485</v>
      </c>
      <c r="E602" s="19">
        <v>2024</v>
      </c>
      <c r="F602" s="18" t="s">
        <v>2183</v>
      </c>
      <c r="G602" s="18" t="s">
        <v>7969</v>
      </c>
      <c r="H602" s="18" t="s">
        <v>165</v>
      </c>
      <c r="I602" s="18" t="s">
        <v>7970</v>
      </c>
      <c r="J602" s="18" t="s">
        <v>2184</v>
      </c>
    </row>
    <row r="603" spans="1:10" ht="114" x14ac:dyDescent="0.2">
      <c r="A603" s="16" t="s">
        <v>2185</v>
      </c>
      <c r="B603" s="17" t="s">
        <v>68</v>
      </c>
      <c r="C603" s="16" t="s">
        <v>583</v>
      </c>
      <c r="D603" s="16" t="s">
        <v>2186</v>
      </c>
      <c r="E603" s="17" t="s">
        <v>583</v>
      </c>
      <c r="F603" s="16" t="s">
        <v>2187</v>
      </c>
      <c r="G603" s="16" t="s">
        <v>35</v>
      </c>
      <c r="H603" s="16" t="s">
        <v>277</v>
      </c>
      <c r="I603" s="16" t="s">
        <v>7971</v>
      </c>
      <c r="J603" s="16" t="s">
        <v>186</v>
      </c>
    </row>
    <row r="604" spans="1:10" ht="171" x14ac:dyDescent="0.2">
      <c r="A604" s="16" t="s">
        <v>2188</v>
      </c>
      <c r="B604" s="17" t="s">
        <v>68</v>
      </c>
      <c r="C604" s="16" t="s">
        <v>2189</v>
      </c>
      <c r="D604" s="16" t="s">
        <v>2190</v>
      </c>
      <c r="E604" s="17">
        <v>2025</v>
      </c>
      <c r="F604" s="16" t="s">
        <v>2191</v>
      </c>
      <c r="G604" s="16" t="s">
        <v>35</v>
      </c>
      <c r="H604" s="16" t="s">
        <v>148</v>
      </c>
      <c r="I604" s="16" t="s">
        <v>7972</v>
      </c>
      <c r="J604" s="16" t="s">
        <v>123</v>
      </c>
    </row>
    <row r="605" spans="1:10" ht="171" x14ac:dyDescent="0.2">
      <c r="A605" s="16" t="s">
        <v>2192</v>
      </c>
      <c r="B605" s="17" t="s">
        <v>68</v>
      </c>
      <c r="C605" s="16" t="s">
        <v>2193</v>
      </c>
      <c r="D605" s="16" t="s">
        <v>2194</v>
      </c>
      <c r="E605" s="17">
        <v>2023</v>
      </c>
      <c r="F605" s="16" t="s">
        <v>2195</v>
      </c>
      <c r="G605" s="16" t="s">
        <v>35</v>
      </c>
      <c r="H605" s="16" t="s">
        <v>185</v>
      </c>
      <c r="I605" s="16" t="s">
        <v>7973</v>
      </c>
      <c r="J605" s="16" t="s">
        <v>123</v>
      </c>
    </row>
    <row r="606" spans="1:10" ht="76" x14ac:dyDescent="0.2">
      <c r="A606" s="16" t="s">
        <v>2196</v>
      </c>
      <c r="B606" s="17" t="s">
        <v>68</v>
      </c>
      <c r="C606" s="16" t="s">
        <v>583</v>
      </c>
      <c r="D606" s="16" t="s">
        <v>2197</v>
      </c>
      <c r="E606" s="17">
        <v>2023</v>
      </c>
      <c r="F606" s="16" t="s">
        <v>2198</v>
      </c>
      <c r="G606" s="16" t="s">
        <v>35</v>
      </c>
      <c r="H606" s="16" t="s">
        <v>277</v>
      </c>
      <c r="I606" s="16" t="s">
        <v>7974</v>
      </c>
      <c r="J606" s="16" t="s">
        <v>186</v>
      </c>
    </row>
    <row r="607" spans="1:10" ht="133" x14ac:dyDescent="0.2">
      <c r="A607" s="16" t="s">
        <v>2199</v>
      </c>
      <c r="B607" s="17" t="s">
        <v>68</v>
      </c>
      <c r="C607" s="16" t="s">
        <v>583</v>
      </c>
      <c r="D607" s="16" t="s">
        <v>2200</v>
      </c>
      <c r="E607" s="17" t="s">
        <v>583</v>
      </c>
      <c r="F607" s="16" t="s">
        <v>2201</v>
      </c>
      <c r="G607" s="16" t="s">
        <v>35</v>
      </c>
      <c r="H607" s="16" t="s">
        <v>277</v>
      </c>
      <c r="I607" s="16" t="s">
        <v>7975</v>
      </c>
      <c r="J607" s="16" t="s">
        <v>186</v>
      </c>
    </row>
    <row r="608" spans="1:10" ht="266" x14ac:dyDescent="0.2">
      <c r="A608" s="16" t="s">
        <v>2202</v>
      </c>
      <c r="B608" s="17" t="s">
        <v>68</v>
      </c>
      <c r="C608" s="16" t="s">
        <v>2203</v>
      </c>
      <c r="D608" s="16" t="s">
        <v>2204</v>
      </c>
      <c r="E608" s="17">
        <v>2026</v>
      </c>
      <c r="F608" s="16" t="s">
        <v>2205</v>
      </c>
      <c r="G608" s="16" t="s">
        <v>35</v>
      </c>
      <c r="H608" s="16" t="s">
        <v>185</v>
      </c>
      <c r="I608" s="16" t="s">
        <v>7976</v>
      </c>
      <c r="J608" s="16" t="s">
        <v>123</v>
      </c>
    </row>
    <row r="609" spans="1:10" ht="76" x14ac:dyDescent="0.2">
      <c r="A609" s="16" t="s">
        <v>2206</v>
      </c>
      <c r="B609" s="17" t="s">
        <v>68</v>
      </c>
      <c r="C609" s="16" t="s">
        <v>583</v>
      </c>
      <c r="D609" s="16" t="s">
        <v>2207</v>
      </c>
      <c r="E609" s="17" t="s">
        <v>583</v>
      </c>
      <c r="F609" s="16" t="s">
        <v>2181</v>
      </c>
      <c r="G609" s="16" t="s">
        <v>35</v>
      </c>
      <c r="H609" s="16" t="s">
        <v>185</v>
      </c>
      <c r="I609" s="16" t="s">
        <v>7977</v>
      </c>
      <c r="J609" s="16" t="s">
        <v>186</v>
      </c>
    </row>
    <row r="610" spans="1:10" ht="152" x14ac:dyDescent="0.2">
      <c r="A610" s="16" t="s">
        <v>2208</v>
      </c>
      <c r="B610" s="17" t="s">
        <v>68</v>
      </c>
      <c r="C610" s="16" t="s">
        <v>2209</v>
      </c>
      <c r="D610" s="16" t="s">
        <v>2210</v>
      </c>
      <c r="E610" s="17">
        <v>2025</v>
      </c>
      <c r="F610" s="16" t="s">
        <v>2211</v>
      </c>
      <c r="G610" s="16" t="s">
        <v>35</v>
      </c>
      <c r="H610" s="16" t="s">
        <v>271</v>
      </c>
      <c r="I610" s="16" t="s">
        <v>7978</v>
      </c>
      <c r="J610" s="16" t="s">
        <v>123</v>
      </c>
    </row>
    <row r="611" spans="1:10" ht="76" x14ac:dyDescent="0.2">
      <c r="A611" s="16" t="s">
        <v>2212</v>
      </c>
      <c r="B611" s="17" t="s">
        <v>68</v>
      </c>
      <c r="C611" s="16" t="s">
        <v>583</v>
      </c>
      <c r="D611" s="16" t="s">
        <v>2213</v>
      </c>
      <c r="E611" s="17" t="s">
        <v>583</v>
      </c>
      <c r="F611" s="16" t="s">
        <v>2181</v>
      </c>
      <c r="G611" s="16" t="s">
        <v>35</v>
      </c>
      <c r="H611" s="16" t="s">
        <v>185</v>
      </c>
      <c r="I611" s="16" t="s">
        <v>7979</v>
      </c>
      <c r="J611" s="16" t="s">
        <v>186</v>
      </c>
    </row>
    <row r="612" spans="1:10" ht="190" x14ac:dyDescent="0.2">
      <c r="A612" s="16" t="s">
        <v>2214</v>
      </c>
      <c r="B612" s="17" t="s">
        <v>68</v>
      </c>
      <c r="C612" s="16" t="s">
        <v>2215</v>
      </c>
      <c r="D612" s="16" t="s">
        <v>2216</v>
      </c>
      <c r="E612" s="17">
        <v>2023</v>
      </c>
      <c r="F612" s="16" t="s">
        <v>2217</v>
      </c>
      <c r="G612" s="16" t="s">
        <v>35</v>
      </c>
      <c r="H612" s="16" t="s">
        <v>185</v>
      </c>
      <c r="I612" s="16" t="s">
        <v>7980</v>
      </c>
      <c r="J612" s="16" t="s">
        <v>186</v>
      </c>
    </row>
    <row r="613" spans="1:10" ht="95" x14ac:dyDescent="0.2">
      <c r="A613" s="16" t="s">
        <v>2218</v>
      </c>
      <c r="B613" s="17" t="s">
        <v>68</v>
      </c>
      <c r="C613" s="16" t="s">
        <v>583</v>
      </c>
      <c r="D613" s="16" t="s">
        <v>2219</v>
      </c>
      <c r="E613" s="17" t="s">
        <v>583</v>
      </c>
      <c r="F613" s="16" t="s">
        <v>2220</v>
      </c>
      <c r="G613" s="16" t="s">
        <v>35</v>
      </c>
      <c r="H613" s="16" t="s">
        <v>277</v>
      </c>
      <c r="I613" s="16" t="s">
        <v>7981</v>
      </c>
      <c r="J613" s="16" t="s">
        <v>186</v>
      </c>
    </row>
    <row r="614" spans="1:10" ht="133" x14ac:dyDescent="0.2">
      <c r="A614" s="16" t="s">
        <v>2221</v>
      </c>
      <c r="B614" s="17" t="s">
        <v>68</v>
      </c>
      <c r="C614" s="16" t="s">
        <v>1492</v>
      </c>
      <c r="D614" s="16" t="s">
        <v>1493</v>
      </c>
      <c r="E614" s="17">
        <v>2025</v>
      </c>
      <c r="F614" s="16" t="s">
        <v>2222</v>
      </c>
      <c r="G614" s="16" t="s">
        <v>35</v>
      </c>
      <c r="H614" s="16" t="s">
        <v>133</v>
      </c>
      <c r="I614" s="16" t="s">
        <v>7982</v>
      </c>
      <c r="J614" s="16" t="s">
        <v>123</v>
      </c>
    </row>
    <row r="615" spans="1:10" ht="209" x14ac:dyDescent="0.2">
      <c r="A615" s="16" t="s">
        <v>2223</v>
      </c>
      <c r="B615" s="17" t="s">
        <v>68</v>
      </c>
      <c r="C615" s="16" t="s">
        <v>2224</v>
      </c>
      <c r="D615" s="16" t="s">
        <v>2225</v>
      </c>
      <c r="E615" s="17">
        <v>2026</v>
      </c>
      <c r="F615" s="16" t="s">
        <v>2226</v>
      </c>
      <c r="G615" s="16" t="s">
        <v>35</v>
      </c>
      <c r="H615" s="16" t="s">
        <v>148</v>
      </c>
      <c r="I615" s="16" t="s">
        <v>7983</v>
      </c>
      <c r="J615" s="16" t="s">
        <v>123</v>
      </c>
    </row>
    <row r="616" spans="1:10" ht="152" x14ac:dyDescent="0.2">
      <c r="A616" s="16" t="s">
        <v>2227</v>
      </c>
      <c r="B616" s="17" t="s">
        <v>68</v>
      </c>
      <c r="C616" s="16" t="s">
        <v>2228</v>
      </c>
      <c r="D616" s="16" t="s">
        <v>2229</v>
      </c>
      <c r="E616" s="17">
        <v>2026</v>
      </c>
      <c r="F616" s="16" t="s">
        <v>2230</v>
      </c>
      <c r="G616" s="16" t="s">
        <v>35</v>
      </c>
      <c r="H616" s="16" t="s">
        <v>148</v>
      </c>
      <c r="I616" s="16" t="s">
        <v>7984</v>
      </c>
      <c r="J616" s="16" t="s">
        <v>123</v>
      </c>
    </row>
    <row r="617" spans="1:10" ht="95" x14ac:dyDescent="0.2">
      <c r="A617" s="16" t="s">
        <v>2231</v>
      </c>
      <c r="B617" s="17" t="s">
        <v>68</v>
      </c>
      <c r="C617" s="16" t="s">
        <v>583</v>
      </c>
      <c r="D617" s="16" t="s">
        <v>2232</v>
      </c>
      <c r="E617" s="17" t="s">
        <v>583</v>
      </c>
      <c r="F617" s="16" t="s">
        <v>2233</v>
      </c>
      <c r="G617" s="16" t="s">
        <v>35</v>
      </c>
      <c r="H617" s="16" t="s">
        <v>185</v>
      </c>
      <c r="I617" s="16" t="s">
        <v>7985</v>
      </c>
      <c r="J617" s="16" t="s">
        <v>186</v>
      </c>
    </row>
    <row r="618" spans="1:10" ht="114" x14ac:dyDescent="0.2">
      <c r="A618" s="16" t="s">
        <v>2234</v>
      </c>
      <c r="B618" s="17" t="s">
        <v>68</v>
      </c>
      <c r="C618" s="16" t="s">
        <v>2235</v>
      </c>
      <c r="D618" s="16" t="s">
        <v>2236</v>
      </c>
      <c r="E618" s="17">
        <v>2025</v>
      </c>
      <c r="F618" s="16" t="s">
        <v>2237</v>
      </c>
      <c r="G618" s="16" t="s">
        <v>35</v>
      </c>
      <c r="H618" s="16" t="s">
        <v>148</v>
      </c>
      <c r="I618" s="16" t="s">
        <v>7986</v>
      </c>
      <c r="J618" s="16" t="s">
        <v>123</v>
      </c>
    </row>
    <row r="619" spans="1:10" ht="152" x14ac:dyDescent="0.2">
      <c r="A619" s="16" t="s">
        <v>2238</v>
      </c>
      <c r="B619" s="17" t="s">
        <v>68</v>
      </c>
      <c r="C619" s="16" t="s">
        <v>2239</v>
      </c>
      <c r="D619" s="16" t="s">
        <v>2240</v>
      </c>
      <c r="E619" s="17">
        <v>2025</v>
      </c>
      <c r="F619" s="16" t="s">
        <v>2241</v>
      </c>
      <c r="G619" s="16" t="s">
        <v>35</v>
      </c>
      <c r="H619" s="16" t="s">
        <v>148</v>
      </c>
      <c r="I619" s="16" t="s">
        <v>7987</v>
      </c>
      <c r="J619" s="16" t="s">
        <v>123</v>
      </c>
    </row>
    <row r="620" spans="1:10" ht="76" x14ac:dyDescent="0.2">
      <c r="A620" s="18" t="s">
        <v>2242</v>
      </c>
      <c r="B620" s="19" t="s">
        <v>68</v>
      </c>
      <c r="C620" s="18" t="s">
        <v>633</v>
      </c>
      <c r="D620" s="18" t="s">
        <v>634</v>
      </c>
      <c r="E620" s="19">
        <v>2025</v>
      </c>
      <c r="F620" s="18" t="s">
        <v>1111</v>
      </c>
      <c r="G620" s="18" t="s">
        <v>7606</v>
      </c>
      <c r="H620" s="18" t="s">
        <v>165</v>
      </c>
      <c r="I620" s="18" t="s">
        <v>7988</v>
      </c>
      <c r="J620" s="18" t="s">
        <v>1112</v>
      </c>
    </row>
    <row r="621" spans="1:10" ht="152" x14ac:dyDescent="0.2">
      <c r="A621" s="16" t="s">
        <v>2243</v>
      </c>
      <c r="B621" s="17" t="s">
        <v>68</v>
      </c>
      <c r="C621" s="16" t="s">
        <v>583</v>
      </c>
      <c r="D621" s="16" t="s">
        <v>2244</v>
      </c>
      <c r="E621" s="17" t="s">
        <v>583</v>
      </c>
      <c r="F621" s="16" t="s">
        <v>2245</v>
      </c>
      <c r="G621" s="16" t="s">
        <v>35</v>
      </c>
      <c r="H621" s="16" t="s">
        <v>185</v>
      </c>
      <c r="I621" s="16" t="s">
        <v>7989</v>
      </c>
      <c r="J621" s="16" t="s">
        <v>186</v>
      </c>
    </row>
    <row r="622" spans="1:10" ht="133" x14ac:dyDescent="0.2">
      <c r="A622" s="16" t="s">
        <v>2246</v>
      </c>
      <c r="B622" s="17" t="s">
        <v>68</v>
      </c>
      <c r="C622" s="16" t="s">
        <v>583</v>
      </c>
      <c r="D622" s="16" t="s">
        <v>2247</v>
      </c>
      <c r="E622" s="17" t="s">
        <v>583</v>
      </c>
      <c r="F622" s="16" t="s">
        <v>2248</v>
      </c>
      <c r="G622" s="16" t="s">
        <v>35</v>
      </c>
      <c r="H622" s="16" t="s">
        <v>277</v>
      </c>
      <c r="I622" s="16" t="s">
        <v>7990</v>
      </c>
      <c r="J622" s="16" t="s">
        <v>186</v>
      </c>
    </row>
    <row r="623" spans="1:10" ht="95" x14ac:dyDescent="0.2">
      <c r="A623" s="16" t="s">
        <v>2249</v>
      </c>
      <c r="B623" s="17" t="s">
        <v>68</v>
      </c>
      <c r="C623" s="16" t="s">
        <v>583</v>
      </c>
      <c r="D623" s="16" t="s">
        <v>2250</v>
      </c>
      <c r="E623" s="17" t="s">
        <v>583</v>
      </c>
      <c r="F623" s="16" t="s">
        <v>2251</v>
      </c>
      <c r="G623" s="16" t="s">
        <v>35</v>
      </c>
      <c r="H623" s="16" t="s">
        <v>185</v>
      </c>
      <c r="I623" s="16" t="s">
        <v>7991</v>
      </c>
      <c r="J623" s="16" t="s">
        <v>186</v>
      </c>
    </row>
    <row r="624" spans="1:10" ht="190" x14ac:dyDescent="0.2">
      <c r="A624" s="18" t="s">
        <v>2252</v>
      </c>
      <c r="B624" s="19" t="s">
        <v>68</v>
      </c>
      <c r="C624" s="18" t="s">
        <v>249</v>
      </c>
      <c r="D624" s="18" t="s">
        <v>250</v>
      </c>
      <c r="E624" s="19">
        <v>2026</v>
      </c>
      <c r="F624" s="18" t="s">
        <v>2253</v>
      </c>
      <c r="G624" s="18" t="s">
        <v>7388</v>
      </c>
      <c r="H624" s="18" t="s">
        <v>165</v>
      </c>
      <c r="I624" s="18" t="s">
        <v>7992</v>
      </c>
      <c r="J624" s="18" t="s">
        <v>638</v>
      </c>
    </row>
    <row r="625" spans="1:10" ht="76" x14ac:dyDescent="0.2">
      <c r="A625" s="18" t="s">
        <v>2254</v>
      </c>
      <c r="B625" s="19" t="s">
        <v>68</v>
      </c>
      <c r="C625" s="18" t="s">
        <v>583</v>
      </c>
      <c r="D625" s="18" t="s">
        <v>640</v>
      </c>
      <c r="E625" s="19" t="s">
        <v>583</v>
      </c>
      <c r="F625" s="18" t="s">
        <v>953</v>
      </c>
      <c r="G625" s="18" t="s">
        <v>7528</v>
      </c>
      <c r="H625" s="18" t="s">
        <v>165</v>
      </c>
      <c r="I625" s="18" t="s">
        <v>7993</v>
      </c>
      <c r="J625" s="18" t="s">
        <v>954</v>
      </c>
    </row>
    <row r="626" spans="1:10" ht="152" x14ac:dyDescent="0.2">
      <c r="A626" s="16" t="s">
        <v>2255</v>
      </c>
      <c r="B626" s="17" t="s">
        <v>68</v>
      </c>
      <c r="C626" s="16" t="s">
        <v>2256</v>
      </c>
      <c r="D626" s="16" t="s">
        <v>2257</v>
      </c>
      <c r="E626" s="17">
        <v>2023</v>
      </c>
      <c r="F626" s="16" t="s">
        <v>2258</v>
      </c>
      <c r="G626" s="16" t="s">
        <v>35</v>
      </c>
      <c r="H626" s="16" t="s">
        <v>133</v>
      </c>
      <c r="I626" s="16" t="s">
        <v>7994</v>
      </c>
      <c r="J626" s="16" t="s">
        <v>123</v>
      </c>
    </row>
    <row r="627" spans="1:10" ht="114" x14ac:dyDescent="0.2">
      <c r="A627" s="16" t="s">
        <v>2259</v>
      </c>
      <c r="B627" s="17" t="s">
        <v>68</v>
      </c>
      <c r="C627" s="16" t="s">
        <v>583</v>
      </c>
      <c r="D627" s="16" t="s">
        <v>2260</v>
      </c>
      <c r="E627" s="17" t="s">
        <v>583</v>
      </c>
      <c r="F627" s="16" t="s">
        <v>2261</v>
      </c>
      <c r="G627" s="16" t="s">
        <v>35</v>
      </c>
      <c r="H627" s="16" t="s">
        <v>277</v>
      </c>
      <c r="I627" s="16" t="s">
        <v>7995</v>
      </c>
      <c r="J627" s="16" t="s">
        <v>186</v>
      </c>
    </row>
    <row r="628" spans="1:10" ht="190" x14ac:dyDescent="0.2">
      <c r="A628" s="16" t="s">
        <v>2262</v>
      </c>
      <c r="B628" s="17" t="s">
        <v>68</v>
      </c>
      <c r="C628" s="16" t="s">
        <v>2263</v>
      </c>
      <c r="D628" s="16" t="s">
        <v>2264</v>
      </c>
      <c r="E628" s="17">
        <v>2025</v>
      </c>
      <c r="F628" s="16" t="s">
        <v>2265</v>
      </c>
      <c r="G628" s="16" t="s">
        <v>35</v>
      </c>
      <c r="H628" s="16" t="s">
        <v>148</v>
      </c>
      <c r="I628" s="16" t="s">
        <v>7996</v>
      </c>
      <c r="J628" s="16" t="s">
        <v>123</v>
      </c>
    </row>
    <row r="629" spans="1:10" ht="171" x14ac:dyDescent="0.2">
      <c r="A629" s="16" t="s">
        <v>2266</v>
      </c>
      <c r="B629" s="17" t="s">
        <v>68</v>
      </c>
      <c r="C629" s="16" t="s">
        <v>2267</v>
      </c>
      <c r="D629" s="16" t="s">
        <v>2268</v>
      </c>
      <c r="E629" s="17">
        <v>2025</v>
      </c>
      <c r="F629" s="16" t="s">
        <v>2269</v>
      </c>
      <c r="G629" s="16" t="s">
        <v>35</v>
      </c>
      <c r="H629" s="16" t="s">
        <v>148</v>
      </c>
      <c r="I629" s="16" t="s">
        <v>7997</v>
      </c>
      <c r="J629" s="16" t="s">
        <v>123</v>
      </c>
    </row>
    <row r="630" spans="1:10" ht="209" x14ac:dyDescent="0.2">
      <c r="A630" s="16" t="s">
        <v>2270</v>
      </c>
      <c r="B630" s="17" t="s">
        <v>68</v>
      </c>
      <c r="C630" s="16" t="s">
        <v>2271</v>
      </c>
      <c r="D630" s="16" t="s">
        <v>2272</v>
      </c>
      <c r="E630" s="17">
        <v>2023</v>
      </c>
      <c r="F630" s="16" t="s">
        <v>2273</v>
      </c>
      <c r="G630" s="16" t="s">
        <v>35</v>
      </c>
      <c r="H630" s="16" t="s">
        <v>148</v>
      </c>
      <c r="I630" s="16" t="s">
        <v>7998</v>
      </c>
      <c r="J630" s="16" t="s">
        <v>123</v>
      </c>
    </row>
    <row r="631" spans="1:10" ht="133" x14ac:dyDescent="0.2">
      <c r="A631" s="16" t="s">
        <v>2274</v>
      </c>
      <c r="B631" s="17" t="s">
        <v>68</v>
      </c>
      <c r="C631" s="16" t="s">
        <v>2275</v>
      </c>
      <c r="D631" s="16" t="s">
        <v>2276</v>
      </c>
      <c r="E631" s="17">
        <v>2025</v>
      </c>
      <c r="F631" s="16" t="s">
        <v>2277</v>
      </c>
      <c r="G631" s="16" t="s">
        <v>35</v>
      </c>
      <c r="H631" s="16" t="s">
        <v>148</v>
      </c>
      <c r="I631" s="16" t="s">
        <v>7999</v>
      </c>
      <c r="J631" s="16" t="s">
        <v>123</v>
      </c>
    </row>
    <row r="632" spans="1:10" ht="152" x14ac:dyDescent="0.2">
      <c r="A632" s="16" t="s">
        <v>2278</v>
      </c>
      <c r="B632" s="17" t="s">
        <v>68</v>
      </c>
      <c r="C632" s="16" t="s">
        <v>2279</v>
      </c>
      <c r="D632" s="16" t="s">
        <v>2280</v>
      </c>
      <c r="E632" s="17">
        <v>2024</v>
      </c>
      <c r="F632" s="16" t="s">
        <v>2281</v>
      </c>
      <c r="G632" s="16" t="s">
        <v>35</v>
      </c>
      <c r="H632" s="16" t="s">
        <v>148</v>
      </c>
      <c r="I632" s="16" t="s">
        <v>8000</v>
      </c>
      <c r="J632" s="16" t="s">
        <v>123</v>
      </c>
    </row>
    <row r="633" spans="1:10" ht="133" x14ac:dyDescent="0.2">
      <c r="A633" s="16" t="s">
        <v>2282</v>
      </c>
      <c r="B633" s="17" t="s">
        <v>68</v>
      </c>
      <c r="C633" s="16" t="s">
        <v>2283</v>
      </c>
      <c r="D633" s="16" t="s">
        <v>2284</v>
      </c>
      <c r="E633" s="17">
        <v>2025</v>
      </c>
      <c r="F633" s="16" t="s">
        <v>2285</v>
      </c>
      <c r="G633" s="16" t="s">
        <v>35</v>
      </c>
      <c r="H633" s="16" t="s">
        <v>148</v>
      </c>
      <c r="I633" s="16" t="s">
        <v>8001</v>
      </c>
      <c r="J633" s="16" t="s">
        <v>123</v>
      </c>
    </row>
    <row r="634" spans="1:10" ht="95" x14ac:dyDescent="0.2">
      <c r="A634" s="18" t="s">
        <v>2286</v>
      </c>
      <c r="B634" s="19" t="s">
        <v>68</v>
      </c>
      <c r="C634" s="18" t="s">
        <v>651</v>
      </c>
      <c r="D634" s="18" t="s">
        <v>652</v>
      </c>
      <c r="E634" s="19">
        <v>2026</v>
      </c>
      <c r="F634" s="18" t="s">
        <v>2287</v>
      </c>
      <c r="G634" s="18" t="s">
        <v>7460</v>
      </c>
      <c r="H634" s="18" t="s">
        <v>165</v>
      </c>
      <c r="I634" s="18" t="s">
        <v>8002</v>
      </c>
      <c r="J634" s="18" t="s">
        <v>803</v>
      </c>
    </row>
    <row r="635" spans="1:10" ht="171" x14ac:dyDescent="0.2">
      <c r="A635" s="16" t="s">
        <v>2288</v>
      </c>
      <c r="B635" s="17" t="s">
        <v>68</v>
      </c>
      <c r="C635" s="16" t="s">
        <v>656</v>
      </c>
      <c r="D635" s="16" t="s">
        <v>657</v>
      </c>
      <c r="E635" s="17">
        <v>2026</v>
      </c>
      <c r="F635" s="16" t="s">
        <v>2289</v>
      </c>
      <c r="G635" s="16" t="s">
        <v>35</v>
      </c>
      <c r="H635" s="16" t="s">
        <v>185</v>
      </c>
      <c r="I635" s="16" t="s">
        <v>8003</v>
      </c>
      <c r="J635" s="16" t="s">
        <v>48</v>
      </c>
    </row>
    <row r="636" spans="1:10" ht="152" x14ac:dyDescent="0.2">
      <c r="A636" s="18" t="s">
        <v>2290</v>
      </c>
      <c r="B636" s="19" t="s">
        <v>68</v>
      </c>
      <c r="C636" s="18" t="s">
        <v>1880</v>
      </c>
      <c r="D636" s="18" t="s">
        <v>1881</v>
      </c>
      <c r="E636" s="19">
        <v>2024</v>
      </c>
      <c r="F636" s="18" t="s">
        <v>2291</v>
      </c>
      <c r="G636" s="18" t="s">
        <v>8004</v>
      </c>
      <c r="H636" s="18" t="s">
        <v>165</v>
      </c>
      <c r="I636" s="18" t="s">
        <v>8005</v>
      </c>
      <c r="J636" s="18" t="s">
        <v>2292</v>
      </c>
    </row>
    <row r="637" spans="1:10" ht="114" x14ac:dyDescent="0.2">
      <c r="A637" s="16" t="s">
        <v>2293</v>
      </c>
      <c r="B637" s="17" t="s">
        <v>68</v>
      </c>
      <c r="C637" s="16" t="s">
        <v>583</v>
      </c>
      <c r="D637" s="16" t="s">
        <v>2294</v>
      </c>
      <c r="E637" s="17" t="s">
        <v>583</v>
      </c>
      <c r="F637" s="16" t="s">
        <v>2295</v>
      </c>
      <c r="G637" s="16" t="s">
        <v>35</v>
      </c>
      <c r="H637" s="16" t="s">
        <v>277</v>
      </c>
      <c r="I637" s="16" t="s">
        <v>8006</v>
      </c>
      <c r="J637" s="16" t="s">
        <v>186</v>
      </c>
    </row>
    <row r="638" spans="1:10" ht="171" x14ac:dyDescent="0.2">
      <c r="A638" s="16" t="s">
        <v>2296</v>
      </c>
      <c r="B638" s="17" t="s">
        <v>68</v>
      </c>
      <c r="C638" s="16" t="s">
        <v>583</v>
      </c>
      <c r="D638" s="16" t="s">
        <v>2297</v>
      </c>
      <c r="E638" s="17" t="s">
        <v>583</v>
      </c>
      <c r="F638" s="16" t="s">
        <v>2298</v>
      </c>
      <c r="G638" s="16" t="s">
        <v>35</v>
      </c>
      <c r="H638" s="16" t="s">
        <v>277</v>
      </c>
      <c r="I638" s="16" t="s">
        <v>8007</v>
      </c>
      <c r="J638" s="16" t="s">
        <v>186</v>
      </c>
    </row>
    <row r="639" spans="1:10" ht="190" x14ac:dyDescent="0.2">
      <c r="A639" s="16" t="s">
        <v>2299</v>
      </c>
      <c r="B639" s="17" t="s">
        <v>68</v>
      </c>
      <c r="C639" s="16" t="s">
        <v>2300</v>
      </c>
      <c r="D639" s="16" t="s">
        <v>2301</v>
      </c>
      <c r="E639" s="17">
        <v>2025</v>
      </c>
      <c r="F639" s="16" t="s">
        <v>2302</v>
      </c>
      <c r="G639" s="16" t="s">
        <v>35</v>
      </c>
      <c r="H639" s="16" t="s">
        <v>133</v>
      </c>
      <c r="I639" s="16" t="s">
        <v>8008</v>
      </c>
      <c r="J639" s="16" t="s">
        <v>123</v>
      </c>
    </row>
    <row r="640" spans="1:10" ht="228" x14ac:dyDescent="0.2">
      <c r="A640" s="16" t="s">
        <v>2303</v>
      </c>
      <c r="B640" s="17" t="s">
        <v>68</v>
      </c>
      <c r="C640" s="16" t="s">
        <v>2304</v>
      </c>
      <c r="D640" s="16" t="s">
        <v>671</v>
      </c>
      <c r="E640" s="17">
        <v>2025</v>
      </c>
      <c r="F640" s="16" t="s">
        <v>2305</v>
      </c>
      <c r="G640" s="16" t="s">
        <v>35</v>
      </c>
      <c r="H640" s="16" t="s">
        <v>148</v>
      </c>
      <c r="I640" s="16" t="s">
        <v>8009</v>
      </c>
      <c r="J640" s="16" t="s">
        <v>48</v>
      </c>
    </row>
    <row r="641" spans="1:10" ht="95" x14ac:dyDescent="0.2">
      <c r="A641" s="16" t="s">
        <v>2306</v>
      </c>
      <c r="B641" s="17" t="s">
        <v>68</v>
      </c>
      <c r="C641" s="16" t="s">
        <v>583</v>
      </c>
      <c r="D641" s="16" t="s">
        <v>2307</v>
      </c>
      <c r="E641" s="17" t="s">
        <v>583</v>
      </c>
      <c r="F641" s="16" t="s">
        <v>2308</v>
      </c>
      <c r="G641" s="16" t="s">
        <v>35</v>
      </c>
      <c r="H641" s="16" t="s">
        <v>271</v>
      </c>
      <c r="I641" s="16" t="s">
        <v>8010</v>
      </c>
      <c r="J641" s="16" t="s">
        <v>186</v>
      </c>
    </row>
    <row r="642" spans="1:10" ht="95" x14ac:dyDescent="0.2">
      <c r="A642" s="18" t="s">
        <v>2309</v>
      </c>
      <c r="B642" s="19" t="s">
        <v>68</v>
      </c>
      <c r="C642" s="18" t="s">
        <v>690</v>
      </c>
      <c r="D642" s="18" t="s">
        <v>691</v>
      </c>
      <c r="E642" s="19">
        <v>2026</v>
      </c>
      <c r="F642" s="18" t="s">
        <v>2310</v>
      </c>
      <c r="G642" s="18" t="s">
        <v>7465</v>
      </c>
      <c r="H642" s="18" t="s">
        <v>165</v>
      </c>
      <c r="I642" s="18" t="s">
        <v>8011</v>
      </c>
      <c r="J642" s="18" t="s">
        <v>812</v>
      </c>
    </row>
    <row r="643" spans="1:10" ht="95" x14ac:dyDescent="0.2">
      <c r="A643" s="16" t="s">
        <v>2311</v>
      </c>
      <c r="B643" s="17" t="s">
        <v>68</v>
      </c>
      <c r="C643" s="16" t="s">
        <v>583</v>
      </c>
      <c r="D643" s="16" t="s">
        <v>2312</v>
      </c>
      <c r="E643" s="17" t="s">
        <v>583</v>
      </c>
      <c r="F643" s="16" t="s">
        <v>2181</v>
      </c>
      <c r="G643" s="16" t="s">
        <v>35</v>
      </c>
      <c r="H643" s="16" t="s">
        <v>185</v>
      </c>
      <c r="I643" s="16" t="s">
        <v>8012</v>
      </c>
      <c r="J643" s="16" t="s">
        <v>186</v>
      </c>
    </row>
    <row r="644" spans="1:10" ht="171" x14ac:dyDescent="0.2">
      <c r="A644" s="16" t="s">
        <v>2313</v>
      </c>
      <c r="B644" s="17" t="s">
        <v>68</v>
      </c>
      <c r="C644" s="16" t="s">
        <v>2107</v>
      </c>
      <c r="D644" s="16" t="s">
        <v>2314</v>
      </c>
      <c r="E644" s="17">
        <v>2023</v>
      </c>
      <c r="F644" s="16" t="s">
        <v>2315</v>
      </c>
      <c r="G644" s="16" t="s">
        <v>35</v>
      </c>
      <c r="H644" s="16" t="s">
        <v>185</v>
      </c>
      <c r="I644" s="16" t="s">
        <v>8013</v>
      </c>
      <c r="J644" s="16" t="s">
        <v>123</v>
      </c>
    </row>
    <row r="645" spans="1:10" ht="114" x14ac:dyDescent="0.2">
      <c r="A645" s="18" t="s">
        <v>2316</v>
      </c>
      <c r="B645" s="19" t="s">
        <v>68</v>
      </c>
      <c r="C645" s="18" t="s">
        <v>2017</v>
      </c>
      <c r="D645" s="18" t="s">
        <v>2018</v>
      </c>
      <c r="E645" s="19">
        <v>2024</v>
      </c>
      <c r="F645" s="18" t="s">
        <v>2317</v>
      </c>
      <c r="G645" s="18" t="s">
        <v>8014</v>
      </c>
      <c r="H645" s="18" t="s">
        <v>165</v>
      </c>
      <c r="I645" s="18" t="s">
        <v>8015</v>
      </c>
      <c r="J645" s="18" t="s">
        <v>2318</v>
      </c>
    </row>
    <row r="646" spans="1:10" ht="95" x14ac:dyDescent="0.2">
      <c r="A646" s="16" t="s">
        <v>2319</v>
      </c>
      <c r="B646" s="17" t="s">
        <v>68</v>
      </c>
      <c r="C646" s="16" t="s">
        <v>583</v>
      </c>
      <c r="D646" s="16" t="s">
        <v>2320</v>
      </c>
      <c r="E646" s="17" t="s">
        <v>583</v>
      </c>
      <c r="F646" s="16" t="s">
        <v>2321</v>
      </c>
      <c r="G646" s="16" t="s">
        <v>35</v>
      </c>
      <c r="H646" s="16" t="s">
        <v>271</v>
      </c>
      <c r="I646" s="16" t="s">
        <v>8016</v>
      </c>
      <c r="J646" s="16" t="s">
        <v>186</v>
      </c>
    </row>
    <row r="647" spans="1:10" ht="114" x14ac:dyDescent="0.2">
      <c r="A647" s="16" t="s">
        <v>2322</v>
      </c>
      <c r="B647" s="17" t="s">
        <v>68</v>
      </c>
      <c r="C647" s="16" t="s">
        <v>583</v>
      </c>
      <c r="D647" s="16" t="s">
        <v>2323</v>
      </c>
      <c r="E647" s="17" t="s">
        <v>583</v>
      </c>
      <c r="F647" s="16" t="s">
        <v>2324</v>
      </c>
      <c r="G647" s="16" t="s">
        <v>35</v>
      </c>
      <c r="H647" s="16" t="s">
        <v>277</v>
      </c>
      <c r="I647" s="16" t="s">
        <v>8017</v>
      </c>
      <c r="J647" s="16" t="s">
        <v>186</v>
      </c>
    </row>
    <row r="648" spans="1:10" ht="76" x14ac:dyDescent="0.2">
      <c r="A648" s="16" t="s">
        <v>2325</v>
      </c>
      <c r="B648" s="17" t="s">
        <v>68</v>
      </c>
      <c r="C648" s="16" t="s">
        <v>583</v>
      </c>
      <c r="D648" s="16" t="s">
        <v>2326</v>
      </c>
      <c r="E648" s="17" t="s">
        <v>583</v>
      </c>
      <c r="F648" s="16" t="s">
        <v>2327</v>
      </c>
      <c r="G648" s="16" t="s">
        <v>35</v>
      </c>
      <c r="H648" s="16" t="s">
        <v>277</v>
      </c>
      <c r="I648" s="16" t="s">
        <v>8018</v>
      </c>
      <c r="J648" s="16" t="s">
        <v>186</v>
      </c>
    </row>
    <row r="649" spans="1:10" ht="152" x14ac:dyDescent="0.2">
      <c r="A649" s="18" t="s">
        <v>2328</v>
      </c>
      <c r="B649" s="19" t="s">
        <v>68</v>
      </c>
      <c r="C649" s="18" t="s">
        <v>1599</v>
      </c>
      <c r="D649" s="18" t="s">
        <v>1600</v>
      </c>
      <c r="E649" s="19">
        <v>2024</v>
      </c>
      <c r="F649" s="18" t="s">
        <v>2329</v>
      </c>
      <c r="G649" s="18" t="s">
        <v>8019</v>
      </c>
      <c r="H649" s="18" t="s">
        <v>165</v>
      </c>
      <c r="I649" s="18" t="s">
        <v>8020</v>
      </c>
      <c r="J649" s="18" t="s">
        <v>2330</v>
      </c>
    </row>
    <row r="650" spans="1:10" ht="152" x14ac:dyDescent="0.2">
      <c r="A650" s="16" t="s">
        <v>2331</v>
      </c>
      <c r="B650" s="17" t="s">
        <v>68</v>
      </c>
      <c r="C650" s="16" t="s">
        <v>2332</v>
      </c>
      <c r="D650" s="16" t="s">
        <v>2333</v>
      </c>
      <c r="E650" s="17">
        <v>2026</v>
      </c>
      <c r="F650" s="16" t="s">
        <v>2334</v>
      </c>
      <c r="G650" s="16" t="s">
        <v>35</v>
      </c>
      <c r="H650" s="16" t="s">
        <v>271</v>
      </c>
      <c r="I650" s="16" t="s">
        <v>8021</v>
      </c>
      <c r="J650" s="16" t="s">
        <v>123</v>
      </c>
    </row>
    <row r="651" spans="1:10" ht="133" x14ac:dyDescent="0.2">
      <c r="A651" s="16" t="s">
        <v>2335</v>
      </c>
      <c r="B651" s="17" t="s">
        <v>68</v>
      </c>
      <c r="C651" s="16" t="s">
        <v>2336</v>
      </c>
      <c r="D651" s="16" t="s">
        <v>2337</v>
      </c>
      <c r="E651" s="17" t="s">
        <v>583</v>
      </c>
      <c r="F651" s="16" t="s">
        <v>2338</v>
      </c>
      <c r="G651" s="16" t="s">
        <v>35</v>
      </c>
      <c r="H651" s="16" t="s">
        <v>277</v>
      </c>
      <c r="I651" s="16" t="s">
        <v>8022</v>
      </c>
      <c r="J651" s="16" t="s">
        <v>186</v>
      </c>
    </row>
    <row r="652" spans="1:10" ht="133" x14ac:dyDescent="0.2">
      <c r="A652" s="18" t="s">
        <v>2339</v>
      </c>
      <c r="B652" s="19" t="s">
        <v>68</v>
      </c>
      <c r="C652" s="18" t="s">
        <v>545</v>
      </c>
      <c r="D652" s="18" t="s">
        <v>620</v>
      </c>
      <c r="E652" s="19">
        <v>2025</v>
      </c>
      <c r="F652" s="18" t="s">
        <v>2340</v>
      </c>
      <c r="G652" s="18" t="s">
        <v>8023</v>
      </c>
      <c r="H652" s="18" t="s">
        <v>165</v>
      </c>
      <c r="I652" s="18" t="s">
        <v>8024</v>
      </c>
      <c r="J652" s="18" t="s">
        <v>2341</v>
      </c>
    </row>
    <row r="653" spans="1:10" ht="228" x14ac:dyDescent="0.2">
      <c r="A653" s="16" t="s">
        <v>2342</v>
      </c>
      <c r="B653" s="17" t="s">
        <v>68</v>
      </c>
      <c r="C653" s="16" t="s">
        <v>2343</v>
      </c>
      <c r="D653" s="16" t="s">
        <v>2344</v>
      </c>
      <c r="E653" s="17">
        <v>2024</v>
      </c>
      <c r="F653" s="16" t="s">
        <v>2345</v>
      </c>
      <c r="G653" s="16" t="s">
        <v>35</v>
      </c>
      <c r="H653" s="16" t="s">
        <v>148</v>
      </c>
      <c r="I653" s="16" t="s">
        <v>8025</v>
      </c>
      <c r="J653" s="16" t="s">
        <v>123</v>
      </c>
    </row>
    <row r="654" spans="1:10" ht="171" x14ac:dyDescent="0.2">
      <c r="A654" s="16" t="s">
        <v>2346</v>
      </c>
      <c r="B654" s="17" t="s">
        <v>68</v>
      </c>
      <c r="C654" s="16" t="s">
        <v>2347</v>
      </c>
      <c r="D654" s="16" t="s">
        <v>2348</v>
      </c>
      <c r="E654" s="17">
        <v>2024</v>
      </c>
      <c r="F654" s="16" t="s">
        <v>2349</v>
      </c>
      <c r="G654" s="16" t="s">
        <v>35</v>
      </c>
      <c r="H654" s="16" t="s">
        <v>148</v>
      </c>
      <c r="I654" s="16" t="s">
        <v>8026</v>
      </c>
      <c r="J654" s="16" t="s">
        <v>123</v>
      </c>
    </row>
    <row r="655" spans="1:10" ht="190" x14ac:dyDescent="0.2">
      <c r="A655" s="16" t="s">
        <v>2350</v>
      </c>
      <c r="B655" s="17" t="s">
        <v>68</v>
      </c>
      <c r="C655" s="16" t="s">
        <v>2351</v>
      </c>
      <c r="D655" s="16" t="s">
        <v>2352</v>
      </c>
      <c r="E655" s="17">
        <v>2024</v>
      </c>
      <c r="F655" s="16" t="s">
        <v>2353</v>
      </c>
      <c r="G655" s="16" t="s">
        <v>35</v>
      </c>
      <c r="H655" s="16" t="s">
        <v>148</v>
      </c>
      <c r="I655" s="16" t="s">
        <v>8027</v>
      </c>
      <c r="J655" s="16" t="s">
        <v>186</v>
      </c>
    </row>
    <row r="656" spans="1:10" ht="171" x14ac:dyDescent="0.2">
      <c r="A656" s="18" t="s">
        <v>2354</v>
      </c>
      <c r="B656" s="19" t="s">
        <v>68</v>
      </c>
      <c r="C656" s="18" t="s">
        <v>1777</v>
      </c>
      <c r="D656" s="18" t="s">
        <v>1778</v>
      </c>
      <c r="E656" s="19">
        <v>2025</v>
      </c>
      <c r="F656" s="18" t="s">
        <v>2355</v>
      </c>
      <c r="G656" s="18" t="s">
        <v>8028</v>
      </c>
      <c r="H656" s="18" t="s">
        <v>165</v>
      </c>
      <c r="I656" s="18" t="s">
        <v>8029</v>
      </c>
      <c r="J656" s="18" t="s">
        <v>2356</v>
      </c>
    </row>
    <row r="657" spans="1:10" ht="171" x14ac:dyDescent="0.2">
      <c r="A657" s="18" t="s">
        <v>2357</v>
      </c>
      <c r="B657" s="19" t="s">
        <v>68</v>
      </c>
      <c r="C657" s="18" t="s">
        <v>1631</v>
      </c>
      <c r="D657" s="18" t="s">
        <v>1632</v>
      </c>
      <c r="E657" s="19">
        <v>2024</v>
      </c>
      <c r="F657" s="18" t="s">
        <v>2358</v>
      </c>
      <c r="G657" s="18" t="s">
        <v>8030</v>
      </c>
      <c r="H657" s="18" t="s">
        <v>165</v>
      </c>
      <c r="I657" s="18" t="s">
        <v>8031</v>
      </c>
      <c r="J657" s="18" t="s">
        <v>2359</v>
      </c>
    </row>
    <row r="658" spans="1:10" ht="152" x14ac:dyDescent="0.2">
      <c r="A658" s="18" t="s">
        <v>2360</v>
      </c>
      <c r="B658" s="19" t="s">
        <v>68</v>
      </c>
      <c r="C658" s="18" t="s">
        <v>1431</v>
      </c>
      <c r="D658" s="18" t="s">
        <v>1432</v>
      </c>
      <c r="E658" s="19">
        <v>2023</v>
      </c>
      <c r="F658" s="18" t="s">
        <v>2361</v>
      </c>
      <c r="G658" s="18" t="s">
        <v>8032</v>
      </c>
      <c r="H658" s="18" t="s">
        <v>165</v>
      </c>
      <c r="I658" s="18" t="s">
        <v>8033</v>
      </c>
      <c r="J658" s="18" t="s">
        <v>2362</v>
      </c>
    </row>
    <row r="659" spans="1:10" ht="133" x14ac:dyDescent="0.2">
      <c r="A659" s="16" t="s">
        <v>2363</v>
      </c>
      <c r="B659" s="17" t="s">
        <v>68</v>
      </c>
      <c r="C659" s="16" t="s">
        <v>583</v>
      </c>
      <c r="D659" s="16" t="s">
        <v>2364</v>
      </c>
      <c r="E659" s="17" t="s">
        <v>583</v>
      </c>
      <c r="F659" s="16" t="s">
        <v>2365</v>
      </c>
      <c r="G659" s="16" t="s">
        <v>35</v>
      </c>
      <c r="H659" s="16" t="s">
        <v>277</v>
      </c>
      <c r="I659" s="16" t="s">
        <v>8034</v>
      </c>
      <c r="J659" s="16" t="s">
        <v>186</v>
      </c>
    </row>
    <row r="660" spans="1:10" ht="95" x14ac:dyDescent="0.2">
      <c r="A660" s="18" t="s">
        <v>2366</v>
      </c>
      <c r="B660" s="19" t="s">
        <v>68</v>
      </c>
      <c r="C660" s="18" t="s">
        <v>583</v>
      </c>
      <c r="D660" s="18" t="s">
        <v>2367</v>
      </c>
      <c r="E660" s="19" t="s">
        <v>583</v>
      </c>
      <c r="F660" s="18" t="s">
        <v>2368</v>
      </c>
      <c r="G660" s="18" t="s">
        <v>8035</v>
      </c>
      <c r="H660" s="18" t="s">
        <v>165</v>
      </c>
      <c r="I660" s="18" t="s">
        <v>8036</v>
      </c>
      <c r="J660" s="18" t="s">
        <v>2369</v>
      </c>
    </row>
    <row r="661" spans="1:10" ht="152" x14ac:dyDescent="0.2">
      <c r="A661" s="18" t="s">
        <v>2370</v>
      </c>
      <c r="B661" s="19" t="s">
        <v>68</v>
      </c>
      <c r="C661" s="18" t="s">
        <v>2073</v>
      </c>
      <c r="D661" s="18" t="s">
        <v>2074</v>
      </c>
      <c r="E661" s="19">
        <v>2024</v>
      </c>
      <c r="F661" s="18" t="s">
        <v>2371</v>
      </c>
      <c r="G661" s="18" t="s">
        <v>8037</v>
      </c>
      <c r="H661" s="18" t="s">
        <v>165</v>
      </c>
      <c r="I661" s="18" t="s">
        <v>8038</v>
      </c>
      <c r="J661" s="18" t="s">
        <v>2372</v>
      </c>
    </row>
    <row r="662" spans="1:10" ht="57" x14ac:dyDescent="0.2">
      <c r="A662" s="16" t="s">
        <v>2373</v>
      </c>
      <c r="B662" s="17" t="s">
        <v>68</v>
      </c>
      <c r="C662" s="16" t="s">
        <v>583</v>
      </c>
      <c r="D662" s="16" t="s">
        <v>2374</v>
      </c>
      <c r="E662" s="17" t="s">
        <v>583</v>
      </c>
      <c r="F662" s="16" t="s">
        <v>2375</v>
      </c>
      <c r="G662" s="16" t="s">
        <v>35</v>
      </c>
      <c r="H662" s="16" t="s">
        <v>185</v>
      </c>
      <c r="I662" s="16" t="s">
        <v>8039</v>
      </c>
      <c r="J662" s="16" t="s">
        <v>186</v>
      </c>
    </row>
    <row r="663" spans="1:10" ht="190" x14ac:dyDescent="0.2">
      <c r="A663" s="16" t="s">
        <v>2376</v>
      </c>
      <c r="B663" s="17" t="s">
        <v>68</v>
      </c>
      <c r="C663" s="16" t="s">
        <v>2377</v>
      </c>
      <c r="D663" s="16" t="s">
        <v>2378</v>
      </c>
      <c r="E663" s="17">
        <v>2023</v>
      </c>
      <c r="F663" s="16" t="s">
        <v>2379</v>
      </c>
      <c r="G663" s="16" t="s">
        <v>35</v>
      </c>
      <c r="H663" s="16" t="s">
        <v>203</v>
      </c>
      <c r="I663" s="16" t="s">
        <v>8040</v>
      </c>
      <c r="J663" s="16" t="s">
        <v>123</v>
      </c>
    </row>
    <row r="664" spans="1:10" ht="152" x14ac:dyDescent="0.2">
      <c r="A664" s="16" t="s">
        <v>2380</v>
      </c>
      <c r="B664" s="17" t="s">
        <v>68</v>
      </c>
      <c r="C664" s="16" t="s">
        <v>583</v>
      </c>
      <c r="D664" s="16" t="s">
        <v>2381</v>
      </c>
      <c r="E664" s="17" t="s">
        <v>583</v>
      </c>
      <c r="F664" s="16" t="s">
        <v>2365</v>
      </c>
      <c r="G664" s="16" t="s">
        <v>35</v>
      </c>
      <c r="H664" s="16" t="s">
        <v>277</v>
      </c>
      <c r="I664" s="16" t="s">
        <v>8041</v>
      </c>
      <c r="J664" s="16" t="s">
        <v>186</v>
      </c>
    </row>
    <row r="665" spans="1:10" ht="114" x14ac:dyDescent="0.2">
      <c r="A665" s="16" t="s">
        <v>2382</v>
      </c>
      <c r="B665" s="17" t="s">
        <v>68</v>
      </c>
      <c r="C665" s="16" t="s">
        <v>583</v>
      </c>
      <c r="D665" s="16" t="s">
        <v>2383</v>
      </c>
      <c r="E665" s="17" t="s">
        <v>583</v>
      </c>
      <c r="F665" s="16" t="s">
        <v>2384</v>
      </c>
      <c r="G665" s="16" t="s">
        <v>35</v>
      </c>
      <c r="H665" s="16" t="s">
        <v>271</v>
      </c>
      <c r="I665" s="16" t="s">
        <v>8042</v>
      </c>
      <c r="J665" s="16" t="s">
        <v>186</v>
      </c>
    </row>
    <row r="666" spans="1:10" ht="76" x14ac:dyDescent="0.2">
      <c r="A666" s="18" t="s">
        <v>2385</v>
      </c>
      <c r="B666" s="19" t="s">
        <v>68</v>
      </c>
      <c r="C666" s="18" t="s">
        <v>1803</v>
      </c>
      <c r="D666" s="18" t="s">
        <v>1804</v>
      </c>
      <c r="E666" s="19">
        <v>2024</v>
      </c>
      <c r="F666" s="18" t="s">
        <v>2386</v>
      </c>
      <c r="G666" s="18" t="s">
        <v>7868</v>
      </c>
      <c r="H666" s="18" t="s">
        <v>165</v>
      </c>
      <c r="I666" s="18" t="s">
        <v>8043</v>
      </c>
      <c r="J666" s="18" t="s">
        <v>1850</v>
      </c>
    </row>
    <row r="667" spans="1:10" ht="76" x14ac:dyDescent="0.2">
      <c r="A667" s="16" t="s">
        <v>2387</v>
      </c>
      <c r="B667" s="17" t="s">
        <v>68</v>
      </c>
      <c r="C667" s="16" t="s">
        <v>2388</v>
      </c>
      <c r="D667" s="16" t="s">
        <v>2389</v>
      </c>
      <c r="E667" s="17" t="s">
        <v>583</v>
      </c>
      <c r="F667" s="16" t="s">
        <v>2390</v>
      </c>
      <c r="G667" s="16" t="s">
        <v>35</v>
      </c>
      <c r="H667" s="16" t="s">
        <v>185</v>
      </c>
      <c r="I667" s="16" t="s">
        <v>8044</v>
      </c>
      <c r="J667" s="16" t="s">
        <v>186</v>
      </c>
    </row>
    <row r="668" spans="1:10" ht="95" x14ac:dyDescent="0.2">
      <c r="A668" s="16" t="s">
        <v>2391</v>
      </c>
      <c r="B668" s="17" t="s">
        <v>68</v>
      </c>
      <c r="C668" s="16" t="s">
        <v>583</v>
      </c>
      <c r="D668" s="16" t="s">
        <v>2392</v>
      </c>
      <c r="E668" s="17" t="s">
        <v>583</v>
      </c>
      <c r="F668" s="16" t="s">
        <v>2393</v>
      </c>
      <c r="G668" s="16" t="s">
        <v>35</v>
      </c>
      <c r="H668" s="16" t="s">
        <v>185</v>
      </c>
      <c r="I668" s="16" t="s">
        <v>8045</v>
      </c>
      <c r="J668" s="16" t="s">
        <v>186</v>
      </c>
    </row>
    <row r="669" spans="1:10" ht="76" x14ac:dyDescent="0.2">
      <c r="A669" s="16" t="s">
        <v>2394</v>
      </c>
      <c r="B669" s="17" t="s">
        <v>68</v>
      </c>
      <c r="C669" s="16" t="s">
        <v>583</v>
      </c>
      <c r="D669" s="16" t="s">
        <v>2367</v>
      </c>
      <c r="E669" s="17" t="s">
        <v>583</v>
      </c>
      <c r="F669" s="16" t="s">
        <v>2395</v>
      </c>
      <c r="G669" s="16" t="s">
        <v>35</v>
      </c>
      <c r="H669" s="16" t="s">
        <v>271</v>
      </c>
      <c r="I669" s="16" t="s">
        <v>8046</v>
      </c>
      <c r="J669" s="16" t="s">
        <v>186</v>
      </c>
    </row>
    <row r="670" spans="1:10" ht="76" x14ac:dyDescent="0.2">
      <c r="A670" s="18" t="s">
        <v>2396</v>
      </c>
      <c r="B670" s="19" t="s">
        <v>68</v>
      </c>
      <c r="C670" s="18" t="s">
        <v>716</v>
      </c>
      <c r="D670" s="18" t="s">
        <v>717</v>
      </c>
      <c r="E670" s="19">
        <v>2026</v>
      </c>
      <c r="F670" s="18" t="s">
        <v>2397</v>
      </c>
      <c r="G670" s="18" t="s">
        <v>7548</v>
      </c>
      <c r="H670" s="18" t="s">
        <v>165</v>
      </c>
      <c r="I670" s="18" t="s">
        <v>8047</v>
      </c>
      <c r="J670" s="18" t="s">
        <v>993</v>
      </c>
    </row>
    <row r="671" spans="1:10" ht="114" x14ac:dyDescent="0.2">
      <c r="A671" s="16" t="s">
        <v>2398</v>
      </c>
      <c r="B671" s="17" t="s">
        <v>68</v>
      </c>
      <c r="C671" s="16" t="s">
        <v>2399</v>
      </c>
      <c r="D671" s="16" t="s">
        <v>2400</v>
      </c>
      <c r="E671" s="17" t="s">
        <v>583</v>
      </c>
      <c r="F671" s="16" t="s">
        <v>2401</v>
      </c>
      <c r="G671" s="16" t="s">
        <v>35</v>
      </c>
      <c r="H671" s="16" t="s">
        <v>185</v>
      </c>
      <c r="I671" s="16" t="s">
        <v>8048</v>
      </c>
      <c r="J671" s="16" t="s">
        <v>186</v>
      </c>
    </row>
    <row r="672" spans="1:10" ht="76" x14ac:dyDescent="0.2">
      <c r="A672" s="18" t="s">
        <v>2402</v>
      </c>
      <c r="B672" s="19" t="s">
        <v>68</v>
      </c>
      <c r="C672" s="18" t="s">
        <v>268</v>
      </c>
      <c r="D672" s="18" t="s">
        <v>269</v>
      </c>
      <c r="E672" s="19">
        <v>2026</v>
      </c>
      <c r="F672" s="18" t="s">
        <v>2403</v>
      </c>
      <c r="G672" s="18" t="s">
        <v>7419</v>
      </c>
      <c r="H672" s="18" t="s">
        <v>165</v>
      </c>
      <c r="I672" s="18" t="s">
        <v>8049</v>
      </c>
      <c r="J672" s="18" t="s">
        <v>721</v>
      </c>
    </row>
    <row r="673" spans="1:10" ht="95" x14ac:dyDescent="0.2">
      <c r="A673" s="16" t="s">
        <v>2404</v>
      </c>
      <c r="B673" s="17" t="s">
        <v>68</v>
      </c>
      <c r="C673" s="16" t="s">
        <v>2405</v>
      </c>
      <c r="D673" s="16" t="s">
        <v>2406</v>
      </c>
      <c r="E673" s="17" t="s">
        <v>583</v>
      </c>
      <c r="F673" s="16" t="s">
        <v>2407</v>
      </c>
      <c r="G673" s="16" t="s">
        <v>35</v>
      </c>
      <c r="H673" s="16" t="s">
        <v>185</v>
      </c>
      <c r="I673" s="16" t="s">
        <v>8050</v>
      </c>
      <c r="J673" s="16" t="s">
        <v>186</v>
      </c>
    </row>
    <row r="674" spans="1:10" ht="76" x14ac:dyDescent="0.2">
      <c r="A674" s="16" t="s">
        <v>2408</v>
      </c>
      <c r="B674" s="17" t="s">
        <v>68</v>
      </c>
      <c r="C674" s="16" t="s">
        <v>2409</v>
      </c>
      <c r="D674" s="16" t="s">
        <v>2410</v>
      </c>
      <c r="E674" s="17" t="s">
        <v>583</v>
      </c>
      <c r="F674" s="16" t="s">
        <v>2411</v>
      </c>
      <c r="G674" s="16" t="s">
        <v>35</v>
      </c>
      <c r="H674" s="16" t="s">
        <v>271</v>
      </c>
      <c r="I674" s="16" t="s">
        <v>8051</v>
      </c>
      <c r="J674" s="16" t="s">
        <v>186</v>
      </c>
    </row>
    <row r="675" spans="1:10" ht="152" x14ac:dyDescent="0.2">
      <c r="A675" s="16" t="s">
        <v>2412</v>
      </c>
      <c r="B675" s="17" t="s">
        <v>68</v>
      </c>
      <c r="C675" s="16" t="s">
        <v>2413</v>
      </c>
      <c r="D675" s="16" t="s">
        <v>2414</v>
      </c>
      <c r="E675" s="17">
        <v>2025</v>
      </c>
      <c r="F675" s="16" t="s">
        <v>2415</v>
      </c>
      <c r="G675" s="16" t="s">
        <v>35</v>
      </c>
      <c r="H675" s="16" t="s">
        <v>271</v>
      </c>
      <c r="I675" s="16" t="s">
        <v>8052</v>
      </c>
      <c r="J675" s="16" t="s">
        <v>186</v>
      </c>
    </row>
    <row r="676" spans="1:10" ht="76" x14ac:dyDescent="0.2">
      <c r="A676" s="16" t="s">
        <v>2416</v>
      </c>
      <c r="B676" s="17" t="s">
        <v>68</v>
      </c>
      <c r="C676" s="16" t="s">
        <v>2417</v>
      </c>
      <c r="D676" s="16" t="s">
        <v>2418</v>
      </c>
      <c r="E676" s="17">
        <v>2023</v>
      </c>
      <c r="F676" s="16" t="s">
        <v>2419</v>
      </c>
      <c r="G676" s="16" t="s">
        <v>35</v>
      </c>
      <c r="H676" s="16" t="s">
        <v>271</v>
      </c>
      <c r="I676" s="16" t="s">
        <v>8053</v>
      </c>
      <c r="J676" s="16" t="s">
        <v>186</v>
      </c>
    </row>
    <row r="677" spans="1:10" ht="76" x14ac:dyDescent="0.2">
      <c r="A677" s="16" t="s">
        <v>2420</v>
      </c>
      <c r="B677" s="17" t="s">
        <v>68</v>
      </c>
      <c r="C677" s="16" t="s">
        <v>2421</v>
      </c>
      <c r="D677" s="16" t="s">
        <v>2422</v>
      </c>
      <c r="E677" s="17" t="s">
        <v>583</v>
      </c>
      <c r="F677" s="16" t="s">
        <v>2423</v>
      </c>
      <c r="G677" s="16" t="s">
        <v>35</v>
      </c>
      <c r="H677" s="16" t="s">
        <v>271</v>
      </c>
      <c r="I677" s="16" t="s">
        <v>8054</v>
      </c>
      <c r="J677" s="16" t="s">
        <v>186</v>
      </c>
    </row>
    <row r="678" spans="1:10" ht="76" x14ac:dyDescent="0.2">
      <c r="A678" s="16" t="s">
        <v>2424</v>
      </c>
      <c r="B678" s="17" t="s">
        <v>68</v>
      </c>
      <c r="C678" s="16" t="s">
        <v>583</v>
      </c>
      <c r="D678" s="16" t="s">
        <v>2425</v>
      </c>
      <c r="E678" s="17" t="s">
        <v>583</v>
      </c>
      <c r="F678" s="16" t="s">
        <v>2426</v>
      </c>
      <c r="G678" s="16" t="s">
        <v>35</v>
      </c>
      <c r="H678" s="16" t="s">
        <v>277</v>
      </c>
      <c r="I678" s="16" t="s">
        <v>8055</v>
      </c>
      <c r="J678" s="16" t="s">
        <v>186</v>
      </c>
    </row>
    <row r="679" spans="1:10" ht="114" x14ac:dyDescent="0.2">
      <c r="A679" s="18" t="s">
        <v>2427</v>
      </c>
      <c r="B679" s="19" t="s">
        <v>71</v>
      </c>
      <c r="C679" s="18" t="s">
        <v>309</v>
      </c>
      <c r="D679" s="18" t="s">
        <v>310</v>
      </c>
      <c r="E679" s="19">
        <v>2025</v>
      </c>
      <c r="F679" s="18" t="s">
        <v>2428</v>
      </c>
      <c r="G679" s="18" t="s">
        <v>7422</v>
      </c>
      <c r="H679" s="18" t="s">
        <v>165</v>
      </c>
      <c r="I679" s="18" t="s">
        <v>8056</v>
      </c>
      <c r="J679" s="18" t="s">
        <v>727</v>
      </c>
    </row>
    <row r="680" spans="1:10" ht="114" x14ac:dyDescent="0.2">
      <c r="A680" s="16" t="s">
        <v>2429</v>
      </c>
      <c r="B680" s="17" t="s">
        <v>71</v>
      </c>
      <c r="C680" s="16" t="s">
        <v>2430</v>
      </c>
      <c r="D680" s="16" t="s">
        <v>2431</v>
      </c>
      <c r="E680" s="17">
        <v>2021</v>
      </c>
      <c r="F680" s="16" t="s">
        <v>2432</v>
      </c>
      <c r="G680" s="16" t="s">
        <v>35</v>
      </c>
      <c r="H680" s="16" t="s">
        <v>148</v>
      </c>
      <c r="I680" s="16" t="s">
        <v>8057</v>
      </c>
      <c r="J680" s="16" t="s">
        <v>123</v>
      </c>
    </row>
    <row r="681" spans="1:10" ht="133" x14ac:dyDescent="0.2">
      <c r="A681" s="16" t="s">
        <v>2433</v>
      </c>
      <c r="B681" s="17" t="s">
        <v>71</v>
      </c>
      <c r="C681" s="16" t="s">
        <v>2434</v>
      </c>
      <c r="D681" s="16" t="s">
        <v>2435</v>
      </c>
      <c r="E681" s="17">
        <v>2023</v>
      </c>
      <c r="F681" s="16" t="s">
        <v>2436</v>
      </c>
      <c r="G681" s="16" t="s">
        <v>35</v>
      </c>
      <c r="H681" s="16" t="s">
        <v>133</v>
      </c>
      <c r="I681" s="16" t="s">
        <v>8058</v>
      </c>
      <c r="J681" s="16" t="s">
        <v>123</v>
      </c>
    </row>
    <row r="682" spans="1:10" ht="95" x14ac:dyDescent="0.2">
      <c r="A682" s="16" t="s">
        <v>2437</v>
      </c>
      <c r="B682" s="17" t="s">
        <v>71</v>
      </c>
      <c r="C682" s="16" t="s">
        <v>2438</v>
      </c>
      <c r="D682" s="16" t="s">
        <v>2439</v>
      </c>
      <c r="E682" s="17">
        <v>2023</v>
      </c>
      <c r="F682" s="16" t="s">
        <v>2440</v>
      </c>
      <c r="G682" s="16" t="s">
        <v>35</v>
      </c>
      <c r="H682" s="16" t="s">
        <v>148</v>
      </c>
      <c r="I682" s="16" t="s">
        <v>8059</v>
      </c>
      <c r="J682" s="16" t="s">
        <v>123</v>
      </c>
    </row>
    <row r="683" spans="1:10" ht="95" x14ac:dyDescent="0.2">
      <c r="A683" s="18" t="s">
        <v>2441</v>
      </c>
      <c r="B683" s="19" t="s">
        <v>71</v>
      </c>
      <c r="C683" s="18" t="s">
        <v>52</v>
      </c>
      <c r="D683" s="18" t="s">
        <v>53</v>
      </c>
      <c r="E683" s="19">
        <v>2025</v>
      </c>
      <c r="F683" s="18" t="s">
        <v>2442</v>
      </c>
      <c r="G683" s="18" t="s">
        <v>7268</v>
      </c>
      <c r="H683" s="18" t="s">
        <v>215</v>
      </c>
      <c r="I683" s="18" t="s">
        <v>8060</v>
      </c>
      <c r="J683" s="18" t="s">
        <v>2443</v>
      </c>
    </row>
    <row r="684" spans="1:10" ht="133" x14ac:dyDescent="0.2">
      <c r="A684" s="16" t="s">
        <v>2444</v>
      </c>
      <c r="B684" s="17" t="s">
        <v>71</v>
      </c>
      <c r="C684" s="16" t="s">
        <v>2445</v>
      </c>
      <c r="D684" s="16" t="s">
        <v>2446</v>
      </c>
      <c r="E684" s="17">
        <v>2022</v>
      </c>
      <c r="F684" s="16" t="s">
        <v>2447</v>
      </c>
      <c r="G684" s="16" t="s">
        <v>35</v>
      </c>
      <c r="H684" s="16" t="s">
        <v>148</v>
      </c>
      <c r="I684" s="16" t="s">
        <v>8061</v>
      </c>
      <c r="J684" s="16" t="s">
        <v>123</v>
      </c>
    </row>
    <row r="685" spans="1:10" ht="152" x14ac:dyDescent="0.2">
      <c r="A685" s="16" t="s">
        <v>2448</v>
      </c>
      <c r="B685" s="17" t="s">
        <v>71</v>
      </c>
      <c r="C685" s="16" t="s">
        <v>2449</v>
      </c>
      <c r="D685" s="16" t="s">
        <v>2450</v>
      </c>
      <c r="E685" s="17">
        <v>2023</v>
      </c>
      <c r="F685" s="16" t="s">
        <v>2451</v>
      </c>
      <c r="G685" s="16" t="s">
        <v>35</v>
      </c>
      <c r="H685" s="16" t="s">
        <v>133</v>
      </c>
      <c r="I685" s="16" t="s">
        <v>8062</v>
      </c>
      <c r="J685" s="16" t="s">
        <v>123</v>
      </c>
    </row>
    <row r="686" spans="1:10" ht="114" x14ac:dyDescent="0.2">
      <c r="A686" s="16" t="s">
        <v>2452</v>
      </c>
      <c r="B686" s="17" t="s">
        <v>71</v>
      </c>
      <c r="C686" s="16" t="s">
        <v>2453</v>
      </c>
      <c r="D686" s="16" t="s">
        <v>2454</v>
      </c>
      <c r="E686" s="17">
        <v>2024</v>
      </c>
      <c r="F686" s="16" t="s">
        <v>2455</v>
      </c>
      <c r="G686" s="16" t="s">
        <v>35</v>
      </c>
      <c r="H686" s="16" t="s">
        <v>148</v>
      </c>
      <c r="I686" s="16" t="s">
        <v>8063</v>
      </c>
      <c r="J686" s="16" t="s">
        <v>123</v>
      </c>
    </row>
    <row r="687" spans="1:10" ht="133" x14ac:dyDescent="0.2">
      <c r="A687" s="16" t="s">
        <v>2456</v>
      </c>
      <c r="B687" s="17" t="s">
        <v>71</v>
      </c>
      <c r="C687" s="16" t="s">
        <v>2457</v>
      </c>
      <c r="D687" s="16" t="s">
        <v>2458</v>
      </c>
      <c r="E687" s="17">
        <v>2026</v>
      </c>
      <c r="F687" s="16" t="s">
        <v>2459</v>
      </c>
      <c r="G687" s="16" t="s">
        <v>35</v>
      </c>
      <c r="H687" s="16" t="s">
        <v>148</v>
      </c>
      <c r="I687" s="16" t="s">
        <v>8064</v>
      </c>
      <c r="J687" s="16" t="s">
        <v>123</v>
      </c>
    </row>
    <row r="688" spans="1:10" ht="95" x14ac:dyDescent="0.2">
      <c r="A688" s="16" t="s">
        <v>2460</v>
      </c>
      <c r="B688" s="17" t="s">
        <v>71</v>
      </c>
      <c r="C688" s="16" t="s">
        <v>2461</v>
      </c>
      <c r="D688" s="16" t="s">
        <v>2462</v>
      </c>
      <c r="E688" s="17">
        <v>2023</v>
      </c>
      <c r="F688" s="16" t="s">
        <v>2463</v>
      </c>
      <c r="G688" s="16" t="s">
        <v>35</v>
      </c>
      <c r="H688" s="16" t="s">
        <v>148</v>
      </c>
      <c r="I688" s="16" t="s">
        <v>8065</v>
      </c>
      <c r="J688" s="16" t="s">
        <v>123</v>
      </c>
    </row>
    <row r="689" spans="1:10" ht="152" x14ac:dyDescent="0.2">
      <c r="A689" s="16" t="s">
        <v>2464</v>
      </c>
      <c r="B689" s="17" t="s">
        <v>71</v>
      </c>
      <c r="C689" s="16" t="s">
        <v>2465</v>
      </c>
      <c r="D689" s="16" t="s">
        <v>2466</v>
      </c>
      <c r="E689" s="17">
        <v>2026</v>
      </c>
      <c r="F689" s="16" t="s">
        <v>2467</v>
      </c>
      <c r="G689" s="16" t="s">
        <v>35</v>
      </c>
      <c r="H689" s="16" t="s">
        <v>148</v>
      </c>
      <c r="I689" s="16" t="s">
        <v>8066</v>
      </c>
      <c r="J689" s="16" t="s">
        <v>123</v>
      </c>
    </row>
    <row r="690" spans="1:10" ht="133" x14ac:dyDescent="0.2">
      <c r="A690" s="16" t="s">
        <v>2468</v>
      </c>
      <c r="B690" s="17" t="s">
        <v>71</v>
      </c>
      <c r="C690" s="16" t="s">
        <v>2469</v>
      </c>
      <c r="D690" s="16" t="s">
        <v>2470</v>
      </c>
      <c r="E690" s="17">
        <v>2023</v>
      </c>
      <c r="F690" s="16" t="s">
        <v>2471</v>
      </c>
      <c r="G690" s="16" t="s">
        <v>35</v>
      </c>
      <c r="H690" s="16" t="s">
        <v>133</v>
      </c>
      <c r="I690" s="16" t="s">
        <v>8067</v>
      </c>
      <c r="J690" s="16" t="s">
        <v>123</v>
      </c>
    </row>
    <row r="691" spans="1:10" ht="95" x14ac:dyDescent="0.2">
      <c r="A691" s="16" t="s">
        <v>2472</v>
      </c>
      <c r="B691" s="17" t="s">
        <v>71</v>
      </c>
      <c r="C691" s="16" t="s">
        <v>72</v>
      </c>
      <c r="D691" s="16" t="s">
        <v>2473</v>
      </c>
      <c r="E691" s="17">
        <v>2020</v>
      </c>
      <c r="F691" s="16" t="s">
        <v>2474</v>
      </c>
      <c r="G691" s="16" t="s">
        <v>35</v>
      </c>
      <c r="H691" s="16" t="s">
        <v>185</v>
      </c>
      <c r="I691" s="16" t="s">
        <v>8068</v>
      </c>
      <c r="J691" s="16" t="s">
        <v>123</v>
      </c>
    </row>
    <row r="692" spans="1:10" ht="190" x14ac:dyDescent="0.2">
      <c r="A692" s="16" t="s">
        <v>2475</v>
      </c>
      <c r="B692" s="17" t="s">
        <v>71</v>
      </c>
      <c r="C692" s="16" t="s">
        <v>2476</v>
      </c>
      <c r="D692" s="16" t="s">
        <v>2477</v>
      </c>
      <c r="E692" s="17">
        <v>2025</v>
      </c>
      <c r="F692" s="16" t="s">
        <v>2478</v>
      </c>
      <c r="G692" s="16" t="s">
        <v>35</v>
      </c>
      <c r="H692" s="16" t="s">
        <v>185</v>
      </c>
      <c r="I692" s="16" t="s">
        <v>8069</v>
      </c>
      <c r="J692" s="16" t="s">
        <v>123</v>
      </c>
    </row>
    <row r="693" spans="1:10" ht="76" x14ac:dyDescent="0.2">
      <c r="A693" s="16" t="s">
        <v>2479</v>
      </c>
      <c r="B693" s="17" t="s">
        <v>71</v>
      </c>
      <c r="C693" s="16" t="s">
        <v>583</v>
      </c>
      <c r="D693" s="16" t="s">
        <v>2480</v>
      </c>
      <c r="E693" s="17" t="s">
        <v>583</v>
      </c>
      <c r="F693" s="16" t="s">
        <v>2481</v>
      </c>
      <c r="G693" s="16" t="s">
        <v>35</v>
      </c>
      <c r="H693" s="16" t="s">
        <v>185</v>
      </c>
      <c r="I693" s="16" t="s">
        <v>8070</v>
      </c>
      <c r="J693" s="16" t="s">
        <v>186</v>
      </c>
    </row>
    <row r="694" spans="1:10" ht="114" x14ac:dyDescent="0.2">
      <c r="A694" s="16" t="s">
        <v>2482</v>
      </c>
      <c r="B694" s="17" t="s">
        <v>71</v>
      </c>
      <c r="C694" s="16" t="s">
        <v>2483</v>
      </c>
      <c r="D694" s="16" t="s">
        <v>2484</v>
      </c>
      <c r="E694" s="17">
        <v>2024</v>
      </c>
      <c r="F694" s="16" t="s">
        <v>2485</v>
      </c>
      <c r="G694" s="16" t="s">
        <v>35</v>
      </c>
      <c r="H694" s="16" t="s">
        <v>185</v>
      </c>
      <c r="I694" s="16" t="s">
        <v>8071</v>
      </c>
      <c r="J694" s="16" t="s">
        <v>123</v>
      </c>
    </row>
    <row r="695" spans="1:10" ht="190" x14ac:dyDescent="0.2">
      <c r="A695" s="16" t="s">
        <v>2486</v>
      </c>
      <c r="B695" s="17" t="s">
        <v>71</v>
      </c>
      <c r="C695" s="16" t="s">
        <v>2487</v>
      </c>
      <c r="D695" s="16" t="s">
        <v>2488</v>
      </c>
      <c r="E695" s="17">
        <v>2025</v>
      </c>
      <c r="F695" s="16" t="s">
        <v>2489</v>
      </c>
      <c r="G695" s="16" t="s">
        <v>35</v>
      </c>
      <c r="H695" s="16" t="s">
        <v>148</v>
      </c>
      <c r="I695" s="16" t="s">
        <v>8072</v>
      </c>
      <c r="J695" s="16" t="s">
        <v>123</v>
      </c>
    </row>
    <row r="696" spans="1:10" ht="76" x14ac:dyDescent="0.2">
      <c r="A696" s="16" t="s">
        <v>2490</v>
      </c>
      <c r="B696" s="17" t="s">
        <v>71</v>
      </c>
      <c r="C696" s="16" t="s">
        <v>583</v>
      </c>
      <c r="D696" s="16" t="s">
        <v>2491</v>
      </c>
      <c r="E696" s="17" t="s">
        <v>583</v>
      </c>
      <c r="F696" s="16" t="s">
        <v>2492</v>
      </c>
      <c r="G696" s="16" t="s">
        <v>35</v>
      </c>
      <c r="H696" s="16" t="s">
        <v>185</v>
      </c>
      <c r="I696" s="16" t="s">
        <v>8073</v>
      </c>
      <c r="J696" s="16" t="s">
        <v>186</v>
      </c>
    </row>
    <row r="697" spans="1:10" ht="133" x14ac:dyDescent="0.2">
      <c r="A697" s="16" t="s">
        <v>2493</v>
      </c>
      <c r="B697" s="17" t="s">
        <v>71</v>
      </c>
      <c r="C697" s="16" t="s">
        <v>2494</v>
      </c>
      <c r="D697" s="16" t="s">
        <v>2495</v>
      </c>
      <c r="E697" s="17">
        <v>2025</v>
      </c>
      <c r="F697" s="16" t="s">
        <v>2496</v>
      </c>
      <c r="G697" s="16" t="s">
        <v>35</v>
      </c>
      <c r="H697" s="16" t="s">
        <v>185</v>
      </c>
      <c r="I697" s="16" t="s">
        <v>8074</v>
      </c>
      <c r="J697" s="16" t="s">
        <v>123</v>
      </c>
    </row>
    <row r="698" spans="1:10" ht="76" x14ac:dyDescent="0.2">
      <c r="A698" s="16" t="s">
        <v>2497</v>
      </c>
      <c r="B698" s="17" t="s">
        <v>71</v>
      </c>
      <c r="C698" s="16" t="s">
        <v>583</v>
      </c>
      <c r="D698" s="16" t="s">
        <v>2498</v>
      </c>
      <c r="E698" s="17" t="s">
        <v>583</v>
      </c>
      <c r="F698" s="16" t="s">
        <v>2481</v>
      </c>
      <c r="G698" s="16" t="s">
        <v>35</v>
      </c>
      <c r="H698" s="16" t="s">
        <v>185</v>
      </c>
      <c r="I698" s="16" t="s">
        <v>8075</v>
      </c>
      <c r="J698" s="16" t="s">
        <v>186</v>
      </c>
    </row>
    <row r="699" spans="1:10" ht="76" x14ac:dyDescent="0.2">
      <c r="A699" s="16" t="s">
        <v>2499</v>
      </c>
      <c r="B699" s="17" t="s">
        <v>71</v>
      </c>
      <c r="C699" s="16" t="s">
        <v>583</v>
      </c>
      <c r="D699" s="16" t="s">
        <v>2500</v>
      </c>
      <c r="E699" s="17" t="s">
        <v>583</v>
      </c>
      <c r="F699" s="16" t="s">
        <v>2481</v>
      </c>
      <c r="G699" s="16" t="s">
        <v>35</v>
      </c>
      <c r="H699" s="16" t="s">
        <v>185</v>
      </c>
      <c r="I699" s="16" t="s">
        <v>8076</v>
      </c>
      <c r="J699" s="16" t="s">
        <v>186</v>
      </c>
    </row>
    <row r="700" spans="1:10" ht="133" x14ac:dyDescent="0.2">
      <c r="A700" s="16" t="s">
        <v>2501</v>
      </c>
      <c r="B700" s="17" t="s">
        <v>71</v>
      </c>
      <c r="C700" s="16" t="s">
        <v>2502</v>
      </c>
      <c r="D700" s="16" t="s">
        <v>2503</v>
      </c>
      <c r="E700" s="17">
        <v>2023</v>
      </c>
      <c r="F700" s="16" t="s">
        <v>2504</v>
      </c>
      <c r="G700" s="16" t="s">
        <v>35</v>
      </c>
      <c r="H700" s="16" t="s">
        <v>148</v>
      </c>
      <c r="I700" s="16" t="s">
        <v>8077</v>
      </c>
      <c r="J700" s="16" t="s">
        <v>123</v>
      </c>
    </row>
    <row r="701" spans="1:10" ht="171" x14ac:dyDescent="0.2">
      <c r="A701" s="16" t="s">
        <v>2505</v>
      </c>
      <c r="B701" s="17" t="s">
        <v>71</v>
      </c>
      <c r="C701" s="16" t="s">
        <v>2494</v>
      </c>
      <c r="D701" s="16" t="s">
        <v>2506</v>
      </c>
      <c r="E701" s="17">
        <v>2025</v>
      </c>
      <c r="F701" s="16" t="s">
        <v>2507</v>
      </c>
      <c r="G701" s="16" t="s">
        <v>35</v>
      </c>
      <c r="H701" s="16" t="s">
        <v>185</v>
      </c>
      <c r="I701" s="16" t="s">
        <v>8078</v>
      </c>
      <c r="J701" s="16" t="s">
        <v>123</v>
      </c>
    </row>
    <row r="702" spans="1:10" ht="57" x14ac:dyDescent="0.2">
      <c r="A702" s="18" t="s">
        <v>2508</v>
      </c>
      <c r="B702" s="19" t="s">
        <v>71</v>
      </c>
      <c r="C702" s="18" t="s">
        <v>583</v>
      </c>
      <c r="D702" s="18" t="s">
        <v>2491</v>
      </c>
      <c r="E702" s="19" t="s">
        <v>583</v>
      </c>
      <c r="F702" s="18" t="s">
        <v>2509</v>
      </c>
      <c r="G702" s="18" t="s">
        <v>8079</v>
      </c>
      <c r="H702" s="18" t="s">
        <v>165</v>
      </c>
      <c r="I702" s="18" t="s">
        <v>8080</v>
      </c>
      <c r="J702" s="18" t="s">
        <v>2510</v>
      </c>
    </row>
    <row r="703" spans="1:10" ht="133" x14ac:dyDescent="0.2">
      <c r="A703" s="16" t="s">
        <v>2511</v>
      </c>
      <c r="B703" s="17" t="s">
        <v>71</v>
      </c>
      <c r="C703" s="16" t="s">
        <v>2512</v>
      </c>
      <c r="D703" s="16" t="s">
        <v>2513</v>
      </c>
      <c r="E703" s="17">
        <v>2021</v>
      </c>
      <c r="F703" s="16" t="s">
        <v>2514</v>
      </c>
      <c r="G703" s="16" t="s">
        <v>35</v>
      </c>
      <c r="H703" s="16" t="s">
        <v>148</v>
      </c>
      <c r="I703" s="16" t="s">
        <v>8081</v>
      </c>
      <c r="J703" s="16" t="s">
        <v>123</v>
      </c>
    </row>
    <row r="704" spans="1:10" ht="114" x14ac:dyDescent="0.2">
      <c r="A704" s="18" t="s">
        <v>2515</v>
      </c>
      <c r="B704" s="19" t="s">
        <v>71</v>
      </c>
      <c r="C704" s="18" t="s">
        <v>2434</v>
      </c>
      <c r="D704" s="18" t="s">
        <v>2435</v>
      </c>
      <c r="E704" s="19">
        <v>2023</v>
      </c>
      <c r="F704" s="18" t="s">
        <v>2516</v>
      </c>
      <c r="G704" s="18" t="s">
        <v>8082</v>
      </c>
      <c r="H704" s="18" t="s">
        <v>165</v>
      </c>
      <c r="I704" s="18" t="s">
        <v>8083</v>
      </c>
      <c r="J704" s="18" t="s">
        <v>2517</v>
      </c>
    </row>
    <row r="705" spans="1:10" ht="57" x14ac:dyDescent="0.2">
      <c r="A705" s="16" t="s">
        <v>2518</v>
      </c>
      <c r="B705" s="17" t="s">
        <v>71</v>
      </c>
      <c r="C705" s="16" t="s">
        <v>583</v>
      </c>
      <c r="D705" s="16" t="s">
        <v>2519</v>
      </c>
      <c r="E705" s="17" t="s">
        <v>583</v>
      </c>
      <c r="F705" s="16" t="s">
        <v>2520</v>
      </c>
      <c r="G705" s="16" t="s">
        <v>35</v>
      </c>
      <c r="H705" s="16" t="s">
        <v>185</v>
      </c>
      <c r="I705" s="16" t="s">
        <v>8084</v>
      </c>
      <c r="J705" s="16" t="s">
        <v>186</v>
      </c>
    </row>
    <row r="706" spans="1:10" ht="171" x14ac:dyDescent="0.2">
      <c r="A706" s="16" t="s">
        <v>2521</v>
      </c>
      <c r="B706" s="17" t="s">
        <v>74</v>
      </c>
      <c r="C706" s="16" t="s">
        <v>2522</v>
      </c>
      <c r="D706" s="16" t="s">
        <v>2523</v>
      </c>
      <c r="E706" s="17">
        <v>2026</v>
      </c>
      <c r="F706" s="16" t="s">
        <v>2524</v>
      </c>
      <c r="G706" s="16" t="s">
        <v>35</v>
      </c>
      <c r="H706" s="16" t="s">
        <v>148</v>
      </c>
      <c r="I706" s="16" t="s">
        <v>8085</v>
      </c>
      <c r="J706" s="16" t="s">
        <v>123</v>
      </c>
    </row>
    <row r="707" spans="1:10" ht="171" x14ac:dyDescent="0.2">
      <c r="A707" s="16" t="s">
        <v>2525</v>
      </c>
      <c r="B707" s="17" t="s">
        <v>74</v>
      </c>
      <c r="C707" s="16" t="s">
        <v>2526</v>
      </c>
      <c r="D707" s="16" t="s">
        <v>2527</v>
      </c>
      <c r="E707" s="17">
        <v>2026</v>
      </c>
      <c r="F707" s="16" t="s">
        <v>2528</v>
      </c>
      <c r="G707" s="16" t="s">
        <v>35</v>
      </c>
      <c r="H707" s="16" t="s">
        <v>185</v>
      </c>
      <c r="I707" s="16" t="s">
        <v>8086</v>
      </c>
      <c r="J707" s="16" t="s">
        <v>123</v>
      </c>
    </row>
    <row r="708" spans="1:10" ht="171" x14ac:dyDescent="0.2">
      <c r="A708" s="16" t="s">
        <v>2529</v>
      </c>
      <c r="B708" s="17" t="s">
        <v>74</v>
      </c>
      <c r="C708" s="16" t="s">
        <v>2530</v>
      </c>
      <c r="D708" s="16" t="s">
        <v>2531</v>
      </c>
      <c r="E708" s="17">
        <v>2026</v>
      </c>
      <c r="F708" s="16" t="s">
        <v>2532</v>
      </c>
      <c r="G708" s="16" t="s">
        <v>35</v>
      </c>
      <c r="H708" s="16" t="s">
        <v>148</v>
      </c>
      <c r="I708" s="16" t="s">
        <v>8087</v>
      </c>
      <c r="J708" s="16" t="s">
        <v>123</v>
      </c>
    </row>
    <row r="709" spans="1:10" ht="152" x14ac:dyDescent="0.2">
      <c r="A709" s="16" t="s">
        <v>2533</v>
      </c>
      <c r="B709" s="17" t="s">
        <v>74</v>
      </c>
      <c r="C709" s="16" t="s">
        <v>2534</v>
      </c>
      <c r="D709" s="16" t="s">
        <v>2535</v>
      </c>
      <c r="E709" s="17">
        <v>2026</v>
      </c>
      <c r="F709" s="16" t="s">
        <v>2536</v>
      </c>
      <c r="G709" s="16" t="s">
        <v>35</v>
      </c>
      <c r="H709" s="16" t="s">
        <v>148</v>
      </c>
      <c r="I709" s="16" t="s">
        <v>8088</v>
      </c>
      <c r="J709" s="16" t="s">
        <v>123</v>
      </c>
    </row>
    <row r="710" spans="1:10" ht="133" x14ac:dyDescent="0.2">
      <c r="A710" s="16" t="s">
        <v>2537</v>
      </c>
      <c r="B710" s="17" t="s">
        <v>74</v>
      </c>
      <c r="C710" s="16" t="s">
        <v>2538</v>
      </c>
      <c r="D710" s="16" t="s">
        <v>2539</v>
      </c>
      <c r="E710" s="17">
        <v>2026</v>
      </c>
      <c r="F710" s="16" t="s">
        <v>2540</v>
      </c>
      <c r="G710" s="16" t="s">
        <v>35</v>
      </c>
      <c r="H710" s="16" t="s">
        <v>148</v>
      </c>
      <c r="I710" s="16" t="s">
        <v>8089</v>
      </c>
      <c r="J710" s="16" t="s">
        <v>123</v>
      </c>
    </row>
    <row r="711" spans="1:10" ht="133" x14ac:dyDescent="0.2">
      <c r="A711" s="16" t="s">
        <v>2541</v>
      </c>
      <c r="B711" s="17" t="s">
        <v>74</v>
      </c>
      <c r="C711" s="16" t="s">
        <v>2542</v>
      </c>
      <c r="D711" s="16" t="s">
        <v>2543</v>
      </c>
      <c r="E711" s="17">
        <v>2026</v>
      </c>
      <c r="F711" s="16" t="s">
        <v>2544</v>
      </c>
      <c r="G711" s="16" t="s">
        <v>35</v>
      </c>
      <c r="H711" s="16" t="s">
        <v>148</v>
      </c>
      <c r="I711" s="16" t="s">
        <v>8090</v>
      </c>
      <c r="J711" s="16" t="s">
        <v>123</v>
      </c>
    </row>
    <row r="712" spans="1:10" ht="247" x14ac:dyDescent="0.2">
      <c r="A712" s="16" t="s">
        <v>2545</v>
      </c>
      <c r="B712" s="17" t="s">
        <v>74</v>
      </c>
      <c r="C712" s="16" t="s">
        <v>2546</v>
      </c>
      <c r="D712" s="16" t="s">
        <v>2547</v>
      </c>
      <c r="E712" s="17">
        <v>2026</v>
      </c>
      <c r="F712" s="16" t="s">
        <v>2548</v>
      </c>
      <c r="G712" s="16" t="s">
        <v>35</v>
      </c>
      <c r="H712" s="16" t="s">
        <v>2549</v>
      </c>
      <c r="I712" s="16" t="s">
        <v>8091</v>
      </c>
      <c r="J712" s="16" t="s">
        <v>2550</v>
      </c>
    </row>
    <row r="713" spans="1:10" ht="190" x14ac:dyDescent="0.2">
      <c r="A713" s="16" t="s">
        <v>2551</v>
      </c>
      <c r="B713" s="17" t="s">
        <v>74</v>
      </c>
      <c r="C713" s="16" t="s">
        <v>2552</v>
      </c>
      <c r="D713" s="16" t="s">
        <v>2553</v>
      </c>
      <c r="E713" s="17">
        <v>2025</v>
      </c>
      <c r="F713" s="16" t="s">
        <v>2554</v>
      </c>
      <c r="G713" s="16" t="s">
        <v>35</v>
      </c>
      <c r="H713" s="16" t="s">
        <v>148</v>
      </c>
      <c r="I713" s="16" t="s">
        <v>8092</v>
      </c>
      <c r="J713" s="16" t="s">
        <v>123</v>
      </c>
    </row>
    <row r="714" spans="1:10" ht="171" x14ac:dyDescent="0.2">
      <c r="A714" s="16" t="s">
        <v>2555</v>
      </c>
      <c r="B714" s="17" t="s">
        <v>74</v>
      </c>
      <c r="C714" s="16" t="s">
        <v>2556</v>
      </c>
      <c r="D714" s="16" t="s">
        <v>2557</v>
      </c>
      <c r="E714" s="17">
        <v>2026</v>
      </c>
      <c r="F714" s="16" t="s">
        <v>2558</v>
      </c>
      <c r="G714" s="16" t="s">
        <v>35</v>
      </c>
      <c r="H714" s="16" t="s">
        <v>148</v>
      </c>
      <c r="I714" s="16" t="s">
        <v>8093</v>
      </c>
      <c r="J714" s="16" t="s">
        <v>123</v>
      </c>
    </row>
    <row r="715" spans="1:10" ht="95" x14ac:dyDescent="0.2">
      <c r="A715" s="16" t="s">
        <v>2559</v>
      </c>
      <c r="B715" s="17" t="s">
        <v>74</v>
      </c>
      <c r="C715" s="16" t="s">
        <v>2560</v>
      </c>
      <c r="D715" s="16" t="s">
        <v>2561</v>
      </c>
      <c r="E715" s="17">
        <v>2026</v>
      </c>
      <c r="F715" s="16" t="s">
        <v>2562</v>
      </c>
      <c r="G715" s="16" t="s">
        <v>35</v>
      </c>
      <c r="H715" s="16" t="s">
        <v>271</v>
      </c>
      <c r="I715" s="16" t="s">
        <v>8094</v>
      </c>
      <c r="J715" s="16" t="s">
        <v>186</v>
      </c>
    </row>
    <row r="716" spans="1:10" ht="171" x14ac:dyDescent="0.2">
      <c r="A716" s="16" t="s">
        <v>2563</v>
      </c>
      <c r="B716" s="17" t="s">
        <v>77</v>
      </c>
      <c r="C716" s="16" t="s">
        <v>2564</v>
      </c>
      <c r="D716" s="16" t="s">
        <v>2565</v>
      </c>
      <c r="E716" s="17">
        <v>2026</v>
      </c>
      <c r="F716" s="16" t="s">
        <v>2566</v>
      </c>
      <c r="G716" s="16" t="s">
        <v>35</v>
      </c>
      <c r="H716" s="16" t="s">
        <v>185</v>
      </c>
      <c r="I716" s="16" t="s">
        <v>8095</v>
      </c>
      <c r="J716" s="16" t="s">
        <v>123</v>
      </c>
    </row>
    <row r="717" spans="1:10" ht="228" x14ac:dyDescent="0.2">
      <c r="A717" s="16" t="s">
        <v>2567</v>
      </c>
      <c r="B717" s="17" t="s">
        <v>77</v>
      </c>
      <c r="C717" s="16" t="s">
        <v>2568</v>
      </c>
      <c r="D717" s="16" t="s">
        <v>2569</v>
      </c>
      <c r="E717" s="17">
        <v>2026</v>
      </c>
      <c r="F717" s="16" t="s">
        <v>2570</v>
      </c>
      <c r="G717" s="16" t="s">
        <v>35</v>
      </c>
      <c r="H717" s="16" t="s">
        <v>133</v>
      </c>
      <c r="I717" s="16" t="s">
        <v>8096</v>
      </c>
      <c r="J717" s="16" t="s">
        <v>123</v>
      </c>
    </row>
    <row r="718" spans="1:10" ht="171" x14ac:dyDescent="0.2">
      <c r="A718" s="16" t="s">
        <v>2571</v>
      </c>
      <c r="B718" s="17" t="s">
        <v>80</v>
      </c>
      <c r="C718" s="16" t="s">
        <v>2572</v>
      </c>
      <c r="D718" s="16" t="s">
        <v>2573</v>
      </c>
      <c r="E718" s="17">
        <v>2026</v>
      </c>
      <c r="F718" s="16" t="s">
        <v>2574</v>
      </c>
      <c r="G718" s="16" t="s">
        <v>35</v>
      </c>
      <c r="H718" s="16" t="s">
        <v>148</v>
      </c>
      <c r="I718" s="16" t="s">
        <v>8097</v>
      </c>
      <c r="J718" s="16" t="s">
        <v>123</v>
      </c>
    </row>
    <row r="719" spans="1:10" ht="171" x14ac:dyDescent="0.2">
      <c r="A719" s="16" t="s">
        <v>2575</v>
      </c>
      <c r="B719" s="17" t="s">
        <v>80</v>
      </c>
      <c r="C719" s="16" t="s">
        <v>2576</v>
      </c>
      <c r="D719" s="16" t="s">
        <v>2577</v>
      </c>
      <c r="E719" s="17">
        <v>2026</v>
      </c>
      <c r="F719" s="16" t="s">
        <v>2578</v>
      </c>
      <c r="G719" s="16" t="s">
        <v>35</v>
      </c>
      <c r="H719" s="16" t="s">
        <v>148</v>
      </c>
      <c r="I719" s="16" t="s">
        <v>8098</v>
      </c>
      <c r="J719" s="16" t="s">
        <v>123</v>
      </c>
    </row>
    <row r="720" spans="1:10" ht="171" x14ac:dyDescent="0.2">
      <c r="A720" s="16" t="s">
        <v>2579</v>
      </c>
      <c r="B720" s="17" t="s">
        <v>80</v>
      </c>
      <c r="C720" s="16" t="s">
        <v>2580</v>
      </c>
      <c r="D720" s="16" t="s">
        <v>2581</v>
      </c>
      <c r="E720" s="17">
        <v>2025</v>
      </c>
      <c r="F720" s="16" t="s">
        <v>2582</v>
      </c>
      <c r="G720" s="16" t="s">
        <v>35</v>
      </c>
      <c r="H720" s="16" t="s">
        <v>185</v>
      </c>
      <c r="I720" s="16" t="s">
        <v>8099</v>
      </c>
      <c r="J720" s="16" t="s">
        <v>97</v>
      </c>
    </row>
    <row r="721" spans="1:10" ht="152" x14ac:dyDescent="0.2">
      <c r="A721" s="16" t="s">
        <v>2583</v>
      </c>
      <c r="B721" s="17" t="s">
        <v>80</v>
      </c>
      <c r="C721" s="16" t="s">
        <v>2584</v>
      </c>
      <c r="D721" s="16" t="s">
        <v>2585</v>
      </c>
      <c r="E721" s="17">
        <v>2026</v>
      </c>
      <c r="F721" s="16" t="s">
        <v>2586</v>
      </c>
      <c r="G721" s="16" t="s">
        <v>35</v>
      </c>
      <c r="H721" s="16" t="s">
        <v>185</v>
      </c>
      <c r="I721" s="16" t="s">
        <v>8100</v>
      </c>
      <c r="J721" s="16" t="s">
        <v>123</v>
      </c>
    </row>
    <row r="722" spans="1:10" ht="133" x14ac:dyDescent="0.2">
      <c r="A722" s="16" t="s">
        <v>2587</v>
      </c>
      <c r="B722" s="17" t="s">
        <v>80</v>
      </c>
      <c r="C722" s="16" t="s">
        <v>2588</v>
      </c>
      <c r="D722" s="16" t="s">
        <v>2589</v>
      </c>
      <c r="E722" s="17">
        <v>2026</v>
      </c>
      <c r="F722" s="16" t="s">
        <v>2590</v>
      </c>
      <c r="G722" s="16" t="s">
        <v>35</v>
      </c>
      <c r="H722" s="16" t="s">
        <v>148</v>
      </c>
      <c r="I722" s="16" t="s">
        <v>8101</v>
      </c>
      <c r="J722" s="16" t="s">
        <v>123</v>
      </c>
    </row>
    <row r="723" spans="1:10" ht="171" x14ac:dyDescent="0.2">
      <c r="A723" s="16" t="s">
        <v>2591</v>
      </c>
      <c r="B723" s="17" t="s">
        <v>80</v>
      </c>
      <c r="C723" s="16" t="s">
        <v>2592</v>
      </c>
      <c r="D723" s="16" t="s">
        <v>2593</v>
      </c>
      <c r="E723" s="17">
        <v>2026</v>
      </c>
      <c r="F723" s="16" t="s">
        <v>2594</v>
      </c>
      <c r="G723" s="16" t="s">
        <v>35</v>
      </c>
      <c r="H723" s="16" t="s">
        <v>148</v>
      </c>
      <c r="I723" s="16" t="s">
        <v>8102</v>
      </c>
      <c r="J723" s="16" t="s">
        <v>123</v>
      </c>
    </row>
    <row r="724" spans="1:10" ht="171" x14ac:dyDescent="0.2">
      <c r="A724" s="16" t="s">
        <v>2595</v>
      </c>
      <c r="B724" s="17" t="s">
        <v>80</v>
      </c>
      <c r="C724" s="16" t="s">
        <v>2596</v>
      </c>
      <c r="D724" s="16" t="s">
        <v>2597</v>
      </c>
      <c r="E724" s="17">
        <v>2026</v>
      </c>
      <c r="F724" s="16" t="s">
        <v>2598</v>
      </c>
      <c r="G724" s="16" t="s">
        <v>35</v>
      </c>
      <c r="H724" s="16" t="s">
        <v>148</v>
      </c>
      <c r="I724" s="16" t="s">
        <v>8103</v>
      </c>
      <c r="J724" s="16" t="s">
        <v>123</v>
      </c>
    </row>
    <row r="725" spans="1:10" ht="152" x14ac:dyDescent="0.2">
      <c r="A725" s="16" t="s">
        <v>2599</v>
      </c>
      <c r="B725" s="17" t="s">
        <v>80</v>
      </c>
      <c r="C725" s="16" t="s">
        <v>2600</v>
      </c>
      <c r="D725" s="16" t="s">
        <v>2601</v>
      </c>
      <c r="E725" s="17">
        <v>2026</v>
      </c>
      <c r="F725" s="16" t="s">
        <v>2602</v>
      </c>
      <c r="G725" s="16" t="s">
        <v>35</v>
      </c>
      <c r="H725" s="16" t="s">
        <v>148</v>
      </c>
      <c r="I725" s="16" t="s">
        <v>8104</v>
      </c>
      <c r="J725" s="16" t="s">
        <v>123</v>
      </c>
    </row>
    <row r="726" spans="1:10" ht="133" x14ac:dyDescent="0.2">
      <c r="A726" s="16" t="s">
        <v>2603</v>
      </c>
      <c r="B726" s="17" t="s">
        <v>80</v>
      </c>
      <c r="C726" s="16" t="s">
        <v>2604</v>
      </c>
      <c r="D726" s="16" t="s">
        <v>2605</v>
      </c>
      <c r="E726" s="17">
        <v>2026</v>
      </c>
      <c r="F726" s="16" t="s">
        <v>2606</v>
      </c>
      <c r="G726" s="16" t="s">
        <v>35</v>
      </c>
      <c r="H726" s="16" t="s">
        <v>148</v>
      </c>
      <c r="I726" s="16" t="s">
        <v>8105</v>
      </c>
      <c r="J726" s="16" t="s">
        <v>123</v>
      </c>
    </row>
    <row r="727" spans="1:10" ht="152" x14ac:dyDescent="0.2">
      <c r="A727" s="16" t="s">
        <v>2607</v>
      </c>
      <c r="B727" s="17" t="s">
        <v>80</v>
      </c>
      <c r="C727" s="16" t="s">
        <v>2608</v>
      </c>
      <c r="D727" s="16" t="s">
        <v>2609</v>
      </c>
      <c r="E727" s="17">
        <v>2026</v>
      </c>
      <c r="F727" s="16" t="s">
        <v>2610</v>
      </c>
      <c r="G727" s="16" t="s">
        <v>35</v>
      </c>
      <c r="H727" s="16" t="s">
        <v>185</v>
      </c>
      <c r="I727" s="16" t="s">
        <v>8106</v>
      </c>
      <c r="J727" s="16" t="s">
        <v>123</v>
      </c>
    </row>
    <row r="728" spans="1:10" ht="133" x14ac:dyDescent="0.2">
      <c r="A728" s="16" t="s">
        <v>2611</v>
      </c>
      <c r="B728" s="17" t="s">
        <v>80</v>
      </c>
      <c r="C728" s="16" t="s">
        <v>2612</v>
      </c>
      <c r="D728" s="16" t="s">
        <v>2613</v>
      </c>
      <c r="E728" s="17">
        <v>2026</v>
      </c>
      <c r="F728" s="16" t="s">
        <v>2614</v>
      </c>
      <c r="G728" s="16" t="s">
        <v>35</v>
      </c>
      <c r="H728" s="16" t="s">
        <v>148</v>
      </c>
      <c r="I728" s="16" t="s">
        <v>8107</v>
      </c>
      <c r="J728" s="16" t="s">
        <v>123</v>
      </c>
    </row>
    <row r="729" spans="1:10" ht="133" x14ac:dyDescent="0.2">
      <c r="A729" s="16" t="s">
        <v>2615</v>
      </c>
      <c r="B729" s="17" t="s">
        <v>80</v>
      </c>
      <c r="C729" s="16" t="s">
        <v>2616</v>
      </c>
      <c r="D729" s="16" t="s">
        <v>2617</v>
      </c>
      <c r="E729" s="17">
        <v>2026</v>
      </c>
      <c r="F729" s="16" t="s">
        <v>2618</v>
      </c>
      <c r="G729" s="16" t="s">
        <v>35</v>
      </c>
      <c r="H729" s="16" t="s">
        <v>148</v>
      </c>
      <c r="I729" s="16" t="s">
        <v>8108</v>
      </c>
      <c r="J729" s="16" t="s">
        <v>123</v>
      </c>
    </row>
    <row r="730" spans="1:10" ht="133" x14ac:dyDescent="0.2">
      <c r="A730" s="16" t="s">
        <v>2619</v>
      </c>
      <c r="B730" s="17" t="s">
        <v>80</v>
      </c>
      <c r="C730" s="16" t="s">
        <v>2620</v>
      </c>
      <c r="D730" s="16" t="s">
        <v>2621</v>
      </c>
      <c r="E730" s="17">
        <v>2026</v>
      </c>
      <c r="F730" s="16" t="s">
        <v>2622</v>
      </c>
      <c r="G730" s="16" t="s">
        <v>35</v>
      </c>
      <c r="H730" s="16" t="s">
        <v>185</v>
      </c>
      <c r="I730" s="16" t="s">
        <v>8109</v>
      </c>
      <c r="J730" s="16" t="s">
        <v>123</v>
      </c>
    </row>
    <row r="731" spans="1:10" ht="114" x14ac:dyDescent="0.2">
      <c r="A731" s="16" t="s">
        <v>2623</v>
      </c>
      <c r="B731" s="17" t="s">
        <v>80</v>
      </c>
      <c r="C731" s="16" t="s">
        <v>2624</v>
      </c>
      <c r="D731" s="16" t="s">
        <v>2625</v>
      </c>
      <c r="E731" s="17">
        <v>2026</v>
      </c>
      <c r="F731" s="16" t="s">
        <v>2626</v>
      </c>
      <c r="G731" s="16" t="s">
        <v>35</v>
      </c>
      <c r="H731" s="16" t="s">
        <v>148</v>
      </c>
      <c r="I731" s="16" t="s">
        <v>8110</v>
      </c>
      <c r="J731" s="16" t="s">
        <v>123</v>
      </c>
    </row>
    <row r="732" spans="1:10" ht="114" x14ac:dyDescent="0.2">
      <c r="A732" s="16" t="s">
        <v>2627</v>
      </c>
      <c r="B732" s="17" t="s">
        <v>80</v>
      </c>
      <c r="C732" s="16" t="s">
        <v>2628</v>
      </c>
      <c r="D732" s="16" t="s">
        <v>2629</v>
      </c>
      <c r="E732" s="17">
        <v>2026</v>
      </c>
      <c r="F732" s="16" t="s">
        <v>2630</v>
      </c>
      <c r="G732" s="16" t="s">
        <v>35</v>
      </c>
      <c r="H732" s="16" t="s">
        <v>277</v>
      </c>
      <c r="I732" s="16" t="s">
        <v>8111</v>
      </c>
      <c r="J732" s="16" t="s">
        <v>186</v>
      </c>
    </row>
    <row r="733" spans="1:10" ht="133" x14ac:dyDescent="0.2">
      <c r="A733" s="16" t="s">
        <v>2631</v>
      </c>
      <c r="B733" s="17" t="s">
        <v>80</v>
      </c>
      <c r="C733" s="16" t="s">
        <v>2632</v>
      </c>
      <c r="D733" s="16" t="s">
        <v>2633</v>
      </c>
      <c r="E733" s="17">
        <v>2026</v>
      </c>
      <c r="F733" s="16" t="s">
        <v>2634</v>
      </c>
      <c r="G733" s="16" t="s">
        <v>35</v>
      </c>
      <c r="H733" s="16" t="s">
        <v>148</v>
      </c>
      <c r="I733" s="16" t="s">
        <v>8112</v>
      </c>
      <c r="J733" s="16" t="s">
        <v>123</v>
      </c>
    </row>
    <row r="734" spans="1:10" ht="171" x14ac:dyDescent="0.2">
      <c r="A734" s="16" t="s">
        <v>2635</v>
      </c>
      <c r="B734" s="17" t="s">
        <v>80</v>
      </c>
      <c r="C734" s="16" t="s">
        <v>2636</v>
      </c>
      <c r="D734" s="16" t="s">
        <v>2637</v>
      </c>
      <c r="E734" s="17">
        <v>2026</v>
      </c>
      <c r="F734" s="16" t="s">
        <v>2638</v>
      </c>
      <c r="G734" s="16" t="s">
        <v>35</v>
      </c>
      <c r="H734" s="16" t="s">
        <v>185</v>
      </c>
      <c r="I734" s="16" t="s">
        <v>8113</v>
      </c>
      <c r="J734" s="16" t="s">
        <v>123</v>
      </c>
    </row>
    <row r="735" spans="1:10" ht="152" x14ac:dyDescent="0.2">
      <c r="A735" s="16" t="s">
        <v>2639</v>
      </c>
      <c r="B735" s="17" t="s">
        <v>80</v>
      </c>
      <c r="C735" s="16" t="s">
        <v>2640</v>
      </c>
      <c r="D735" s="16" t="s">
        <v>2641</v>
      </c>
      <c r="E735" s="17">
        <v>2026</v>
      </c>
      <c r="F735" s="16" t="s">
        <v>2642</v>
      </c>
      <c r="G735" s="16" t="s">
        <v>35</v>
      </c>
      <c r="H735" s="16" t="s">
        <v>148</v>
      </c>
      <c r="I735" s="16" t="s">
        <v>8114</v>
      </c>
      <c r="J735" s="16" t="s">
        <v>123</v>
      </c>
    </row>
    <row r="736" spans="1:10" ht="152" x14ac:dyDescent="0.2">
      <c r="A736" s="16" t="s">
        <v>2643</v>
      </c>
      <c r="B736" s="17" t="s">
        <v>80</v>
      </c>
      <c r="C736" s="16" t="s">
        <v>2644</v>
      </c>
      <c r="D736" s="16" t="s">
        <v>2645</v>
      </c>
      <c r="E736" s="17">
        <v>2026</v>
      </c>
      <c r="F736" s="16" t="s">
        <v>2646</v>
      </c>
      <c r="G736" s="16" t="s">
        <v>35</v>
      </c>
      <c r="H736" s="16" t="s">
        <v>148</v>
      </c>
      <c r="I736" s="16" t="s">
        <v>8115</v>
      </c>
      <c r="J736" s="16" t="s">
        <v>123</v>
      </c>
    </row>
    <row r="737" spans="1:10" ht="133" x14ac:dyDescent="0.2">
      <c r="A737" s="16" t="s">
        <v>2647</v>
      </c>
      <c r="B737" s="17" t="s">
        <v>80</v>
      </c>
      <c r="C737" s="16" t="s">
        <v>2648</v>
      </c>
      <c r="D737" s="16" t="s">
        <v>2649</v>
      </c>
      <c r="E737" s="17">
        <v>2026</v>
      </c>
      <c r="F737" s="16" t="s">
        <v>2650</v>
      </c>
      <c r="G737" s="16" t="s">
        <v>35</v>
      </c>
      <c r="H737" s="16" t="s">
        <v>148</v>
      </c>
      <c r="I737" s="16" t="s">
        <v>8116</v>
      </c>
      <c r="J737" s="16" t="s">
        <v>123</v>
      </c>
    </row>
    <row r="738" spans="1:10" ht="152" x14ac:dyDescent="0.2">
      <c r="A738" s="16" t="s">
        <v>2651</v>
      </c>
      <c r="B738" s="17" t="s">
        <v>80</v>
      </c>
      <c r="C738" s="16" t="s">
        <v>2652</v>
      </c>
      <c r="D738" s="16" t="s">
        <v>2653</v>
      </c>
      <c r="E738" s="17">
        <v>2026</v>
      </c>
      <c r="F738" s="16" t="s">
        <v>2654</v>
      </c>
      <c r="G738" s="16" t="s">
        <v>35</v>
      </c>
      <c r="H738" s="16" t="s">
        <v>148</v>
      </c>
      <c r="I738" s="16" t="s">
        <v>8117</v>
      </c>
      <c r="J738" s="16" t="s">
        <v>123</v>
      </c>
    </row>
    <row r="739" spans="1:10" ht="133" x14ac:dyDescent="0.2">
      <c r="A739" s="16" t="s">
        <v>2655</v>
      </c>
      <c r="B739" s="17" t="s">
        <v>80</v>
      </c>
      <c r="C739" s="16" t="s">
        <v>2656</v>
      </c>
      <c r="D739" s="16" t="s">
        <v>2657</v>
      </c>
      <c r="E739" s="17">
        <v>2026</v>
      </c>
      <c r="F739" s="16" t="s">
        <v>2658</v>
      </c>
      <c r="G739" s="16" t="s">
        <v>35</v>
      </c>
      <c r="H739" s="16" t="s">
        <v>148</v>
      </c>
      <c r="I739" s="16" t="s">
        <v>8118</v>
      </c>
      <c r="J739" s="16" t="s">
        <v>123</v>
      </c>
    </row>
    <row r="740" spans="1:10" ht="133" x14ac:dyDescent="0.2">
      <c r="A740" s="18" t="s">
        <v>2659</v>
      </c>
      <c r="B740" s="19" t="s">
        <v>80</v>
      </c>
      <c r="C740" s="18" t="s">
        <v>2628</v>
      </c>
      <c r="D740" s="18" t="s">
        <v>2629</v>
      </c>
      <c r="E740" s="19">
        <v>2026</v>
      </c>
      <c r="F740" s="18" t="s">
        <v>2660</v>
      </c>
      <c r="G740" s="18" t="s">
        <v>8119</v>
      </c>
      <c r="H740" s="18" t="s">
        <v>165</v>
      </c>
      <c r="I740" s="18" t="s">
        <v>8120</v>
      </c>
      <c r="J740" s="18" t="s">
        <v>2661</v>
      </c>
    </row>
    <row r="741" spans="1:10" ht="76" x14ac:dyDescent="0.2">
      <c r="A741" s="18" t="s">
        <v>2662</v>
      </c>
      <c r="B741" s="19" t="s">
        <v>80</v>
      </c>
      <c r="C741" s="18" t="s">
        <v>2546</v>
      </c>
      <c r="D741" s="18" t="s">
        <v>2547</v>
      </c>
      <c r="E741" s="19">
        <v>2026</v>
      </c>
      <c r="F741" s="18" t="s">
        <v>2663</v>
      </c>
      <c r="G741" s="18" t="s">
        <v>8121</v>
      </c>
      <c r="H741" s="18" t="s">
        <v>165</v>
      </c>
      <c r="I741" s="18" t="s">
        <v>8122</v>
      </c>
      <c r="J741" s="18" t="s">
        <v>2664</v>
      </c>
    </row>
    <row r="742" spans="1:10" ht="133" x14ac:dyDescent="0.2">
      <c r="A742" s="16" t="s">
        <v>2665</v>
      </c>
      <c r="B742" s="17" t="s">
        <v>80</v>
      </c>
      <c r="C742" s="16" t="s">
        <v>2666</v>
      </c>
      <c r="D742" s="16" t="s">
        <v>2667</v>
      </c>
      <c r="E742" s="17">
        <v>2026</v>
      </c>
      <c r="F742" s="16" t="s">
        <v>2668</v>
      </c>
      <c r="G742" s="16" t="s">
        <v>35</v>
      </c>
      <c r="H742" s="16" t="s">
        <v>148</v>
      </c>
      <c r="I742" s="16" t="s">
        <v>8123</v>
      </c>
      <c r="J742" s="16" t="s">
        <v>123</v>
      </c>
    </row>
    <row r="743" spans="1:10" ht="76" x14ac:dyDescent="0.2">
      <c r="A743" s="16" t="s">
        <v>2669</v>
      </c>
      <c r="B743" s="17" t="s">
        <v>80</v>
      </c>
      <c r="C743" s="16" t="s">
        <v>583</v>
      </c>
      <c r="D743" s="16" t="s">
        <v>2670</v>
      </c>
      <c r="E743" s="17" t="s">
        <v>583</v>
      </c>
      <c r="F743" s="16" t="s">
        <v>2671</v>
      </c>
      <c r="G743" s="16" t="s">
        <v>35</v>
      </c>
      <c r="H743" s="16" t="s">
        <v>185</v>
      </c>
      <c r="I743" s="16" t="s">
        <v>8124</v>
      </c>
      <c r="J743" s="16" t="s">
        <v>186</v>
      </c>
    </row>
    <row r="744" spans="1:10" ht="152" x14ac:dyDescent="0.2">
      <c r="A744" s="16" t="s">
        <v>2672</v>
      </c>
      <c r="B744" s="17" t="s">
        <v>80</v>
      </c>
      <c r="C744" s="16" t="s">
        <v>2673</v>
      </c>
      <c r="D744" s="16" t="s">
        <v>2674</v>
      </c>
      <c r="E744" s="17">
        <v>2026</v>
      </c>
      <c r="F744" s="16" t="s">
        <v>2675</v>
      </c>
      <c r="G744" s="16" t="s">
        <v>35</v>
      </c>
      <c r="H744" s="16" t="s">
        <v>185</v>
      </c>
      <c r="I744" s="16" t="s">
        <v>8125</v>
      </c>
      <c r="J744" s="16" t="s">
        <v>123</v>
      </c>
    </row>
    <row r="745" spans="1:10" ht="76" x14ac:dyDescent="0.2">
      <c r="A745" s="16" t="s">
        <v>2676</v>
      </c>
      <c r="B745" s="17" t="s">
        <v>80</v>
      </c>
      <c r="C745" s="16" t="s">
        <v>583</v>
      </c>
      <c r="D745" s="16" t="s">
        <v>2677</v>
      </c>
      <c r="E745" s="17" t="s">
        <v>583</v>
      </c>
      <c r="F745" s="16" t="s">
        <v>2678</v>
      </c>
      <c r="G745" s="16" t="s">
        <v>35</v>
      </c>
      <c r="H745" s="16" t="s">
        <v>271</v>
      </c>
      <c r="I745" s="16" t="s">
        <v>8126</v>
      </c>
      <c r="J745" s="16" t="s">
        <v>186</v>
      </c>
    </row>
    <row r="746" spans="1:10" ht="152" x14ac:dyDescent="0.2">
      <c r="A746" s="16" t="s">
        <v>2679</v>
      </c>
      <c r="B746" s="17" t="s">
        <v>83</v>
      </c>
      <c r="C746" s="16" t="s">
        <v>2680</v>
      </c>
      <c r="D746" s="16" t="s">
        <v>2681</v>
      </c>
      <c r="E746" s="17">
        <v>2026</v>
      </c>
      <c r="F746" s="16" t="s">
        <v>2682</v>
      </c>
      <c r="G746" s="16" t="s">
        <v>35</v>
      </c>
      <c r="H746" s="16" t="s">
        <v>148</v>
      </c>
      <c r="I746" s="16" t="s">
        <v>8127</v>
      </c>
      <c r="J746" s="16" t="s">
        <v>123</v>
      </c>
    </row>
    <row r="747" spans="1:10" ht="133" x14ac:dyDescent="0.2">
      <c r="A747" s="16" t="s">
        <v>2683</v>
      </c>
      <c r="B747" s="17" t="s">
        <v>83</v>
      </c>
      <c r="C747" s="16" t="s">
        <v>2684</v>
      </c>
      <c r="D747" s="16" t="s">
        <v>2685</v>
      </c>
      <c r="E747" s="17">
        <v>2026</v>
      </c>
      <c r="F747" s="16" t="s">
        <v>2686</v>
      </c>
      <c r="G747" s="16" t="s">
        <v>35</v>
      </c>
      <c r="H747" s="16" t="s">
        <v>185</v>
      </c>
      <c r="I747" s="16" t="s">
        <v>8128</v>
      </c>
      <c r="J747" s="16" t="s">
        <v>123</v>
      </c>
    </row>
    <row r="748" spans="1:10" ht="152" x14ac:dyDescent="0.2">
      <c r="A748" s="16" t="s">
        <v>2687</v>
      </c>
      <c r="B748" s="17" t="s">
        <v>83</v>
      </c>
      <c r="C748" s="16" t="s">
        <v>2688</v>
      </c>
      <c r="D748" s="16" t="s">
        <v>2689</v>
      </c>
      <c r="E748" s="17">
        <v>2026</v>
      </c>
      <c r="F748" s="16" t="s">
        <v>2690</v>
      </c>
      <c r="G748" s="16" t="s">
        <v>35</v>
      </c>
      <c r="H748" s="16" t="s">
        <v>185</v>
      </c>
      <c r="I748" s="16" t="s">
        <v>8129</v>
      </c>
      <c r="J748" s="16" t="s">
        <v>123</v>
      </c>
    </row>
    <row r="749" spans="1:10" ht="171" x14ac:dyDescent="0.2">
      <c r="A749" s="16" t="s">
        <v>2691</v>
      </c>
      <c r="B749" s="17" t="s">
        <v>83</v>
      </c>
      <c r="C749" s="16" t="s">
        <v>2692</v>
      </c>
      <c r="D749" s="16" t="s">
        <v>2693</v>
      </c>
      <c r="E749" s="17">
        <v>2026</v>
      </c>
      <c r="F749" s="16" t="s">
        <v>2694</v>
      </c>
      <c r="G749" s="16" t="s">
        <v>35</v>
      </c>
      <c r="H749" s="16" t="s">
        <v>148</v>
      </c>
      <c r="I749" s="16" t="s">
        <v>8130</v>
      </c>
      <c r="J749" s="16" t="s">
        <v>123</v>
      </c>
    </row>
    <row r="750" spans="1:10" ht="152" x14ac:dyDescent="0.2">
      <c r="A750" s="16" t="s">
        <v>2695</v>
      </c>
      <c r="B750" s="17" t="s">
        <v>83</v>
      </c>
      <c r="C750" s="16" t="s">
        <v>2696</v>
      </c>
      <c r="D750" s="16" t="s">
        <v>2697</v>
      </c>
      <c r="E750" s="17">
        <v>2026</v>
      </c>
      <c r="F750" s="16" t="s">
        <v>2698</v>
      </c>
      <c r="G750" s="16" t="s">
        <v>35</v>
      </c>
      <c r="H750" s="16" t="s">
        <v>185</v>
      </c>
      <c r="I750" s="16" t="s">
        <v>8131</v>
      </c>
      <c r="J750" s="16" t="s">
        <v>123</v>
      </c>
    </row>
    <row r="751" spans="1:10" ht="152" x14ac:dyDescent="0.2">
      <c r="A751" s="16" t="s">
        <v>2699</v>
      </c>
      <c r="B751" s="17" t="s">
        <v>83</v>
      </c>
      <c r="C751" s="16" t="s">
        <v>2700</v>
      </c>
      <c r="D751" s="16" t="s">
        <v>2701</v>
      </c>
      <c r="E751" s="17">
        <v>2026</v>
      </c>
      <c r="F751" s="16" t="s">
        <v>2702</v>
      </c>
      <c r="G751" s="16" t="s">
        <v>35</v>
      </c>
      <c r="H751" s="16" t="s">
        <v>148</v>
      </c>
      <c r="I751" s="16" t="s">
        <v>8132</v>
      </c>
      <c r="J751" s="16" t="s">
        <v>123</v>
      </c>
    </row>
    <row r="752" spans="1:10" ht="133" x14ac:dyDescent="0.2">
      <c r="A752" s="16" t="s">
        <v>2703</v>
      </c>
      <c r="B752" s="17" t="s">
        <v>83</v>
      </c>
      <c r="C752" s="16" t="s">
        <v>2704</v>
      </c>
      <c r="D752" s="16" t="s">
        <v>2705</v>
      </c>
      <c r="E752" s="17">
        <v>2026</v>
      </c>
      <c r="F752" s="16" t="s">
        <v>2706</v>
      </c>
      <c r="G752" s="16" t="s">
        <v>35</v>
      </c>
      <c r="H752" s="16" t="s">
        <v>148</v>
      </c>
      <c r="I752" s="16" t="s">
        <v>8133</v>
      </c>
      <c r="J752" s="16" t="s">
        <v>123</v>
      </c>
    </row>
    <row r="753" spans="1:10" ht="76" x14ac:dyDescent="0.2">
      <c r="A753" s="18" t="s">
        <v>2707</v>
      </c>
      <c r="B753" s="19" t="s">
        <v>83</v>
      </c>
      <c r="C753" s="18" t="s">
        <v>2546</v>
      </c>
      <c r="D753" s="18" t="s">
        <v>2547</v>
      </c>
      <c r="E753" s="19">
        <v>2026</v>
      </c>
      <c r="F753" s="18" t="s">
        <v>2708</v>
      </c>
      <c r="G753" s="18" t="s">
        <v>8121</v>
      </c>
      <c r="H753" s="18" t="s">
        <v>165</v>
      </c>
      <c r="I753" s="18" t="s">
        <v>8134</v>
      </c>
      <c r="J753" s="18" t="s">
        <v>2664</v>
      </c>
    </row>
    <row r="754" spans="1:10" ht="228" x14ac:dyDescent="0.2">
      <c r="A754" s="14" t="s">
        <v>2709</v>
      </c>
      <c r="B754" s="15" t="s">
        <v>94</v>
      </c>
      <c r="C754" s="14" t="s">
        <v>2710</v>
      </c>
      <c r="D754" s="14" t="s">
        <v>2711</v>
      </c>
      <c r="E754" s="15">
        <v>2026</v>
      </c>
      <c r="F754" s="14" t="s">
        <v>2712</v>
      </c>
      <c r="G754" s="14" t="s">
        <v>8135</v>
      </c>
      <c r="H754" s="14"/>
      <c r="I754" s="14" t="s">
        <v>8136</v>
      </c>
      <c r="J754" s="14" t="s">
        <v>123</v>
      </c>
    </row>
    <row r="755" spans="1:10" ht="133" x14ac:dyDescent="0.2">
      <c r="A755" s="16" t="s">
        <v>2713</v>
      </c>
      <c r="B755" s="17" t="s">
        <v>94</v>
      </c>
      <c r="C755" s="16" t="s">
        <v>2714</v>
      </c>
      <c r="D755" s="16" t="s">
        <v>2715</v>
      </c>
      <c r="E755" s="17">
        <v>2026</v>
      </c>
      <c r="F755" s="16" t="s">
        <v>2716</v>
      </c>
      <c r="G755" s="16" t="s">
        <v>35</v>
      </c>
      <c r="H755" s="16" t="s">
        <v>148</v>
      </c>
      <c r="I755" s="16" t="s">
        <v>8137</v>
      </c>
      <c r="J755" s="16" t="s">
        <v>123</v>
      </c>
    </row>
    <row r="756" spans="1:10" ht="228" x14ac:dyDescent="0.2">
      <c r="A756" s="16" t="s">
        <v>2717</v>
      </c>
      <c r="B756" s="17" t="s">
        <v>94</v>
      </c>
      <c r="C756" s="16" t="s">
        <v>2718</v>
      </c>
      <c r="D756" s="16" t="s">
        <v>2719</v>
      </c>
      <c r="E756" s="17">
        <v>2026</v>
      </c>
      <c r="F756" s="16" t="s">
        <v>2720</v>
      </c>
      <c r="G756" s="16" t="s">
        <v>35</v>
      </c>
      <c r="H756" s="16" t="s">
        <v>148</v>
      </c>
      <c r="I756" s="16" t="s">
        <v>8138</v>
      </c>
      <c r="J756" s="16" t="s">
        <v>123</v>
      </c>
    </row>
    <row r="757" spans="1:10" ht="209" x14ac:dyDescent="0.2">
      <c r="A757" s="16" t="s">
        <v>2721</v>
      </c>
      <c r="B757" s="17" t="s">
        <v>94</v>
      </c>
      <c r="C757" s="16" t="s">
        <v>2722</v>
      </c>
      <c r="D757" s="16" t="s">
        <v>2723</v>
      </c>
      <c r="E757" s="17">
        <v>2026</v>
      </c>
      <c r="F757" s="16" t="s">
        <v>2724</v>
      </c>
      <c r="G757" s="16" t="s">
        <v>35</v>
      </c>
      <c r="H757" s="16" t="s">
        <v>148</v>
      </c>
      <c r="I757" s="16" t="s">
        <v>8139</v>
      </c>
      <c r="J757" s="16" t="s">
        <v>123</v>
      </c>
    </row>
    <row r="758" spans="1:10" ht="152" x14ac:dyDescent="0.2">
      <c r="A758" s="16" t="s">
        <v>2725</v>
      </c>
      <c r="B758" s="17" t="s">
        <v>94</v>
      </c>
      <c r="C758" s="16" t="s">
        <v>2726</v>
      </c>
      <c r="D758" s="16" t="s">
        <v>2727</v>
      </c>
      <c r="E758" s="17">
        <v>2026</v>
      </c>
      <c r="F758" s="16" t="s">
        <v>2728</v>
      </c>
      <c r="G758" s="16" t="s">
        <v>35</v>
      </c>
      <c r="H758" s="16" t="s">
        <v>148</v>
      </c>
      <c r="I758" s="16" t="s">
        <v>8140</v>
      </c>
      <c r="J758" s="16" t="s">
        <v>123</v>
      </c>
    </row>
    <row r="759" spans="1:10" ht="285" x14ac:dyDescent="0.2">
      <c r="A759" s="14" t="s">
        <v>2729</v>
      </c>
      <c r="B759" s="15" t="s">
        <v>94</v>
      </c>
      <c r="C759" s="14" t="s">
        <v>2730</v>
      </c>
      <c r="D759" s="14" t="s">
        <v>2731</v>
      </c>
      <c r="E759" s="15">
        <v>2026</v>
      </c>
      <c r="F759" s="14" t="s">
        <v>2732</v>
      </c>
      <c r="G759" s="14" t="s">
        <v>8141</v>
      </c>
      <c r="H759" s="14"/>
      <c r="I759" s="14" t="s">
        <v>8142</v>
      </c>
      <c r="J759" s="14" t="s">
        <v>123</v>
      </c>
    </row>
    <row r="760" spans="1:10" ht="95" x14ac:dyDescent="0.2">
      <c r="A760" s="16" t="s">
        <v>2733</v>
      </c>
      <c r="B760" s="17" t="s">
        <v>94</v>
      </c>
      <c r="C760" s="16" t="s">
        <v>583</v>
      </c>
      <c r="D760" s="16" t="s">
        <v>2734</v>
      </c>
      <c r="E760" s="17" t="s">
        <v>583</v>
      </c>
      <c r="F760" s="16" t="s">
        <v>2735</v>
      </c>
      <c r="G760" s="16" t="s">
        <v>35</v>
      </c>
      <c r="H760" s="16" t="s">
        <v>185</v>
      </c>
      <c r="I760" s="16" t="s">
        <v>8143</v>
      </c>
      <c r="J760" s="16" t="s">
        <v>186</v>
      </c>
    </row>
    <row r="761" spans="1:10" ht="190" x14ac:dyDescent="0.2">
      <c r="A761" s="16" t="s">
        <v>2736</v>
      </c>
      <c r="B761" s="17" t="s">
        <v>97</v>
      </c>
      <c r="C761" s="16" t="s">
        <v>2737</v>
      </c>
      <c r="D761" s="16" t="s">
        <v>2738</v>
      </c>
      <c r="E761" s="17">
        <v>2025</v>
      </c>
      <c r="F761" s="16" t="s">
        <v>2739</v>
      </c>
      <c r="G761" s="16" t="s">
        <v>35</v>
      </c>
      <c r="H761" s="16" t="s">
        <v>185</v>
      </c>
      <c r="I761" s="16" t="s">
        <v>8144</v>
      </c>
      <c r="J761" s="16" t="s">
        <v>123</v>
      </c>
    </row>
    <row r="762" spans="1:10" ht="114" x14ac:dyDescent="0.2">
      <c r="A762" s="16" t="s">
        <v>2740</v>
      </c>
      <c r="B762" s="17" t="s">
        <v>97</v>
      </c>
      <c r="C762" s="16" t="s">
        <v>2741</v>
      </c>
      <c r="D762" s="16" t="s">
        <v>2742</v>
      </c>
      <c r="E762" s="17">
        <v>2025</v>
      </c>
      <c r="F762" s="16" t="s">
        <v>2743</v>
      </c>
      <c r="G762" s="16" t="s">
        <v>35</v>
      </c>
      <c r="H762" s="16" t="s">
        <v>148</v>
      </c>
      <c r="I762" s="16" t="s">
        <v>8145</v>
      </c>
      <c r="J762" s="16" t="s">
        <v>123</v>
      </c>
    </row>
    <row r="763" spans="1:10" ht="171" x14ac:dyDescent="0.2">
      <c r="A763" s="16" t="s">
        <v>2744</v>
      </c>
      <c r="B763" s="17" t="s">
        <v>97</v>
      </c>
      <c r="C763" s="16" t="s">
        <v>2745</v>
      </c>
      <c r="D763" s="16" t="s">
        <v>2746</v>
      </c>
      <c r="E763" s="17">
        <v>2026</v>
      </c>
      <c r="F763" s="16" t="s">
        <v>2747</v>
      </c>
      <c r="G763" s="16" t="s">
        <v>35</v>
      </c>
      <c r="H763" s="16" t="s">
        <v>148</v>
      </c>
      <c r="I763" s="16" t="s">
        <v>8146</v>
      </c>
      <c r="J763" s="16" t="s">
        <v>123</v>
      </c>
    </row>
    <row r="764" spans="1:10" ht="76" x14ac:dyDescent="0.2">
      <c r="A764" s="18" t="s">
        <v>2748</v>
      </c>
      <c r="B764" s="19" t="s">
        <v>97</v>
      </c>
      <c r="C764" s="18" t="s">
        <v>2580</v>
      </c>
      <c r="D764" s="18" t="s">
        <v>2581</v>
      </c>
      <c r="E764" s="19">
        <v>2025</v>
      </c>
      <c r="F764" s="18" t="s">
        <v>2749</v>
      </c>
      <c r="G764" s="18" t="s">
        <v>8147</v>
      </c>
      <c r="H764" s="18" t="s">
        <v>165</v>
      </c>
      <c r="I764" s="18" t="s">
        <v>8148</v>
      </c>
      <c r="J764" s="18" t="s">
        <v>2750</v>
      </c>
    </row>
    <row r="765" spans="1:10" ht="133" x14ac:dyDescent="0.2">
      <c r="A765" s="16" t="s">
        <v>2751</v>
      </c>
      <c r="B765" s="17" t="s">
        <v>97</v>
      </c>
      <c r="C765" s="16" t="s">
        <v>2752</v>
      </c>
      <c r="D765" s="16" t="s">
        <v>2753</v>
      </c>
      <c r="E765" s="17">
        <v>2026</v>
      </c>
      <c r="F765" s="16" t="s">
        <v>2754</v>
      </c>
      <c r="G765" s="16" t="s">
        <v>35</v>
      </c>
      <c r="H765" s="16" t="s">
        <v>148</v>
      </c>
      <c r="I765" s="16" t="s">
        <v>8149</v>
      </c>
      <c r="J765" s="16" t="s">
        <v>123</v>
      </c>
    </row>
    <row r="766" spans="1:10" ht="152" x14ac:dyDescent="0.2">
      <c r="A766" s="16" t="s">
        <v>2755</v>
      </c>
      <c r="B766" s="17" t="s">
        <v>97</v>
      </c>
      <c r="C766" s="16" t="s">
        <v>2756</v>
      </c>
      <c r="D766" s="16" t="s">
        <v>2757</v>
      </c>
      <c r="E766" s="17">
        <v>2025</v>
      </c>
      <c r="F766" s="16" t="s">
        <v>2758</v>
      </c>
      <c r="G766" s="16" t="s">
        <v>35</v>
      </c>
      <c r="H766" s="16" t="s">
        <v>185</v>
      </c>
      <c r="I766" s="16" t="s">
        <v>8150</v>
      </c>
      <c r="J766" s="16" t="s">
        <v>123</v>
      </c>
    </row>
    <row r="767" spans="1:10" ht="76" x14ac:dyDescent="0.2">
      <c r="A767" s="18" t="s">
        <v>2759</v>
      </c>
      <c r="B767" s="19" t="s">
        <v>97</v>
      </c>
      <c r="C767" s="18" t="s">
        <v>2760</v>
      </c>
      <c r="D767" s="18" t="s">
        <v>2761</v>
      </c>
      <c r="E767" s="19">
        <v>2026</v>
      </c>
      <c r="F767" s="18" t="s">
        <v>2762</v>
      </c>
      <c r="G767" s="18" t="s">
        <v>8151</v>
      </c>
      <c r="H767" s="18" t="s">
        <v>165</v>
      </c>
      <c r="I767" s="18" t="s">
        <v>8152</v>
      </c>
      <c r="J767" s="18" t="s">
        <v>2763</v>
      </c>
    </row>
    <row r="768" spans="1:10" ht="114" x14ac:dyDescent="0.2">
      <c r="A768" s="16" t="s">
        <v>2764</v>
      </c>
      <c r="B768" s="17" t="s">
        <v>97</v>
      </c>
      <c r="C768" s="16" t="s">
        <v>2765</v>
      </c>
      <c r="D768" s="16" t="s">
        <v>2766</v>
      </c>
      <c r="E768" s="17">
        <v>2025</v>
      </c>
      <c r="F768" s="16" t="s">
        <v>2767</v>
      </c>
      <c r="G768" s="16" t="s">
        <v>35</v>
      </c>
      <c r="H768" s="16" t="s">
        <v>148</v>
      </c>
      <c r="I768" s="16" t="s">
        <v>8153</v>
      </c>
      <c r="J768" s="16" t="s">
        <v>123</v>
      </c>
    </row>
    <row r="769" spans="1:10" ht="209" x14ac:dyDescent="0.2">
      <c r="A769" s="16" t="s">
        <v>2768</v>
      </c>
      <c r="B769" s="17" t="s">
        <v>97</v>
      </c>
      <c r="C769" s="16" t="s">
        <v>2769</v>
      </c>
      <c r="D769" s="16" t="s">
        <v>2770</v>
      </c>
      <c r="E769" s="17">
        <v>2026</v>
      </c>
      <c r="F769" s="16" t="s">
        <v>2771</v>
      </c>
      <c r="G769" s="16" t="s">
        <v>35</v>
      </c>
      <c r="H769" s="16" t="s">
        <v>148</v>
      </c>
      <c r="I769" s="16" t="s">
        <v>8154</v>
      </c>
      <c r="J769" s="16" t="s">
        <v>123</v>
      </c>
    </row>
    <row r="770" spans="1:10" ht="114" x14ac:dyDescent="0.2">
      <c r="A770" s="16" t="s">
        <v>2772</v>
      </c>
      <c r="B770" s="17" t="s">
        <v>97</v>
      </c>
      <c r="C770" s="16" t="s">
        <v>2760</v>
      </c>
      <c r="D770" s="16" t="s">
        <v>2761</v>
      </c>
      <c r="E770" s="17">
        <v>2026</v>
      </c>
      <c r="F770" s="16" t="s">
        <v>2773</v>
      </c>
      <c r="G770" s="16" t="s">
        <v>35</v>
      </c>
      <c r="H770" s="16" t="s">
        <v>148</v>
      </c>
      <c r="I770" s="16" t="s">
        <v>8155</v>
      </c>
      <c r="J770" s="16" t="s">
        <v>123</v>
      </c>
    </row>
    <row r="771" spans="1:10" ht="114" x14ac:dyDescent="0.2">
      <c r="A771" s="16" t="s">
        <v>2774</v>
      </c>
      <c r="B771" s="17" t="s">
        <v>97</v>
      </c>
      <c r="C771" s="16" t="s">
        <v>2775</v>
      </c>
      <c r="D771" s="16" t="s">
        <v>2776</v>
      </c>
      <c r="E771" s="17">
        <v>2026</v>
      </c>
      <c r="F771" s="16" t="s">
        <v>2777</v>
      </c>
      <c r="G771" s="16" t="s">
        <v>35</v>
      </c>
      <c r="H771" s="16" t="s">
        <v>185</v>
      </c>
      <c r="I771" s="16" t="s">
        <v>8156</v>
      </c>
      <c r="J771" s="16" t="s">
        <v>123</v>
      </c>
    </row>
    <row r="772" spans="1:10" ht="114" x14ac:dyDescent="0.2">
      <c r="A772" s="16" t="s">
        <v>2778</v>
      </c>
      <c r="B772" s="17" t="s">
        <v>97</v>
      </c>
      <c r="C772" s="16" t="s">
        <v>2779</v>
      </c>
      <c r="D772" s="16" t="s">
        <v>2780</v>
      </c>
      <c r="E772" s="17">
        <v>2026</v>
      </c>
      <c r="F772" s="16" t="s">
        <v>2781</v>
      </c>
      <c r="G772" s="16" t="s">
        <v>35</v>
      </c>
      <c r="H772" s="16" t="s">
        <v>185</v>
      </c>
      <c r="I772" s="16" t="s">
        <v>8157</v>
      </c>
      <c r="J772" s="16" t="s">
        <v>123</v>
      </c>
    </row>
    <row r="773" spans="1:10" ht="114" x14ac:dyDescent="0.2">
      <c r="A773" s="16" t="s">
        <v>2782</v>
      </c>
      <c r="B773" s="17" t="s">
        <v>97</v>
      </c>
      <c r="C773" s="16" t="s">
        <v>2783</v>
      </c>
      <c r="D773" s="16" t="s">
        <v>2784</v>
      </c>
      <c r="E773" s="17">
        <v>2026</v>
      </c>
      <c r="F773" s="16" t="s">
        <v>2785</v>
      </c>
      <c r="G773" s="16" t="s">
        <v>35</v>
      </c>
      <c r="H773" s="16" t="s">
        <v>148</v>
      </c>
      <c r="I773" s="16" t="s">
        <v>8158</v>
      </c>
      <c r="J773" s="16" t="s">
        <v>123</v>
      </c>
    </row>
    <row r="774" spans="1:10" ht="114" x14ac:dyDescent="0.2">
      <c r="A774" s="16" t="s">
        <v>2786</v>
      </c>
      <c r="B774" s="17" t="s">
        <v>97</v>
      </c>
      <c r="C774" s="16" t="s">
        <v>583</v>
      </c>
      <c r="D774" s="16" t="s">
        <v>2787</v>
      </c>
      <c r="E774" s="17">
        <v>2026</v>
      </c>
      <c r="F774" s="16" t="s">
        <v>2788</v>
      </c>
      <c r="G774" s="16" t="s">
        <v>35</v>
      </c>
      <c r="H774" s="16" t="s">
        <v>185</v>
      </c>
      <c r="I774" s="16" t="s">
        <v>8159</v>
      </c>
      <c r="J774" s="16" t="s">
        <v>186</v>
      </c>
    </row>
    <row r="775" spans="1:10" ht="114" x14ac:dyDescent="0.2">
      <c r="A775" s="16" t="s">
        <v>2789</v>
      </c>
      <c r="B775" s="17" t="s">
        <v>97</v>
      </c>
      <c r="C775" s="16" t="s">
        <v>2790</v>
      </c>
      <c r="D775" s="16" t="s">
        <v>2791</v>
      </c>
      <c r="E775" s="17">
        <v>2026</v>
      </c>
      <c r="F775" s="16" t="s">
        <v>2792</v>
      </c>
      <c r="G775" s="16" t="s">
        <v>35</v>
      </c>
      <c r="H775" s="16" t="s">
        <v>185</v>
      </c>
      <c r="I775" s="16" t="s">
        <v>8160</v>
      </c>
      <c r="J775" s="16" t="s">
        <v>123</v>
      </c>
    </row>
    <row r="776" spans="1:10" ht="76" x14ac:dyDescent="0.2">
      <c r="A776" s="18" t="s">
        <v>2793</v>
      </c>
      <c r="B776" s="19" t="s">
        <v>97</v>
      </c>
      <c r="C776" s="18" t="s">
        <v>2546</v>
      </c>
      <c r="D776" s="18" t="s">
        <v>2547</v>
      </c>
      <c r="E776" s="19">
        <v>2026</v>
      </c>
      <c r="F776" s="18" t="s">
        <v>2663</v>
      </c>
      <c r="G776" s="18" t="s">
        <v>8121</v>
      </c>
      <c r="H776" s="18" t="s">
        <v>165</v>
      </c>
      <c r="I776" s="18" t="s">
        <v>8161</v>
      </c>
      <c r="J776" s="18" t="s">
        <v>2664</v>
      </c>
    </row>
    <row r="777" spans="1:10" ht="133" x14ac:dyDescent="0.2">
      <c r="A777" s="16" t="s">
        <v>2794</v>
      </c>
      <c r="B777" s="17" t="s">
        <v>97</v>
      </c>
      <c r="C777" s="16" t="s">
        <v>2795</v>
      </c>
      <c r="D777" s="16" t="s">
        <v>2796</v>
      </c>
      <c r="E777" s="17">
        <v>2025</v>
      </c>
      <c r="F777" s="16" t="s">
        <v>2797</v>
      </c>
      <c r="G777" s="16" t="s">
        <v>35</v>
      </c>
      <c r="H777" s="16" t="s">
        <v>148</v>
      </c>
      <c r="I777" s="16" t="s">
        <v>8162</v>
      </c>
      <c r="J777" s="16" t="s">
        <v>123</v>
      </c>
    </row>
    <row r="778" spans="1:10" ht="76" x14ac:dyDescent="0.2">
      <c r="A778" s="18" t="s">
        <v>2798</v>
      </c>
      <c r="B778" s="19" t="s">
        <v>97</v>
      </c>
      <c r="C778" s="18" t="s">
        <v>2779</v>
      </c>
      <c r="D778" s="18" t="s">
        <v>2780</v>
      </c>
      <c r="E778" s="19">
        <v>2026</v>
      </c>
      <c r="F778" s="18" t="s">
        <v>2799</v>
      </c>
      <c r="G778" s="18" t="s">
        <v>8163</v>
      </c>
      <c r="H778" s="18" t="s">
        <v>165</v>
      </c>
      <c r="I778" s="18" t="s">
        <v>8164</v>
      </c>
      <c r="J778" s="18" t="s">
        <v>2800</v>
      </c>
    </row>
    <row r="779" spans="1:10" ht="95" x14ac:dyDescent="0.2">
      <c r="A779" s="18" t="s">
        <v>2801</v>
      </c>
      <c r="B779" s="19" t="s">
        <v>100</v>
      </c>
      <c r="C779" s="18" t="s">
        <v>927</v>
      </c>
      <c r="D779" s="18" t="s">
        <v>928</v>
      </c>
      <c r="E779" s="19">
        <v>2026</v>
      </c>
      <c r="F779" s="18" t="s">
        <v>2802</v>
      </c>
      <c r="G779" s="18" t="s">
        <v>8165</v>
      </c>
      <c r="H779" s="18" t="s">
        <v>165</v>
      </c>
      <c r="I779" s="18" t="s">
        <v>8166</v>
      </c>
      <c r="J779" s="18" t="s">
        <v>2803</v>
      </c>
    </row>
    <row r="780" spans="1:10" ht="190" x14ac:dyDescent="0.2">
      <c r="A780" s="16" t="s">
        <v>2804</v>
      </c>
      <c r="B780" s="17" t="s">
        <v>103</v>
      </c>
      <c r="C780" s="16" t="s">
        <v>2805</v>
      </c>
      <c r="D780" s="16" t="s">
        <v>2806</v>
      </c>
      <c r="E780" s="17">
        <v>2026</v>
      </c>
      <c r="F780" s="16" t="s">
        <v>2807</v>
      </c>
      <c r="G780" s="16" t="s">
        <v>35</v>
      </c>
      <c r="H780" s="16" t="s">
        <v>185</v>
      </c>
      <c r="I780" s="16" t="s">
        <v>8167</v>
      </c>
      <c r="J780" s="16" t="s">
        <v>123</v>
      </c>
    </row>
    <row r="781" spans="1:10" ht="209" x14ac:dyDescent="0.2">
      <c r="A781" s="16" t="s">
        <v>2808</v>
      </c>
      <c r="B781" s="17" t="s">
        <v>103</v>
      </c>
      <c r="C781" s="16" t="s">
        <v>2809</v>
      </c>
      <c r="D781" s="16" t="s">
        <v>2810</v>
      </c>
      <c r="E781" s="17">
        <v>2026</v>
      </c>
      <c r="F781" s="16" t="s">
        <v>2811</v>
      </c>
      <c r="G781" s="16" t="s">
        <v>35</v>
      </c>
      <c r="H781" s="16" t="s">
        <v>185</v>
      </c>
      <c r="I781" s="16" t="s">
        <v>8168</v>
      </c>
      <c r="J781" s="16" t="s">
        <v>123</v>
      </c>
    </row>
    <row r="782" spans="1:10" ht="228" x14ac:dyDescent="0.2">
      <c r="A782" s="16" t="s">
        <v>2812</v>
      </c>
      <c r="B782" s="17" t="s">
        <v>103</v>
      </c>
      <c r="C782" s="16" t="s">
        <v>2813</v>
      </c>
      <c r="D782" s="16" t="s">
        <v>2814</v>
      </c>
      <c r="E782" s="17">
        <v>2026</v>
      </c>
      <c r="F782" s="16" t="s">
        <v>2815</v>
      </c>
      <c r="G782" s="16" t="s">
        <v>35</v>
      </c>
      <c r="H782" s="16" t="s">
        <v>148</v>
      </c>
      <c r="I782" s="16" t="s">
        <v>8169</v>
      </c>
      <c r="J782" s="16"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0"/>
  <sheetViews>
    <sheetView workbookViewId="0">
      <pane xSplit="3" ySplit="1" topLeftCell="D4" activePane="bottomRight" state="frozen"/>
      <selection pane="topRight"/>
      <selection pane="bottomLeft"/>
      <selection pane="bottomRight" activeCell="D2" sqref="D2"/>
    </sheetView>
  </sheetViews>
  <sheetFormatPr baseColWidth="10" defaultColWidth="8.6640625" defaultRowHeight="15" x14ac:dyDescent="0.2"/>
  <cols>
    <col min="1" max="1" width="3.5" customWidth="1"/>
    <col min="2" max="2" width="6.1640625" customWidth="1"/>
    <col min="3" max="3" width="17.6640625" customWidth="1"/>
    <col min="4" max="4" width="26" customWidth="1"/>
    <col min="5" max="5" width="40" customWidth="1"/>
    <col min="6" max="6" width="6" customWidth="1"/>
    <col min="7" max="7" width="32" customWidth="1"/>
    <col min="8" max="8" width="45" customWidth="1"/>
    <col min="9" max="9" width="40" customWidth="1"/>
    <col min="10" max="10" width="45" customWidth="1"/>
    <col min="11" max="11" width="50" customWidth="1"/>
    <col min="12" max="12" width="7.1640625" customWidth="1"/>
    <col min="13" max="13" width="102.5" customWidth="1"/>
  </cols>
  <sheetData>
    <row r="1" spans="1:13" s="20" customFormat="1" ht="42" x14ac:dyDescent="0.25">
      <c r="A1" s="9" t="s">
        <v>2816</v>
      </c>
      <c r="B1" s="9" t="s">
        <v>2817</v>
      </c>
      <c r="C1" s="9" t="s">
        <v>2818</v>
      </c>
      <c r="D1" s="9" t="s">
        <v>28</v>
      </c>
      <c r="E1" s="9" t="s">
        <v>29</v>
      </c>
      <c r="F1" s="9" t="s">
        <v>30</v>
      </c>
      <c r="G1" s="9" t="s">
        <v>108</v>
      </c>
      <c r="H1" s="9" t="s">
        <v>2819</v>
      </c>
      <c r="I1" s="9" t="s">
        <v>2820</v>
      </c>
      <c r="J1" s="9" t="s">
        <v>2821</v>
      </c>
      <c r="K1" s="9" t="s">
        <v>2822</v>
      </c>
      <c r="L1" s="9" t="s">
        <v>2823</v>
      </c>
      <c r="M1" s="9" t="s">
        <v>2824</v>
      </c>
    </row>
    <row r="2" spans="1:13" ht="190" x14ac:dyDescent="0.2">
      <c r="A2" s="6">
        <v>1</v>
      </c>
      <c r="B2" s="6" t="s">
        <v>2825</v>
      </c>
      <c r="C2" s="5" t="s">
        <v>2826</v>
      </c>
      <c r="D2" s="5" t="s">
        <v>114</v>
      </c>
      <c r="E2" s="5" t="s">
        <v>115</v>
      </c>
      <c r="F2" s="6">
        <v>2025</v>
      </c>
      <c r="G2" s="5" t="s">
        <v>2827</v>
      </c>
      <c r="H2" s="5" t="s">
        <v>2828</v>
      </c>
      <c r="I2" s="5" t="s">
        <v>2829</v>
      </c>
      <c r="J2" s="5" t="s">
        <v>2830</v>
      </c>
      <c r="K2" s="5" t="s">
        <v>2831</v>
      </c>
      <c r="L2" s="6" t="s">
        <v>2832</v>
      </c>
      <c r="M2" s="5" t="s">
        <v>8170</v>
      </c>
    </row>
    <row r="3" spans="1:13" ht="209" x14ac:dyDescent="0.2">
      <c r="A3" s="6">
        <v>2</v>
      </c>
      <c r="B3" s="6" t="s">
        <v>2833</v>
      </c>
      <c r="C3" s="5" t="s">
        <v>2834</v>
      </c>
      <c r="D3" s="5" t="s">
        <v>125</v>
      </c>
      <c r="E3" s="5" t="s">
        <v>126</v>
      </c>
      <c r="F3" s="6">
        <v>2026</v>
      </c>
      <c r="G3" s="5" t="s">
        <v>2835</v>
      </c>
      <c r="H3" s="5" t="s">
        <v>2836</v>
      </c>
      <c r="I3" s="5" t="s">
        <v>2837</v>
      </c>
      <c r="J3" s="5" t="s">
        <v>2838</v>
      </c>
      <c r="K3" s="5" t="s">
        <v>2839</v>
      </c>
      <c r="L3" s="6" t="s">
        <v>2840</v>
      </c>
      <c r="M3" s="5" t="s">
        <v>8171</v>
      </c>
    </row>
    <row r="4" spans="1:13" ht="171" x14ac:dyDescent="0.2">
      <c r="A4" s="6">
        <v>3</v>
      </c>
      <c r="B4" s="6" t="s">
        <v>2841</v>
      </c>
      <c r="C4" s="5" t="s">
        <v>2842</v>
      </c>
      <c r="D4" s="5" t="s">
        <v>140</v>
      </c>
      <c r="E4" s="5" t="s">
        <v>141</v>
      </c>
      <c r="F4" s="6">
        <v>2026</v>
      </c>
      <c r="G4" s="5" t="s">
        <v>2843</v>
      </c>
      <c r="H4" s="5" t="s">
        <v>2844</v>
      </c>
      <c r="I4" s="5" t="s">
        <v>2845</v>
      </c>
      <c r="J4" s="5" t="s">
        <v>2846</v>
      </c>
      <c r="K4" s="5" t="s">
        <v>2847</v>
      </c>
      <c r="L4" s="6" t="s">
        <v>2848</v>
      </c>
      <c r="M4" s="5" t="s">
        <v>8172</v>
      </c>
    </row>
    <row r="5" spans="1:13" ht="190" x14ac:dyDescent="0.2">
      <c r="A5" s="6">
        <v>4</v>
      </c>
      <c r="B5" s="6" t="s">
        <v>2849</v>
      </c>
      <c r="C5" s="5" t="s">
        <v>2850</v>
      </c>
      <c r="D5" s="5" t="s">
        <v>150</v>
      </c>
      <c r="E5" s="5" t="s">
        <v>151</v>
      </c>
      <c r="F5" s="6">
        <v>2026</v>
      </c>
      <c r="G5" s="5" t="s">
        <v>2851</v>
      </c>
      <c r="H5" s="5" t="s">
        <v>2852</v>
      </c>
      <c r="I5" s="5" t="s">
        <v>2853</v>
      </c>
      <c r="J5" s="5" t="s">
        <v>2854</v>
      </c>
      <c r="K5" s="5" t="s">
        <v>2855</v>
      </c>
      <c r="L5" s="6" t="s">
        <v>2856</v>
      </c>
      <c r="M5" s="5" t="s">
        <v>8173</v>
      </c>
    </row>
    <row r="6" spans="1:13" ht="228" x14ac:dyDescent="0.2">
      <c r="A6" s="6">
        <v>5</v>
      </c>
      <c r="B6" s="6" t="s">
        <v>2857</v>
      </c>
      <c r="C6" s="5" t="s">
        <v>2858</v>
      </c>
      <c r="D6" s="5" t="s">
        <v>159</v>
      </c>
      <c r="E6" s="5" t="s">
        <v>160</v>
      </c>
      <c r="F6" s="6">
        <v>2026</v>
      </c>
      <c r="G6" s="5" t="s">
        <v>2859</v>
      </c>
      <c r="H6" s="5" t="s">
        <v>2860</v>
      </c>
      <c r="I6" s="5" t="s">
        <v>2861</v>
      </c>
      <c r="J6" s="5" t="s">
        <v>2862</v>
      </c>
      <c r="K6" s="5" t="s">
        <v>2863</v>
      </c>
      <c r="L6" s="6" t="s">
        <v>2864</v>
      </c>
      <c r="M6" s="5" t="s">
        <v>8174</v>
      </c>
    </row>
    <row r="7" spans="1:13" ht="190" x14ac:dyDescent="0.2">
      <c r="A7" s="6">
        <v>6</v>
      </c>
      <c r="B7" s="6" t="s">
        <v>2865</v>
      </c>
      <c r="C7" s="5" t="s">
        <v>2866</v>
      </c>
      <c r="D7" s="5" t="s">
        <v>172</v>
      </c>
      <c r="E7" s="5" t="s">
        <v>173</v>
      </c>
      <c r="F7" s="6">
        <v>2025</v>
      </c>
      <c r="G7" s="5" t="s">
        <v>2867</v>
      </c>
      <c r="H7" s="5" t="s">
        <v>2868</v>
      </c>
      <c r="I7" s="5" t="s">
        <v>2869</v>
      </c>
      <c r="J7" s="5" t="s">
        <v>2870</v>
      </c>
      <c r="K7" s="5" t="s">
        <v>2871</v>
      </c>
      <c r="L7" s="6" t="s">
        <v>2872</v>
      </c>
      <c r="M7" s="5" t="s">
        <v>8175</v>
      </c>
    </row>
    <row r="8" spans="1:13" ht="152" x14ac:dyDescent="0.2">
      <c r="A8" s="6">
        <v>7</v>
      </c>
      <c r="B8" s="6" t="s">
        <v>2873</v>
      </c>
      <c r="C8" s="5" t="s">
        <v>2874</v>
      </c>
      <c r="D8" s="5" t="s">
        <v>177</v>
      </c>
      <c r="E8" s="5" t="s">
        <v>178</v>
      </c>
      <c r="F8" s="6">
        <v>2025</v>
      </c>
      <c r="G8" s="5" t="s">
        <v>2875</v>
      </c>
      <c r="H8" s="5" t="s">
        <v>2876</v>
      </c>
      <c r="I8" s="5" t="s">
        <v>2877</v>
      </c>
      <c r="J8" s="5" t="s">
        <v>2878</v>
      </c>
      <c r="K8" s="5" t="s">
        <v>2879</v>
      </c>
      <c r="L8" s="6" t="s">
        <v>2880</v>
      </c>
      <c r="M8" s="5" t="s">
        <v>8176</v>
      </c>
    </row>
    <row r="9" spans="1:13" ht="190" x14ac:dyDescent="0.2">
      <c r="A9" s="6">
        <v>8</v>
      </c>
      <c r="B9" s="6" t="s">
        <v>2881</v>
      </c>
      <c r="C9" s="5" t="s">
        <v>2882</v>
      </c>
      <c r="D9" s="5" t="s">
        <v>231</v>
      </c>
      <c r="E9" s="5" t="s">
        <v>232</v>
      </c>
      <c r="F9" s="6">
        <v>2026</v>
      </c>
      <c r="G9" s="5" t="s">
        <v>2883</v>
      </c>
      <c r="H9" s="5" t="s">
        <v>2884</v>
      </c>
      <c r="I9" s="5" t="s">
        <v>2885</v>
      </c>
      <c r="J9" s="5" t="s">
        <v>2886</v>
      </c>
      <c r="K9" s="5" t="s">
        <v>2887</v>
      </c>
      <c r="L9" s="6" t="s">
        <v>2888</v>
      </c>
      <c r="M9" s="5" t="s">
        <v>8177</v>
      </c>
    </row>
    <row r="10" spans="1:13" ht="171" x14ac:dyDescent="0.2">
      <c r="A10" s="6">
        <v>9</v>
      </c>
      <c r="B10" s="6" t="s">
        <v>2889</v>
      </c>
      <c r="C10" s="5" t="s">
        <v>2890</v>
      </c>
      <c r="D10" s="5" t="s">
        <v>236</v>
      </c>
      <c r="E10" s="5" t="s">
        <v>237</v>
      </c>
      <c r="F10" s="6">
        <v>2026</v>
      </c>
      <c r="G10" s="5" t="s">
        <v>2891</v>
      </c>
      <c r="H10" s="5" t="s">
        <v>2892</v>
      </c>
      <c r="I10" s="5" t="s">
        <v>2893</v>
      </c>
      <c r="J10" s="5" t="s">
        <v>2894</v>
      </c>
      <c r="K10" s="5" t="s">
        <v>2895</v>
      </c>
      <c r="L10" s="6" t="s">
        <v>2896</v>
      </c>
      <c r="M10" s="5" t="s">
        <v>8178</v>
      </c>
    </row>
    <row r="11" spans="1:13" ht="171" x14ac:dyDescent="0.2">
      <c r="A11" s="6">
        <v>10</v>
      </c>
      <c r="B11" s="6" t="s">
        <v>2897</v>
      </c>
      <c r="C11" s="5" t="s">
        <v>2898</v>
      </c>
      <c r="D11" s="5" t="s">
        <v>49</v>
      </c>
      <c r="E11" s="5" t="s">
        <v>241</v>
      </c>
      <c r="F11" s="6">
        <v>2026</v>
      </c>
      <c r="G11" s="5" t="s">
        <v>2899</v>
      </c>
      <c r="H11" s="5" t="s">
        <v>2900</v>
      </c>
      <c r="I11" s="5" t="s">
        <v>2901</v>
      </c>
      <c r="J11" s="5" t="s">
        <v>2902</v>
      </c>
      <c r="K11" s="5" t="s">
        <v>2903</v>
      </c>
      <c r="L11" s="6" t="s">
        <v>2864</v>
      </c>
      <c r="M11" s="5" t="s">
        <v>8179</v>
      </c>
    </row>
    <row r="12" spans="1:13" ht="133" x14ac:dyDescent="0.2">
      <c r="A12" s="6">
        <v>11</v>
      </c>
      <c r="B12" s="6" t="s">
        <v>2904</v>
      </c>
      <c r="C12" s="5" t="s">
        <v>2905</v>
      </c>
      <c r="D12" s="5" t="s">
        <v>244</v>
      </c>
      <c r="E12" s="5" t="s">
        <v>245</v>
      </c>
      <c r="F12" s="6">
        <v>2026</v>
      </c>
      <c r="G12" s="5" t="s">
        <v>2906</v>
      </c>
      <c r="H12" s="5" t="s">
        <v>2907</v>
      </c>
      <c r="I12" s="5" t="s">
        <v>2908</v>
      </c>
      <c r="J12" s="5" t="s">
        <v>2909</v>
      </c>
      <c r="K12" s="5" t="s">
        <v>2910</v>
      </c>
      <c r="L12" s="6" t="s">
        <v>2911</v>
      </c>
      <c r="M12" s="5" t="s">
        <v>8180</v>
      </c>
    </row>
    <row r="13" spans="1:13" ht="209" x14ac:dyDescent="0.2">
      <c r="A13" s="6">
        <v>12</v>
      </c>
      <c r="B13" s="6" t="s">
        <v>2912</v>
      </c>
      <c r="C13" s="5" t="s">
        <v>2913</v>
      </c>
      <c r="D13" s="5" t="s">
        <v>249</v>
      </c>
      <c r="E13" s="5" t="s">
        <v>250</v>
      </c>
      <c r="F13" s="6">
        <v>2026</v>
      </c>
      <c r="G13" s="5" t="s">
        <v>2914</v>
      </c>
      <c r="H13" s="5" t="s">
        <v>2915</v>
      </c>
      <c r="I13" s="5" t="s">
        <v>2916</v>
      </c>
      <c r="J13" s="5" t="s">
        <v>2917</v>
      </c>
      <c r="K13" s="5" t="s">
        <v>2918</v>
      </c>
      <c r="L13" s="6" t="s">
        <v>2919</v>
      </c>
      <c r="M13" s="5" t="s">
        <v>8181</v>
      </c>
    </row>
    <row r="14" spans="1:13" ht="266" x14ac:dyDescent="0.2">
      <c r="A14" s="6">
        <v>13</v>
      </c>
      <c r="B14" s="6" t="s">
        <v>2920</v>
      </c>
      <c r="C14" s="5" t="s">
        <v>2921</v>
      </c>
      <c r="D14" s="5" t="s">
        <v>320</v>
      </c>
      <c r="E14" s="5" t="s">
        <v>321</v>
      </c>
      <c r="F14" s="6">
        <v>2026</v>
      </c>
      <c r="G14" s="5" t="s">
        <v>2922</v>
      </c>
      <c r="H14" s="5" t="s">
        <v>2923</v>
      </c>
      <c r="I14" s="5" t="s">
        <v>2924</v>
      </c>
      <c r="J14" s="5" t="s">
        <v>2925</v>
      </c>
      <c r="K14" s="5" t="s">
        <v>2926</v>
      </c>
      <c r="L14" s="6" t="s">
        <v>2927</v>
      </c>
      <c r="M14" s="5" t="s">
        <v>8182</v>
      </c>
    </row>
    <row r="15" spans="1:13" ht="209" x14ac:dyDescent="0.2">
      <c r="A15" s="6">
        <v>14</v>
      </c>
      <c r="B15" s="6" t="s">
        <v>2928</v>
      </c>
      <c r="C15" s="5" t="s">
        <v>2929</v>
      </c>
      <c r="D15" s="5" t="s">
        <v>327</v>
      </c>
      <c r="E15" s="5" t="s">
        <v>328</v>
      </c>
      <c r="F15" s="6">
        <v>2025</v>
      </c>
      <c r="G15" s="5" t="s">
        <v>2930</v>
      </c>
      <c r="H15" s="5" t="s">
        <v>2931</v>
      </c>
      <c r="I15" s="5" t="s">
        <v>2932</v>
      </c>
      <c r="J15" s="5" t="s">
        <v>2933</v>
      </c>
      <c r="K15" s="5" t="s">
        <v>2934</v>
      </c>
      <c r="L15" s="6" t="s">
        <v>2935</v>
      </c>
      <c r="M15" s="5" t="s">
        <v>8183</v>
      </c>
    </row>
    <row r="16" spans="1:13" ht="228" x14ac:dyDescent="0.2">
      <c r="A16" s="6">
        <v>15</v>
      </c>
      <c r="B16" s="6" t="s">
        <v>2936</v>
      </c>
      <c r="C16" s="5" t="s">
        <v>2937</v>
      </c>
      <c r="D16" s="5" t="s">
        <v>331</v>
      </c>
      <c r="E16" s="5" t="s">
        <v>332</v>
      </c>
      <c r="F16" s="6">
        <v>2025</v>
      </c>
      <c r="G16" s="5" t="s">
        <v>2938</v>
      </c>
      <c r="H16" s="5" t="s">
        <v>2939</v>
      </c>
      <c r="I16" s="5" t="s">
        <v>2940</v>
      </c>
      <c r="J16" s="5" t="s">
        <v>2941</v>
      </c>
      <c r="K16" s="5" t="s">
        <v>2942</v>
      </c>
      <c r="L16" s="6" t="s">
        <v>2943</v>
      </c>
      <c r="M16" s="5" t="s">
        <v>8184</v>
      </c>
    </row>
    <row r="17" spans="1:13" ht="209" x14ac:dyDescent="0.2">
      <c r="A17" s="6">
        <v>16</v>
      </c>
      <c r="B17" s="6" t="s">
        <v>2944</v>
      </c>
      <c r="C17" s="5" t="s">
        <v>2945</v>
      </c>
      <c r="D17" s="5" t="s">
        <v>344</v>
      </c>
      <c r="E17" s="5" t="s">
        <v>345</v>
      </c>
      <c r="F17" s="6">
        <v>2026</v>
      </c>
      <c r="G17" s="5" t="s">
        <v>2946</v>
      </c>
      <c r="H17" s="5" t="s">
        <v>2947</v>
      </c>
      <c r="I17" s="5" t="s">
        <v>2948</v>
      </c>
      <c r="J17" s="5" t="s">
        <v>2949</v>
      </c>
      <c r="K17" s="5" t="s">
        <v>2950</v>
      </c>
      <c r="L17" s="6" t="s">
        <v>2951</v>
      </c>
      <c r="M17" s="5" t="s">
        <v>8185</v>
      </c>
    </row>
    <row r="18" spans="1:13" ht="247" x14ac:dyDescent="0.2">
      <c r="A18" s="6">
        <v>17</v>
      </c>
      <c r="B18" s="6" t="s">
        <v>2952</v>
      </c>
      <c r="C18" s="5" t="s">
        <v>2953</v>
      </c>
      <c r="D18" s="5" t="s">
        <v>360</v>
      </c>
      <c r="E18" s="5" t="s">
        <v>361</v>
      </c>
      <c r="F18" s="6">
        <v>2026</v>
      </c>
      <c r="G18" s="5" t="s">
        <v>2954</v>
      </c>
      <c r="H18" s="5" t="s">
        <v>2955</v>
      </c>
      <c r="I18" s="5" t="s">
        <v>2956</v>
      </c>
      <c r="J18" s="5" t="s">
        <v>2957</v>
      </c>
      <c r="K18" s="5" t="s">
        <v>2958</v>
      </c>
      <c r="L18" s="6" t="s">
        <v>2848</v>
      </c>
      <c r="M18" s="5" t="s">
        <v>8186</v>
      </c>
    </row>
    <row r="19" spans="1:13" ht="190" x14ac:dyDescent="0.2">
      <c r="A19" s="6">
        <v>18</v>
      </c>
      <c r="B19" s="6" t="s">
        <v>2959</v>
      </c>
      <c r="C19" s="5" t="s">
        <v>2960</v>
      </c>
      <c r="D19" s="5" t="s">
        <v>381</v>
      </c>
      <c r="E19" s="5" t="s">
        <v>382</v>
      </c>
      <c r="F19" s="6">
        <v>2025</v>
      </c>
      <c r="G19" s="5" t="s">
        <v>2961</v>
      </c>
      <c r="H19" s="5" t="s">
        <v>2962</v>
      </c>
      <c r="I19" s="5" t="s">
        <v>2963</v>
      </c>
      <c r="J19" s="5" t="s">
        <v>2964</v>
      </c>
      <c r="K19" s="5" t="s">
        <v>2965</v>
      </c>
      <c r="L19" s="6" t="s">
        <v>2966</v>
      </c>
      <c r="M19" s="5" t="s">
        <v>8187</v>
      </c>
    </row>
    <row r="20" spans="1:13" ht="209" x14ac:dyDescent="0.2">
      <c r="A20" s="6">
        <v>19</v>
      </c>
      <c r="B20" s="6" t="s">
        <v>2967</v>
      </c>
      <c r="C20" s="5" t="s">
        <v>2968</v>
      </c>
      <c r="D20" s="5" t="s">
        <v>392</v>
      </c>
      <c r="E20" s="5" t="s">
        <v>393</v>
      </c>
      <c r="F20" s="6">
        <v>2025</v>
      </c>
      <c r="G20" s="5" t="s">
        <v>2969</v>
      </c>
      <c r="H20" s="5" t="s">
        <v>2970</v>
      </c>
      <c r="I20" s="5" t="s">
        <v>2971</v>
      </c>
      <c r="J20" s="5" t="s">
        <v>2972</v>
      </c>
      <c r="K20" s="5" t="s">
        <v>2973</v>
      </c>
      <c r="L20" s="6" t="s">
        <v>2974</v>
      </c>
      <c r="M20" s="5" t="s">
        <v>8188</v>
      </c>
    </row>
    <row r="21" spans="1:13" ht="266" x14ac:dyDescent="0.2">
      <c r="A21" s="6">
        <v>20</v>
      </c>
      <c r="B21" s="6" t="s">
        <v>2975</v>
      </c>
      <c r="C21" s="5" t="s">
        <v>2976</v>
      </c>
      <c r="D21" s="5" t="s">
        <v>396</v>
      </c>
      <c r="E21" s="5" t="s">
        <v>397</v>
      </c>
      <c r="F21" s="6">
        <v>2025</v>
      </c>
      <c r="G21" s="5" t="s">
        <v>2977</v>
      </c>
      <c r="H21" s="5" t="s">
        <v>2978</v>
      </c>
      <c r="I21" s="5" t="s">
        <v>2979</v>
      </c>
      <c r="J21" s="5" t="s">
        <v>2980</v>
      </c>
      <c r="K21" s="5" t="s">
        <v>2981</v>
      </c>
      <c r="L21" s="6" t="s">
        <v>2982</v>
      </c>
      <c r="M21" s="5" t="s">
        <v>8189</v>
      </c>
    </row>
    <row r="22" spans="1:13" ht="304" x14ac:dyDescent="0.2">
      <c r="A22" s="6">
        <v>21</v>
      </c>
      <c r="B22" s="6" t="s">
        <v>2983</v>
      </c>
      <c r="C22" s="5" t="s">
        <v>2984</v>
      </c>
      <c r="D22" s="5" t="s">
        <v>400</v>
      </c>
      <c r="E22" s="5" t="s">
        <v>401</v>
      </c>
      <c r="F22" s="6">
        <v>2026</v>
      </c>
      <c r="G22" s="5" t="s">
        <v>2985</v>
      </c>
      <c r="H22" s="5" t="s">
        <v>2986</v>
      </c>
      <c r="I22" s="5" t="s">
        <v>2987</v>
      </c>
      <c r="J22" s="5" t="s">
        <v>2988</v>
      </c>
      <c r="K22" s="5" t="s">
        <v>8190</v>
      </c>
      <c r="L22" s="6" t="s">
        <v>2864</v>
      </c>
      <c r="M22" s="5" t="s">
        <v>8191</v>
      </c>
    </row>
    <row r="23" spans="1:13" ht="266" x14ac:dyDescent="0.2">
      <c r="A23" s="6">
        <v>22</v>
      </c>
      <c r="B23" s="6" t="s">
        <v>2989</v>
      </c>
      <c r="C23" s="5" t="s">
        <v>2990</v>
      </c>
      <c r="D23" s="5" t="s">
        <v>409</v>
      </c>
      <c r="E23" s="5" t="s">
        <v>410</v>
      </c>
      <c r="F23" s="6">
        <v>2026</v>
      </c>
      <c r="G23" s="5" t="s">
        <v>2991</v>
      </c>
      <c r="H23" s="5" t="s">
        <v>2992</v>
      </c>
      <c r="I23" s="5" t="s">
        <v>2993</v>
      </c>
      <c r="J23" s="5" t="s">
        <v>2994</v>
      </c>
      <c r="K23" s="5" t="s">
        <v>2995</v>
      </c>
      <c r="L23" s="6" t="s">
        <v>2864</v>
      </c>
      <c r="M23" s="5" t="s">
        <v>8192</v>
      </c>
    </row>
    <row r="24" spans="1:13" ht="266" x14ac:dyDescent="0.2">
      <c r="A24" s="6">
        <v>23</v>
      </c>
      <c r="B24" s="6" t="s">
        <v>2996</v>
      </c>
      <c r="C24" s="5" t="s">
        <v>2997</v>
      </c>
      <c r="D24" s="5" t="s">
        <v>417</v>
      </c>
      <c r="E24" s="5" t="s">
        <v>418</v>
      </c>
      <c r="F24" s="6">
        <v>2026</v>
      </c>
      <c r="G24" s="5" t="s">
        <v>2998</v>
      </c>
      <c r="H24" s="5" t="s">
        <v>2999</v>
      </c>
      <c r="I24" s="5" t="s">
        <v>3000</v>
      </c>
      <c r="J24" s="5" t="s">
        <v>3001</v>
      </c>
      <c r="K24" s="5" t="s">
        <v>3002</v>
      </c>
      <c r="L24" s="6" t="s">
        <v>3003</v>
      </c>
      <c r="M24" s="5" t="s">
        <v>8193</v>
      </c>
    </row>
    <row r="25" spans="1:13" ht="209" x14ac:dyDescent="0.2">
      <c r="A25" s="6">
        <v>24</v>
      </c>
      <c r="B25" s="6" t="s">
        <v>3004</v>
      </c>
      <c r="C25" s="5" t="s">
        <v>3005</v>
      </c>
      <c r="D25" s="5" t="s">
        <v>424</v>
      </c>
      <c r="E25" s="5" t="s">
        <v>425</v>
      </c>
      <c r="F25" s="6">
        <v>2024</v>
      </c>
      <c r="G25" s="5" t="s">
        <v>3006</v>
      </c>
      <c r="H25" s="5" t="s">
        <v>3007</v>
      </c>
      <c r="I25" s="5" t="s">
        <v>3008</v>
      </c>
      <c r="J25" s="5" t="s">
        <v>3009</v>
      </c>
      <c r="K25" s="5" t="s">
        <v>3010</v>
      </c>
      <c r="L25" s="6" t="s">
        <v>3011</v>
      </c>
      <c r="M25" s="5" t="s">
        <v>8194</v>
      </c>
    </row>
    <row r="26" spans="1:13" ht="209" x14ac:dyDescent="0.2">
      <c r="A26" s="6">
        <v>25</v>
      </c>
      <c r="B26" s="6" t="s">
        <v>3012</v>
      </c>
      <c r="C26" s="5" t="s">
        <v>3013</v>
      </c>
      <c r="D26" s="5" t="s">
        <v>441</v>
      </c>
      <c r="E26" s="5" t="s">
        <v>442</v>
      </c>
      <c r="F26" s="6">
        <v>2025</v>
      </c>
      <c r="G26" s="5" t="s">
        <v>3014</v>
      </c>
      <c r="H26" s="5" t="s">
        <v>3015</v>
      </c>
      <c r="I26" s="5" t="s">
        <v>3016</v>
      </c>
      <c r="J26" s="5" t="s">
        <v>3017</v>
      </c>
      <c r="K26" s="5" t="s">
        <v>3018</v>
      </c>
      <c r="L26" s="6" t="s">
        <v>3019</v>
      </c>
      <c r="M26" s="5" t="s">
        <v>8195</v>
      </c>
    </row>
    <row r="27" spans="1:13" ht="209" x14ac:dyDescent="0.2">
      <c r="A27" s="6">
        <v>26</v>
      </c>
      <c r="B27" s="6" t="s">
        <v>3020</v>
      </c>
      <c r="C27" s="5" t="s">
        <v>3021</v>
      </c>
      <c r="D27" s="5" t="s">
        <v>450</v>
      </c>
      <c r="E27" s="5" t="s">
        <v>451</v>
      </c>
      <c r="F27" s="6">
        <v>2026</v>
      </c>
      <c r="G27" s="5" t="s">
        <v>3022</v>
      </c>
      <c r="H27" s="5" t="s">
        <v>3023</v>
      </c>
      <c r="I27" s="5" t="s">
        <v>3024</v>
      </c>
      <c r="J27" s="5" t="s">
        <v>3025</v>
      </c>
      <c r="K27" s="5" t="s">
        <v>3026</v>
      </c>
      <c r="L27" s="6" t="s">
        <v>3027</v>
      </c>
      <c r="M27" s="5" t="s">
        <v>8196</v>
      </c>
    </row>
    <row r="28" spans="1:13" ht="209" x14ac:dyDescent="0.2">
      <c r="A28" s="6">
        <v>27</v>
      </c>
      <c r="B28" s="6" t="s">
        <v>3028</v>
      </c>
      <c r="C28" s="5" t="s">
        <v>3029</v>
      </c>
      <c r="D28" s="5" t="s">
        <v>470</v>
      </c>
      <c r="E28" s="5" t="s">
        <v>471</v>
      </c>
      <c r="F28" s="6">
        <v>2026</v>
      </c>
      <c r="G28" s="5" t="s">
        <v>3030</v>
      </c>
      <c r="H28" s="5" t="s">
        <v>3031</v>
      </c>
      <c r="I28" s="5" t="s">
        <v>3032</v>
      </c>
      <c r="J28" s="5" t="s">
        <v>3033</v>
      </c>
      <c r="K28" s="5" t="s">
        <v>3034</v>
      </c>
      <c r="L28" s="6" t="s">
        <v>2888</v>
      </c>
      <c r="M28" s="5" t="s">
        <v>8197</v>
      </c>
    </row>
    <row r="29" spans="1:13" ht="209" x14ac:dyDescent="0.2">
      <c r="A29" s="6">
        <v>28</v>
      </c>
      <c r="B29" s="6" t="s">
        <v>3035</v>
      </c>
      <c r="C29" s="5" t="s">
        <v>3036</v>
      </c>
      <c r="D29" s="5" t="s">
        <v>474</v>
      </c>
      <c r="E29" s="5" t="s">
        <v>475</v>
      </c>
      <c r="F29" s="6">
        <v>2024</v>
      </c>
      <c r="G29" s="5" t="s">
        <v>3037</v>
      </c>
      <c r="H29" s="5" t="s">
        <v>3038</v>
      </c>
      <c r="I29" s="5" t="s">
        <v>3039</v>
      </c>
      <c r="J29" s="5" t="s">
        <v>3040</v>
      </c>
      <c r="K29" s="5" t="s">
        <v>3041</v>
      </c>
      <c r="L29" s="6" t="s">
        <v>3042</v>
      </c>
      <c r="M29" s="5" t="s">
        <v>8198</v>
      </c>
    </row>
    <row r="30" spans="1:13" ht="247" x14ac:dyDescent="0.2">
      <c r="A30" s="6">
        <v>29</v>
      </c>
      <c r="B30" s="6" t="s">
        <v>3043</v>
      </c>
      <c r="C30" s="5" t="s">
        <v>3044</v>
      </c>
      <c r="D30" s="5" t="s">
        <v>478</v>
      </c>
      <c r="E30" s="5" t="s">
        <v>479</v>
      </c>
      <c r="F30" s="6">
        <v>2026</v>
      </c>
      <c r="G30" s="5" t="s">
        <v>3045</v>
      </c>
      <c r="H30" s="5" t="s">
        <v>3046</v>
      </c>
      <c r="I30" s="5" t="s">
        <v>3047</v>
      </c>
      <c r="J30" s="5" t="s">
        <v>3048</v>
      </c>
      <c r="K30" s="5" t="s">
        <v>3049</v>
      </c>
      <c r="L30" s="6" t="s">
        <v>3050</v>
      </c>
      <c r="M30" s="5" t="s">
        <v>8199</v>
      </c>
    </row>
    <row r="31" spans="1:13" ht="342" x14ac:dyDescent="0.2">
      <c r="A31" s="6">
        <v>30</v>
      </c>
      <c r="B31" s="6" t="s">
        <v>3051</v>
      </c>
      <c r="C31" s="5" t="s">
        <v>3052</v>
      </c>
      <c r="D31" s="5" t="s">
        <v>500</v>
      </c>
      <c r="E31" s="5" t="s">
        <v>501</v>
      </c>
      <c r="F31" s="6">
        <v>2025</v>
      </c>
      <c r="G31" s="5" t="s">
        <v>3053</v>
      </c>
      <c r="H31" s="5" t="s">
        <v>3054</v>
      </c>
      <c r="I31" s="5" t="s">
        <v>3055</v>
      </c>
      <c r="J31" s="5" t="s">
        <v>3056</v>
      </c>
      <c r="K31" s="5" t="s">
        <v>3057</v>
      </c>
      <c r="L31" s="6" t="s">
        <v>2856</v>
      </c>
      <c r="M31" s="5" t="s">
        <v>8200</v>
      </c>
    </row>
    <row r="32" spans="1:13" ht="228" x14ac:dyDescent="0.2">
      <c r="A32" s="6">
        <v>31</v>
      </c>
      <c r="B32" s="6" t="s">
        <v>3058</v>
      </c>
      <c r="C32" s="5" t="s">
        <v>3059</v>
      </c>
      <c r="D32" s="5" t="s">
        <v>508</v>
      </c>
      <c r="E32" s="5" t="s">
        <v>509</v>
      </c>
      <c r="F32" s="6">
        <v>2025</v>
      </c>
      <c r="G32" s="5" t="s">
        <v>510</v>
      </c>
      <c r="H32" s="5" t="s">
        <v>3060</v>
      </c>
      <c r="I32" s="5" t="s">
        <v>3061</v>
      </c>
      <c r="J32" s="5" t="s">
        <v>3062</v>
      </c>
      <c r="K32" s="5" t="s">
        <v>3063</v>
      </c>
      <c r="L32" s="6" t="s">
        <v>3064</v>
      </c>
      <c r="M32" s="5" t="s">
        <v>8201</v>
      </c>
    </row>
    <row r="33" spans="1:13" ht="266" x14ac:dyDescent="0.2">
      <c r="A33" s="6">
        <v>32</v>
      </c>
      <c r="B33" s="6" t="s">
        <v>3065</v>
      </c>
      <c r="C33" s="5" t="s">
        <v>3066</v>
      </c>
      <c r="D33" s="5" t="s">
        <v>528</v>
      </c>
      <c r="E33" s="5" t="s">
        <v>529</v>
      </c>
      <c r="F33" s="6">
        <v>2026</v>
      </c>
      <c r="G33" s="5" t="s">
        <v>3067</v>
      </c>
      <c r="H33" s="5" t="s">
        <v>3068</v>
      </c>
      <c r="I33" s="5" t="s">
        <v>3069</v>
      </c>
      <c r="J33" s="5" t="s">
        <v>3070</v>
      </c>
      <c r="K33" s="5" t="s">
        <v>3071</v>
      </c>
      <c r="L33" s="6" t="s">
        <v>2864</v>
      </c>
      <c r="M33" s="5" t="s">
        <v>8202</v>
      </c>
    </row>
    <row r="34" spans="1:13" ht="247" x14ac:dyDescent="0.2">
      <c r="A34" s="6">
        <v>33</v>
      </c>
      <c r="B34" s="6" t="s">
        <v>3072</v>
      </c>
      <c r="C34" s="5" t="s">
        <v>3073</v>
      </c>
      <c r="D34" s="5" t="s">
        <v>537</v>
      </c>
      <c r="E34" s="5" t="s">
        <v>538</v>
      </c>
      <c r="F34" s="6">
        <v>2026</v>
      </c>
      <c r="G34" s="5" t="s">
        <v>3074</v>
      </c>
      <c r="H34" s="5" t="s">
        <v>3075</v>
      </c>
      <c r="I34" s="5" t="s">
        <v>3076</v>
      </c>
      <c r="J34" s="5" t="s">
        <v>3077</v>
      </c>
      <c r="K34" s="5" t="s">
        <v>3078</v>
      </c>
      <c r="L34" s="6" t="s">
        <v>3079</v>
      </c>
      <c r="M34" s="5" t="s">
        <v>8203</v>
      </c>
    </row>
    <row r="35" spans="1:13" ht="247" x14ac:dyDescent="0.2">
      <c r="A35" s="6">
        <v>34</v>
      </c>
      <c r="B35" s="6" t="s">
        <v>3080</v>
      </c>
      <c r="C35" s="5" t="s">
        <v>3081</v>
      </c>
      <c r="D35" s="5" t="s">
        <v>545</v>
      </c>
      <c r="E35" s="5" t="s">
        <v>546</v>
      </c>
      <c r="F35" s="6">
        <v>2026</v>
      </c>
      <c r="G35" s="5" t="s">
        <v>3082</v>
      </c>
      <c r="H35" s="5" t="s">
        <v>3083</v>
      </c>
      <c r="I35" s="5" t="s">
        <v>3084</v>
      </c>
      <c r="J35" s="5" t="s">
        <v>3085</v>
      </c>
      <c r="K35" s="5" t="s">
        <v>3086</v>
      </c>
      <c r="L35" s="6" t="s">
        <v>3042</v>
      </c>
      <c r="M35" s="5" t="s">
        <v>8204</v>
      </c>
    </row>
    <row r="36" spans="1:13" ht="190" x14ac:dyDescent="0.2">
      <c r="A36" s="6">
        <v>35</v>
      </c>
      <c r="B36" s="6" t="s">
        <v>3087</v>
      </c>
      <c r="C36" s="5" t="s">
        <v>3088</v>
      </c>
      <c r="D36" s="5" t="s">
        <v>565</v>
      </c>
      <c r="E36" s="5" t="s">
        <v>566</v>
      </c>
      <c r="F36" s="6">
        <v>2026</v>
      </c>
      <c r="G36" s="5" t="s">
        <v>3089</v>
      </c>
      <c r="H36" s="5" t="s">
        <v>3090</v>
      </c>
      <c r="I36" s="5" t="s">
        <v>3091</v>
      </c>
      <c r="J36" s="5" t="s">
        <v>3092</v>
      </c>
      <c r="K36" s="5" t="s">
        <v>3093</v>
      </c>
      <c r="L36" s="6" t="s">
        <v>3094</v>
      </c>
      <c r="M36" s="5" t="s">
        <v>8205</v>
      </c>
    </row>
    <row r="37" spans="1:13" ht="285" x14ac:dyDescent="0.2">
      <c r="A37" s="6">
        <v>36</v>
      </c>
      <c r="B37" s="6" t="s">
        <v>3095</v>
      </c>
      <c r="C37" s="5" t="s">
        <v>3096</v>
      </c>
      <c r="D37" s="5" t="s">
        <v>573</v>
      </c>
      <c r="E37" s="5" t="s">
        <v>574</v>
      </c>
      <c r="F37" s="6">
        <v>2026</v>
      </c>
      <c r="G37" s="5" t="s">
        <v>3097</v>
      </c>
      <c r="H37" s="5" t="s">
        <v>3098</v>
      </c>
      <c r="I37" s="5" t="s">
        <v>3099</v>
      </c>
      <c r="J37" s="5" t="s">
        <v>3100</v>
      </c>
      <c r="K37" s="5" t="s">
        <v>3101</v>
      </c>
      <c r="L37" s="6" t="s">
        <v>2856</v>
      </c>
      <c r="M37" s="5" t="s">
        <v>8206</v>
      </c>
    </row>
    <row r="38" spans="1:13" ht="228" x14ac:dyDescent="0.2">
      <c r="A38" s="6">
        <v>37</v>
      </c>
      <c r="B38" s="6" t="s">
        <v>3102</v>
      </c>
      <c r="C38" s="5" t="s">
        <v>3103</v>
      </c>
      <c r="D38" s="5" t="s">
        <v>586</v>
      </c>
      <c r="E38" s="5" t="s">
        <v>587</v>
      </c>
      <c r="F38" s="6">
        <v>2026</v>
      </c>
      <c r="G38" s="5" t="s">
        <v>3104</v>
      </c>
      <c r="H38" s="5" t="s">
        <v>3105</v>
      </c>
      <c r="I38" s="5" t="s">
        <v>3106</v>
      </c>
      <c r="J38" s="5" t="s">
        <v>3107</v>
      </c>
      <c r="K38" s="5" t="s">
        <v>3108</v>
      </c>
      <c r="L38" s="6" t="s">
        <v>2974</v>
      </c>
      <c r="M38" s="5" t="s">
        <v>8207</v>
      </c>
    </row>
    <row r="39" spans="1:13" ht="209" x14ac:dyDescent="0.2">
      <c r="A39" s="6">
        <v>38</v>
      </c>
      <c r="B39" s="6" t="s">
        <v>3109</v>
      </c>
      <c r="C39" s="5" t="s">
        <v>3110</v>
      </c>
      <c r="D39" s="5" t="s">
        <v>454</v>
      </c>
      <c r="E39" s="5" t="s">
        <v>598</v>
      </c>
      <c r="F39" s="6">
        <v>2026</v>
      </c>
      <c r="G39" s="5" t="s">
        <v>3111</v>
      </c>
      <c r="H39" s="5" t="s">
        <v>3112</v>
      </c>
      <c r="I39" s="5" t="s">
        <v>3113</v>
      </c>
      <c r="J39" s="5" t="s">
        <v>3114</v>
      </c>
      <c r="K39" s="5" t="s">
        <v>3115</v>
      </c>
      <c r="L39" s="6" t="s">
        <v>3116</v>
      </c>
      <c r="M39" s="5" t="s">
        <v>8208</v>
      </c>
    </row>
    <row r="40" spans="1:13" ht="171" x14ac:dyDescent="0.2">
      <c r="A40" s="6">
        <v>39</v>
      </c>
      <c r="B40" s="6" t="s">
        <v>3117</v>
      </c>
      <c r="C40" s="5" t="s">
        <v>3118</v>
      </c>
      <c r="D40" s="5" t="s">
        <v>612</v>
      </c>
      <c r="E40" s="5" t="s">
        <v>613</v>
      </c>
      <c r="F40" s="6">
        <v>2026</v>
      </c>
      <c r="G40" s="5" t="s">
        <v>3119</v>
      </c>
      <c r="H40" s="5" t="s">
        <v>3120</v>
      </c>
      <c r="I40" s="5" t="s">
        <v>3121</v>
      </c>
      <c r="J40" s="5" t="s">
        <v>3122</v>
      </c>
      <c r="K40" s="5" t="s">
        <v>3123</v>
      </c>
      <c r="L40" s="6" t="s">
        <v>3124</v>
      </c>
      <c r="M40" s="5" t="s">
        <v>8209</v>
      </c>
    </row>
    <row r="41" spans="1:13" ht="209" x14ac:dyDescent="0.2">
      <c r="A41" s="6">
        <v>40</v>
      </c>
      <c r="B41" s="6" t="s">
        <v>3125</v>
      </c>
      <c r="C41" s="5" t="s">
        <v>3126</v>
      </c>
      <c r="D41" s="5" t="s">
        <v>545</v>
      </c>
      <c r="E41" s="5" t="s">
        <v>620</v>
      </c>
      <c r="F41" s="6">
        <v>2025</v>
      </c>
      <c r="G41" s="5" t="s">
        <v>3127</v>
      </c>
      <c r="H41" s="5" t="s">
        <v>3128</v>
      </c>
      <c r="I41" s="5" t="s">
        <v>3129</v>
      </c>
      <c r="J41" s="5" t="s">
        <v>3130</v>
      </c>
      <c r="K41" s="5" t="s">
        <v>3131</v>
      </c>
      <c r="L41" s="6" t="s">
        <v>3042</v>
      </c>
      <c r="M41" s="5" t="s">
        <v>8210</v>
      </c>
    </row>
    <row r="42" spans="1:13" ht="190" x14ac:dyDescent="0.2">
      <c r="A42" s="6">
        <v>41</v>
      </c>
      <c r="B42" s="6" t="s">
        <v>3132</v>
      </c>
      <c r="C42" s="5" t="s">
        <v>3133</v>
      </c>
      <c r="D42" s="5" t="s">
        <v>643</v>
      </c>
      <c r="E42" s="5" t="s">
        <v>644</v>
      </c>
      <c r="F42" s="6">
        <v>2026</v>
      </c>
      <c r="G42" s="5" t="s">
        <v>3134</v>
      </c>
      <c r="H42" s="5" t="s">
        <v>3135</v>
      </c>
      <c r="I42" s="5" t="s">
        <v>3136</v>
      </c>
      <c r="J42" s="5" t="s">
        <v>3137</v>
      </c>
      <c r="K42" s="5" t="s">
        <v>3138</v>
      </c>
      <c r="L42" s="6" t="s">
        <v>3139</v>
      </c>
      <c r="M42" s="5" t="s">
        <v>8211</v>
      </c>
    </row>
    <row r="43" spans="1:13" ht="190" x14ac:dyDescent="0.2">
      <c r="A43" s="6">
        <v>42</v>
      </c>
      <c r="B43" s="6" t="s">
        <v>3140</v>
      </c>
      <c r="C43" s="5" t="s">
        <v>3141</v>
      </c>
      <c r="D43" s="5" t="s">
        <v>114</v>
      </c>
      <c r="E43" s="5" t="s">
        <v>674</v>
      </c>
      <c r="F43" s="6">
        <v>2026</v>
      </c>
      <c r="G43" s="5" t="s">
        <v>3142</v>
      </c>
      <c r="H43" s="5" t="s">
        <v>3143</v>
      </c>
      <c r="I43" s="5" t="s">
        <v>3144</v>
      </c>
      <c r="J43" s="5" t="s">
        <v>3145</v>
      </c>
      <c r="K43" s="5" t="s">
        <v>3146</v>
      </c>
      <c r="L43" s="6" t="s">
        <v>2832</v>
      </c>
      <c r="M43" s="5" t="s">
        <v>8212</v>
      </c>
    </row>
    <row r="44" spans="1:13" ht="171" x14ac:dyDescent="0.2">
      <c r="A44" s="6">
        <v>43</v>
      </c>
      <c r="B44" s="6" t="s">
        <v>3147</v>
      </c>
      <c r="C44" s="5" t="s">
        <v>3148</v>
      </c>
      <c r="D44" s="5" t="s">
        <v>690</v>
      </c>
      <c r="E44" s="5" t="s">
        <v>691</v>
      </c>
      <c r="F44" s="6">
        <v>2026</v>
      </c>
      <c r="G44" s="5" t="s">
        <v>3149</v>
      </c>
      <c r="H44" s="5" t="s">
        <v>3150</v>
      </c>
      <c r="I44" s="5" t="s">
        <v>3151</v>
      </c>
      <c r="J44" s="5" t="s">
        <v>3152</v>
      </c>
      <c r="K44" s="5" t="s">
        <v>3153</v>
      </c>
      <c r="L44" s="6" t="s">
        <v>3154</v>
      </c>
      <c r="M44" s="5" t="s">
        <v>8213</v>
      </c>
    </row>
    <row r="45" spans="1:13" ht="152" x14ac:dyDescent="0.2">
      <c r="A45" s="6">
        <v>44</v>
      </c>
      <c r="B45" s="6" t="s">
        <v>3155</v>
      </c>
      <c r="C45" s="5" t="s">
        <v>3156</v>
      </c>
      <c r="D45" s="5" t="s">
        <v>734</v>
      </c>
      <c r="E45" s="5" t="s">
        <v>735</v>
      </c>
      <c r="F45" s="6">
        <v>2026</v>
      </c>
      <c r="G45" s="5" t="s">
        <v>3157</v>
      </c>
      <c r="H45" s="5" t="s">
        <v>3158</v>
      </c>
      <c r="I45" s="5" t="s">
        <v>3159</v>
      </c>
      <c r="J45" s="5" t="s">
        <v>3160</v>
      </c>
      <c r="K45" s="5" t="s">
        <v>3161</v>
      </c>
      <c r="L45" s="6" t="s">
        <v>3162</v>
      </c>
      <c r="M45" s="5" t="s">
        <v>8214</v>
      </c>
    </row>
    <row r="46" spans="1:13" ht="190" x14ac:dyDescent="0.2">
      <c r="A46" s="6">
        <v>45</v>
      </c>
      <c r="B46" s="6" t="s">
        <v>3163</v>
      </c>
      <c r="C46" s="5" t="s">
        <v>3164</v>
      </c>
      <c r="D46" s="5" t="s">
        <v>831</v>
      </c>
      <c r="E46" s="5" t="s">
        <v>832</v>
      </c>
      <c r="F46" s="6">
        <v>2025</v>
      </c>
      <c r="G46" s="5" t="s">
        <v>3165</v>
      </c>
      <c r="H46" s="5" t="s">
        <v>3166</v>
      </c>
      <c r="I46" s="5" t="s">
        <v>3167</v>
      </c>
      <c r="J46" s="5" t="s">
        <v>3168</v>
      </c>
      <c r="K46" s="5" t="s">
        <v>3169</v>
      </c>
      <c r="L46" s="6" t="s">
        <v>3170</v>
      </c>
      <c r="M46" s="5" t="s">
        <v>8215</v>
      </c>
    </row>
    <row r="47" spans="1:13" ht="209" x14ac:dyDescent="0.2">
      <c r="A47" s="6">
        <v>46</v>
      </c>
      <c r="B47" s="6" t="s">
        <v>3171</v>
      </c>
      <c r="C47" s="5" t="s">
        <v>3172</v>
      </c>
      <c r="D47" s="5" t="s">
        <v>899</v>
      </c>
      <c r="E47" s="5" t="s">
        <v>900</v>
      </c>
      <c r="F47" s="6">
        <v>2026</v>
      </c>
      <c r="G47" s="5" t="s">
        <v>3173</v>
      </c>
      <c r="H47" s="5" t="s">
        <v>3174</v>
      </c>
      <c r="I47" s="5" t="s">
        <v>3175</v>
      </c>
      <c r="J47" s="5" t="s">
        <v>3176</v>
      </c>
      <c r="K47" s="5" t="s">
        <v>3177</v>
      </c>
      <c r="L47" s="6" t="s">
        <v>3178</v>
      </c>
      <c r="M47" s="5" t="s">
        <v>8216</v>
      </c>
    </row>
    <row r="48" spans="1:13" ht="209" x14ac:dyDescent="0.2">
      <c r="A48" s="6">
        <v>47</v>
      </c>
      <c r="B48" s="6" t="s">
        <v>3179</v>
      </c>
      <c r="C48" s="5" t="s">
        <v>3180</v>
      </c>
      <c r="D48" s="5" t="s">
        <v>927</v>
      </c>
      <c r="E48" s="5" t="s">
        <v>928</v>
      </c>
      <c r="F48" s="6">
        <v>2026</v>
      </c>
      <c r="G48" s="5" t="s">
        <v>3181</v>
      </c>
      <c r="H48" s="5" t="s">
        <v>3182</v>
      </c>
      <c r="I48" s="5" t="s">
        <v>3183</v>
      </c>
      <c r="J48" s="5" t="s">
        <v>3184</v>
      </c>
      <c r="K48" s="5" t="s">
        <v>3185</v>
      </c>
      <c r="L48" s="6" t="s">
        <v>3186</v>
      </c>
      <c r="M48" s="5" t="s">
        <v>8217</v>
      </c>
    </row>
    <row r="49" spans="1:13" ht="171" x14ac:dyDescent="0.2">
      <c r="A49" s="6">
        <v>48</v>
      </c>
      <c r="B49" s="6" t="s">
        <v>3187</v>
      </c>
      <c r="C49" s="5" t="s">
        <v>3188</v>
      </c>
      <c r="D49" s="5" t="s">
        <v>909</v>
      </c>
      <c r="E49" s="5" t="s">
        <v>983</v>
      </c>
      <c r="F49" s="6">
        <v>2026</v>
      </c>
      <c r="G49" s="5" t="s">
        <v>3189</v>
      </c>
      <c r="H49" s="5" t="s">
        <v>3190</v>
      </c>
      <c r="I49" s="5" t="s">
        <v>3191</v>
      </c>
      <c r="J49" s="5" t="s">
        <v>3192</v>
      </c>
      <c r="K49" s="5" t="s">
        <v>3193</v>
      </c>
      <c r="L49" s="6" t="s">
        <v>2911</v>
      </c>
      <c r="M49" s="5" t="s">
        <v>8218</v>
      </c>
    </row>
    <row r="50" spans="1:13" ht="247" x14ac:dyDescent="0.2">
      <c r="A50" s="6">
        <v>49</v>
      </c>
      <c r="B50" s="6" t="s">
        <v>3194</v>
      </c>
      <c r="C50" s="5" t="s">
        <v>3195</v>
      </c>
      <c r="D50" s="5" t="s">
        <v>1049</v>
      </c>
      <c r="E50" s="5" t="s">
        <v>1050</v>
      </c>
      <c r="F50" s="6">
        <v>2025</v>
      </c>
      <c r="G50" s="5" t="s">
        <v>1051</v>
      </c>
      <c r="H50" s="5" t="s">
        <v>3196</v>
      </c>
      <c r="I50" s="5" t="s">
        <v>3197</v>
      </c>
      <c r="J50" s="5" t="s">
        <v>3198</v>
      </c>
      <c r="K50" s="5" t="s">
        <v>3199</v>
      </c>
      <c r="L50" s="6" t="s">
        <v>3200</v>
      </c>
      <c r="M50" s="5" t="s">
        <v>8219</v>
      </c>
    </row>
    <row r="51" spans="1:13" ht="228" x14ac:dyDescent="0.2">
      <c r="A51" s="6">
        <v>50</v>
      </c>
      <c r="B51" s="6" t="s">
        <v>3201</v>
      </c>
      <c r="C51" s="5" t="s">
        <v>3202</v>
      </c>
      <c r="D51" s="5" t="s">
        <v>1069</v>
      </c>
      <c r="E51" s="5" t="s">
        <v>1070</v>
      </c>
      <c r="F51" s="6">
        <v>2026</v>
      </c>
      <c r="G51" s="5" t="s">
        <v>3203</v>
      </c>
      <c r="H51" s="5" t="s">
        <v>3204</v>
      </c>
      <c r="I51" s="5" t="s">
        <v>3205</v>
      </c>
      <c r="J51" s="5" t="s">
        <v>3206</v>
      </c>
      <c r="K51" s="5" t="s">
        <v>3207</v>
      </c>
      <c r="L51" s="6" t="s">
        <v>3208</v>
      </c>
      <c r="M51" s="5" t="s">
        <v>8220</v>
      </c>
    </row>
    <row r="52" spans="1:13" ht="209" x14ac:dyDescent="0.2">
      <c r="A52" s="6">
        <v>51</v>
      </c>
      <c r="B52" s="6" t="s">
        <v>3209</v>
      </c>
      <c r="C52" s="5" t="s">
        <v>3210</v>
      </c>
      <c r="D52" s="5" t="s">
        <v>1094</v>
      </c>
      <c r="E52" s="5" t="s">
        <v>1095</v>
      </c>
      <c r="F52" s="6">
        <v>2026</v>
      </c>
      <c r="G52" s="5" t="s">
        <v>3211</v>
      </c>
      <c r="H52" s="5" t="s">
        <v>3212</v>
      </c>
      <c r="I52" s="5" t="s">
        <v>3213</v>
      </c>
      <c r="J52" s="5" t="s">
        <v>3214</v>
      </c>
      <c r="K52" s="5" t="s">
        <v>3215</v>
      </c>
      <c r="L52" s="6" t="s">
        <v>3216</v>
      </c>
      <c r="M52" s="5" t="s">
        <v>8221</v>
      </c>
    </row>
    <row r="53" spans="1:13" ht="209" x14ac:dyDescent="0.2">
      <c r="A53" s="6">
        <v>52</v>
      </c>
      <c r="B53" s="6" t="s">
        <v>3217</v>
      </c>
      <c r="C53" s="5" t="s">
        <v>3218</v>
      </c>
      <c r="D53" s="5" t="s">
        <v>1146</v>
      </c>
      <c r="E53" s="5" t="s">
        <v>1147</v>
      </c>
      <c r="F53" s="6">
        <v>2026</v>
      </c>
      <c r="G53" s="5" t="s">
        <v>3219</v>
      </c>
      <c r="H53" s="5" t="s">
        <v>8222</v>
      </c>
      <c r="I53" s="5" t="s">
        <v>3220</v>
      </c>
      <c r="J53" s="5" t="s">
        <v>3221</v>
      </c>
      <c r="K53" s="5" t="s">
        <v>3222</v>
      </c>
      <c r="L53" s="6" t="s">
        <v>3139</v>
      </c>
      <c r="M53" s="5" t="s">
        <v>8223</v>
      </c>
    </row>
    <row r="54" spans="1:13" ht="323" x14ac:dyDescent="0.2">
      <c r="A54" s="6">
        <v>53</v>
      </c>
      <c r="B54" s="6" t="s">
        <v>3223</v>
      </c>
      <c r="C54" s="5" t="s">
        <v>3224</v>
      </c>
      <c r="D54" s="5" t="s">
        <v>1264</v>
      </c>
      <c r="E54" s="5" t="s">
        <v>1265</v>
      </c>
      <c r="F54" s="6">
        <v>2026</v>
      </c>
      <c r="G54" s="5" t="s">
        <v>1266</v>
      </c>
      <c r="H54" s="5" t="s">
        <v>3225</v>
      </c>
      <c r="I54" s="5" t="s">
        <v>3226</v>
      </c>
      <c r="J54" s="5" t="s">
        <v>3227</v>
      </c>
      <c r="K54" s="5" t="s">
        <v>3228</v>
      </c>
      <c r="L54" s="6" t="s">
        <v>3139</v>
      </c>
      <c r="M54" s="5" t="s">
        <v>8224</v>
      </c>
    </row>
    <row r="55" spans="1:13" ht="228" x14ac:dyDescent="0.2">
      <c r="A55" s="6">
        <v>54</v>
      </c>
      <c r="B55" s="6" t="s">
        <v>3229</v>
      </c>
      <c r="C55" s="5" t="s">
        <v>3230</v>
      </c>
      <c r="D55" s="5" t="s">
        <v>1268</v>
      </c>
      <c r="E55" s="5" t="s">
        <v>1269</v>
      </c>
      <c r="F55" s="6">
        <v>2025</v>
      </c>
      <c r="G55" s="5" t="s">
        <v>1270</v>
      </c>
      <c r="H55" s="5" t="s">
        <v>3231</v>
      </c>
      <c r="I55" s="5" t="s">
        <v>3232</v>
      </c>
      <c r="J55" s="5" t="s">
        <v>3233</v>
      </c>
      <c r="K55" s="5" t="s">
        <v>3234</v>
      </c>
      <c r="L55" s="6" t="s">
        <v>3235</v>
      </c>
      <c r="M55" s="5" t="s">
        <v>8225</v>
      </c>
    </row>
    <row r="56" spans="1:13" ht="342" x14ac:dyDescent="0.2">
      <c r="A56" s="6">
        <v>55</v>
      </c>
      <c r="B56" s="6" t="s">
        <v>3236</v>
      </c>
      <c r="C56" s="5" t="s">
        <v>3237</v>
      </c>
      <c r="D56" s="5" t="s">
        <v>1280</v>
      </c>
      <c r="E56" s="5" t="s">
        <v>1281</v>
      </c>
      <c r="F56" s="6">
        <v>2025</v>
      </c>
      <c r="G56" s="5" t="s">
        <v>1282</v>
      </c>
      <c r="H56" s="5" t="s">
        <v>3238</v>
      </c>
      <c r="I56" s="5" t="s">
        <v>3239</v>
      </c>
      <c r="J56" s="5" t="s">
        <v>3240</v>
      </c>
      <c r="K56" s="5" t="s">
        <v>3241</v>
      </c>
      <c r="L56" s="6" t="s">
        <v>3242</v>
      </c>
      <c r="M56" s="5" t="s">
        <v>8226</v>
      </c>
    </row>
    <row r="57" spans="1:13" ht="266" x14ac:dyDescent="0.2">
      <c r="A57" s="6">
        <v>56</v>
      </c>
      <c r="B57" s="6" t="s">
        <v>3243</v>
      </c>
      <c r="C57" s="5" t="s">
        <v>3244</v>
      </c>
      <c r="D57" s="5" t="s">
        <v>1318</v>
      </c>
      <c r="E57" s="5" t="s">
        <v>1319</v>
      </c>
      <c r="F57" s="6">
        <v>2026</v>
      </c>
      <c r="G57" s="5" t="s">
        <v>1320</v>
      </c>
      <c r="H57" s="5" t="s">
        <v>8227</v>
      </c>
      <c r="I57" s="5" t="s">
        <v>3245</v>
      </c>
      <c r="J57" s="5" t="s">
        <v>3246</v>
      </c>
      <c r="K57" s="5" t="s">
        <v>3247</v>
      </c>
      <c r="L57" s="6" t="s">
        <v>3042</v>
      </c>
      <c r="M57" s="5" t="s">
        <v>8228</v>
      </c>
    </row>
    <row r="58" spans="1:13" ht="209" x14ac:dyDescent="0.2">
      <c r="A58" s="6">
        <v>57</v>
      </c>
      <c r="B58" s="6" t="s">
        <v>3248</v>
      </c>
      <c r="C58" s="5" t="s">
        <v>3249</v>
      </c>
      <c r="D58" s="5" t="s">
        <v>1564</v>
      </c>
      <c r="E58" s="5" t="s">
        <v>1565</v>
      </c>
      <c r="F58" s="6">
        <v>2024</v>
      </c>
      <c r="G58" s="5" t="s">
        <v>3250</v>
      </c>
      <c r="H58" s="5" t="s">
        <v>3251</v>
      </c>
      <c r="I58" s="5" t="s">
        <v>3252</v>
      </c>
      <c r="J58" s="5" t="s">
        <v>3253</v>
      </c>
      <c r="K58" s="5" t="s">
        <v>3254</v>
      </c>
      <c r="L58" s="6" t="s">
        <v>3255</v>
      </c>
      <c r="M58" s="5" t="s">
        <v>8229</v>
      </c>
    </row>
    <row r="59" spans="1:13" ht="247" x14ac:dyDescent="0.2">
      <c r="A59" s="6">
        <v>58</v>
      </c>
      <c r="B59" s="6" t="s">
        <v>3256</v>
      </c>
      <c r="C59" s="5" t="s">
        <v>3257</v>
      </c>
      <c r="D59" s="5" t="s">
        <v>1631</v>
      </c>
      <c r="E59" s="5" t="s">
        <v>1632</v>
      </c>
      <c r="F59" s="6">
        <v>2024</v>
      </c>
      <c r="G59" s="5" t="s">
        <v>3258</v>
      </c>
      <c r="H59" s="5" t="s">
        <v>3259</v>
      </c>
      <c r="I59" s="5" t="s">
        <v>3260</v>
      </c>
      <c r="J59" s="5" t="s">
        <v>3261</v>
      </c>
      <c r="K59" s="5" t="s">
        <v>3262</v>
      </c>
      <c r="L59" s="6" t="s">
        <v>3263</v>
      </c>
      <c r="M59" s="5" t="s">
        <v>8230</v>
      </c>
    </row>
    <row r="60" spans="1:13" ht="304" x14ac:dyDescent="0.2">
      <c r="A60" s="6">
        <v>59</v>
      </c>
      <c r="B60" s="6" t="s">
        <v>3264</v>
      </c>
      <c r="C60" s="5" t="s">
        <v>3265</v>
      </c>
      <c r="D60" s="5" t="s">
        <v>1696</v>
      </c>
      <c r="E60" s="5" t="s">
        <v>1697</v>
      </c>
      <c r="F60" s="6">
        <v>2024</v>
      </c>
      <c r="G60" s="5" t="s">
        <v>3266</v>
      </c>
      <c r="H60" s="5" t="s">
        <v>3267</v>
      </c>
      <c r="I60" s="5" t="s">
        <v>3268</v>
      </c>
      <c r="J60" s="5" t="s">
        <v>3269</v>
      </c>
      <c r="K60" s="5" t="s">
        <v>3270</v>
      </c>
      <c r="L60" s="6" t="s">
        <v>3271</v>
      </c>
      <c r="M60" s="5" t="s">
        <v>8231</v>
      </c>
    </row>
    <row r="61" spans="1:13" ht="190" x14ac:dyDescent="0.2">
      <c r="A61" s="6">
        <v>60</v>
      </c>
      <c r="B61" s="6" t="s">
        <v>3272</v>
      </c>
      <c r="C61" s="5" t="s">
        <v>3273</v>
      </c>
      <c r="D61" s="5" t="s">
        <v>1700</v>
      </c>
      <c r="E61" s="5" t="s">
        <v>1701</v>
      </c>
      <c r="F61" s="6">
        <v>2024</v>
      </c>
      <c r="G61" s="5" t="s">
        <v>3274</v>
      </c>
      <c r="H61" s="5" t="s">
        <v>8232</v>
      </c>
      <c r="I61" s="5" t="s">
        <v>3275</v>
      </c>
      <c r="J61" s="5" t="s">
        <v>3276</v>
      </c>
      <c r="K61" s="5" t="s">
        <v>3277</v>
      </c>
      <c r="L61" s="6" t="s">
        <v>3271</v>
      </c>
      <c r="M61" s="5" t="s">
        <v>8233</v>
      </c>
    </row>
    <row r="62" spans="1:13" ht="409.6" x14ac:dyDescent="0.2">
      <c r="A62" s="6">
        <v>61</v>
      </c>
      <c r="B62" s="6" t="s">
        <v>3278</v>
      </c>
      <c r="C62" s="5" t="s">
        <v>3279</v>
      </c>
      <c r="D62" s="5" t="s">
        <v>1664</v>
      </c>
      <c r="E62" s="5" t="s">
        <v>1665</v>
      </c>
      <c r="F62" s="6">
        <v>2025</v>
      </c>
      <c r="G62" s="5" t="s">
        <v>3280</v>
      </c>
      <c r="H62" s="5" t="s">
        <v>3281</v>
      </c>
      <c r="I62" s="5" t="s">
        <v>3282</v>
      </c>
      <c r="J62" s="5" t="s">
        <v>3283</v>
      </c>
      <c r="K62" s="5" t="s">
        <v>3284</v>
      </c>
      <c r="L62" s="6" t="s">
        <v>3285</v>
      </c>
      <c r="M62" s="5" t="s">
        <v>8234</v>
      </c>
    </row>
    <row r="63" spans="1:13" ht="304" x14ac:dyDescent="0.2">
      <c r="A63" s="6">
        <v>62</v>
      </c>
      <c r="B63" s="6" t="s">
        <v>3286</v>
      </c>
      <c r="C63" s="5" t="s">
        <v>3287</v>
      </c>
      <c r="D63" s="5" t="s">
        <v>1700</v>
      </c>
      <c r="E63" s="5" t="s">
        <v>1770</v>
      </c>
      <c r="F63" s="6">
        <v>2025</v>
      </c>
      <c r="G63" s="5" t="s">
        <v>3288</v>
      </c>
      <c r="H63" s="5" t="s">
        <v>8235</v>
      </c>
      <c r="I63" s="5" t="s">
        <v>8236</v>
      </c>
      <c r="J63" s="5" t="s">
        <v>3289</v>
      </c>
      <c r="K63" s="5" t="s">
        <v>8237</v>
      </c>
      <c r="L63" s="6" t="s">
        <v>3271</v>
      </c>
      <c r="M63" s="5" t="s">
        <v>8238</v>
      </c>
    </row>
    <row r="64" spans="1:13" ht="285" x14ac:dyDescent="0.2">
      <c r="A64" s="6">
        <v>63</v>
      </c>
      <c r="B64" s="6" t="s">
        <v>3290</v>
      </c>
      <c r="C64" s="5" t="s">
        <v>3291</v>
      </c>
      <c r="D64" s="5" t="s">
        <v>1773</v>
      </c>
      <c r="E64" s="5" t="s">
        <v>1774</v>
      </c>
      <c r="F64" s="6">
        <v>2024</v>
      </c>
      <c r="G64" s="5" t="s">
        <v>3292</v>
      </c>
      <c r="H64" s="5" t="s">
        <v>3293</v>
      </c>
      <c r="I64" s="5" t="s">
        <v>3294</v>
      </c>
      <c r="J64" s="5" t="s">
        <v>3295</v>
      </c>
      <c r="K64" s="5" t="s">
        <v>3296</v>
      </c>
      <c r="L64" s="6" t="s">
        <v>3297</v>
      </c>
      <c r="M64" s="5" t="s">
        <v>8239</v>
      </c>
    </row>
    <row r="65" spans="1:13" ht="209" x14ac:dyDescent="0.2">
      <c r="A65" s="6">
        <v>64</v>
      </c>
      <c r="B65" s="6" t="s">
        <v>3298</v>
      </c>
      <c r="C65" s="5" t="s">
        <v>3299</v>
      </c>
      <c r="D65" s="5" t="s">
        <v>1884</v>
      </c>
      <c r="E65" s="5" t="s">
        <v>1885</v>
      </c>
      <c r="F65" s="6">
        <v>2024</v>
      </c>
      <c r="G65" s="5" t="s">
        <v>3300</v>
      </c>
      <c r="H65" s="5" t="s">
        <v>3301</v>
      </c>
      <c r="I65" s="5" t="s">
        <v>3302</v>
      </c>
      <c r="J65" s="5" t="s">
        <v>3303</v>
      </c>
      <c r="K65" s="5" t="s">
        <v>3304</v>
      </c>
      <c r="L65" s="6" t="s">
        <v>3305</v>
      </c>
      <c r="M65" s="5" t="s">
        <v>8240</v>
      </c>
    </row>
    <row r="66" spans="1:13" ht="152" x14ac:dyDescent="0.2">
      <c r="A66" s="6">
        <v>65</v>
      </c>
      <c r="B66" s="6" t="s">
        <v>3306</v>
      </c>
      <c r="C66" s="5" t="s">
        <v>3307</v>
      </c>
      <c r="D66" s="5" t="s">
        <v>1938</v>
      </c>
      <c r="E66" s="5" t="s">
        <v>1939</v>
      </c>
      <c r="F66" s="6">
        <v>2024</v>
      </c>
      <c r="G66" s="5" t="s">
        <v>1940</v>
      </c>
      <c r="H66" s="5" t="s">
        <v>3308</v>
      </c>
      <c r="I66" s="5" t="s">
        <v>3309</v>
      </c>
      <c r="J66" s="5" t="s">
        <v>3310</v>
      </c>
      <c r="K66" s="5" t="s">
        <v>3311</v>
      </c>
      <c r="L66" s="6" t="s">
        <v>3312</v>
      </c>
      <c r="M66" s="5" t="s">
        <v>8241</v>
      </c>
    </row>
    <row r="67" spans="1:13" ht="285" x14ac:dyDescent="0.2">
      <c r="A67" s="6">
        <v>66</v>
      </c>
      <c r="B67" s="6" t="s">
        <v>3313</v>
      </c>
      <c r="C67" s="5" t="s">
        <v>3314</v>
      </c>
      <c r="D67" s="5" t="s">
        <v>2054</v>
      </c>
      <c r="E67" s="5" t="s">
        <v>2055</v>
      </c>
      <c r="F67" s="6">
        <v>2026</v>
      </c>
      <c r="G67" s="5" t="s">
        <v>3315</v>
      </c>
      <c r="H67" s="5" t="s">
        <v>8242</v>
      </c>
      <c r="I67" s="5" t="s">
        <v>3316</v>
      </c>
      <c r="J67" s="5" t="s">
        <v>3317</v>
      </c>
      <c r="K67" s="5" t="s">
        <v>8243</v>
      </c>
      <c r="L67" s="6" t="s">
        <v>3271</v>
      </c>
      <c r="M67" s="5" t="s">
        <v>8244</v>
      </c>
    </row>
    <row r="68" spans="1:13" ht="228" x14ac:dyDescent="0.2">
      <c r="A68" s="6">
        <v>67</v>
      </c>
      <c r="B68" s="6" t="s">
        <v>3318</v>
      </c>
      <c r="C68" s="5" t="s">
        <v>3319</v>
      </c>
      <c r="D68" s="5" t="s">
        <v>1988</v>
      </c>
      <c r="E68" s="5" t="s">
        <v>1989</v>
      </c>
      <c r="F68" s="6">
        <v>2025</v>
      </c>
      <c r="G68" s="5" t="s">
        <v>1990</v>
      </c>
      <c r="H68" s="5" t="s">
        <v>3320</v>
      </c>
      <c r="I68" s="5" t="s">
        <v>3321</v>
      </c>
      <c r="J68" s="5" t="s">
        <v>3322</v>
      </c>
      <c r="K68" s="5" t="s">
        <v>3323</v>
      </c>
      <c r="L68" s="6" t="s">
        <v>3324</v>
      </c>
      <c r="M68" s="5" t="s">
        <v>8245</v>
      </c>
    </row>
    <row r="69" spans="1:13" ht="285" x14ac:dyDescent="0.2">
      <c r="A69" s="6">
        <v>68</v>
      </c>
      <c r="B69" s="6" t="s">
        <v>3325</v>
      </c>
      <c r="C69" s="5" t="s">
        <v>3326</v>
      </c>
      <c r="D69" s="5" t="s">
        <v>2710</v>
      </c>
      <c r="E69" s="5" t="s">
        <v>2711</v>
      </c>
      <c r="F69" s="6">
        <v>2026</v>
      </c>
      <c r="G69" s="5" t="s">
        <v>3327</v>
      </c>
      <c r="H69" s="5" t="s">
        <v>3328</v>
      </c>
      <c r="I69" s="5" t="s">
        <v>3329</v>
      </c>
      <c r="J69" s="5" t="s">
        <v>3330</v>
      </c>
      <c r="K69" s="5" t="s">
        <v>3331</v>
      </c>
      <c r="L69" s="6" t="s">
        <v>2943</v>
      </c>
      <c r="M69" s="5" t="s">
        <v>8246</v>
      </c>
    </row>
    <row r="70" spans="1:13" ht="209" x14ac:dyDescent="0.2">
      <c r="A70" s="6">
        <v>69</v>
      </c>
      <c r="B70" s="6" t="s">
        <v>3332</v>
      </c>
      <c r="C70" s="5" t="s">
        <v>3333</v>
      </c>
      <c r="D70" s="5" t="s">
        <v>2730</v>
      </c>
      <c r="E70" s="5" t="s">
        <v>2731</v>
      </c>
      <c r="F70" s="6">
        <v>2026</v>
      </c>
      <c r="G70" s="5" t="s">
        <v>3334</v>
      </c>
      <c r="H70" s="5" t="s">
        <v>3335</v>
      </c>
      <c r="I70" s="5" t="s">
        <v>3336</v>
      </c>
      <c r="J70" s="5" t="s">
        <v>3337</v>
      </c>
      <c r="K70" s="5" t="s">
        <v>3338</v>
      </c>
      <c r="L70" s="6" t="s">
        <v>3339</v>
      </c>
      <c r="M70" s="5" t="s">
        <v>8247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19"/>
  <sheetViews>
    <sheetView workbookViewId="0">
      <pane xSplit="2" ySplit="1" topLeftCell="C348" activePane="bottomRight" state="frozen"/>
      <selection pane="topRight"/>
      <selection pane="bottomLeft"/>
      <selection pane="bottomRight" activeCell="C2" sqref="C2"/>
    </sheetView>
  </sheetViews>
  <sheetFormatPr baseColWidth="10" defaultColWidth="8.6640625" defaultRowHeight="18" x14ac:dyDescent="0.2"/>
  <cols>
    <col min="1" max="1" width="8.6640625" style="8" customWidth="1"/>
    <col min="2" max="2" width="9.33203125" style="8" customWidth="1"/>
    <col min="3" max="3" width="60" style="8" customWidth="1"/>
    <col min="4" max="4" width="36" style="8" customWidth="1"/>
    <col min="5" max="5" width="35.83203125" style="8" customWidth="1"/>
    <col min="6" max="6" width="24.33203125" style="8" customWidth="1"/>
    <col min="7" max="7" width="21" style="8" customWidth="1"/>
    <col min="8" max="8" width="26" style="8" customWidth="1"/>
    <col min="9" max="9" width="18.5" style="8" customWidth="1"/>
    <col min="10" max="10" width="23.33203125" style="8" customWidth="1"/>
    <col min="11" max="16384" width="8.6640625" style="8"/>
  </cols>
  <sheetData>
    <row r="1" spans="1:10" s="10" customFormat="1" ht="21" x14ac:dyDescent="0.2">
      <c r="A1" s="9" t="s">
        <v>3340</v>
      </c>
      <c r="B1" s="9" t="s">
        <v>30</v>
      </c>
      <c r="C1" s="9" t="s">
        <v>3341</v>
      </c>
      <c r="D1" s="9" t="s">
        <v>3342</v>
      </c>
      <c r="E1" s="9" t="s">
        <v>3343</v>
      </c>
      <c r="F1" s="9" t="s">
        <v>3344</v>
      </c>
      <c r="G1" s="9" t="s">
        <v>15</v>
      </c>
      <c r="H1" s="9" t="s">
        <v>3345</v>
      </c>
      <c r="I1" s="9" t="s">
        <v>3346</v>
      </c>
      <c r="J1" s="9" t="s">
        <v>3347</v>
      </c>
    </row>
    <row r="2" spans="1:10" ht="133" x14ac:dyDescent="0.2">
      <c r="A2" s="21" t="s">
        <v>2825</v>
      </c>
      <c r="B2" s="21">
        <v>2025</v>
      </c>
      <c r="C2" s="21" t="s">
        <v>3348</v>
      </c>
      <c r="D2" s="21" t="s">
        <v>3349</v>
      </c>
      <c r="E2" s="21" t="s">
        <v>3350</v>
      </c>
      <c r="F2" s="21" t="s">
        <v>3351</v>
      </c>
      <c r="G2" s="21"/>
      <c r="H2" s="21" t="s">
        <v>3352</v>
      </c>
      <c r="I2" s="21" t="s">
        <v>3353</v>
      </c>
      <c r="J2" s="21" t="s">
        <v>3354</v>
      </c>
    </row>
    <row r="3" spans="1:10" ht="152" x14ac:dyDescent="0.2">
      <c r="A3" s="21" t="s">
        <v>2833</v>
      </c>
      <c r="B3" s="21">
        <v>2026</v>
      </c>
      <c r="C3" s="21" t="s">
        <v>3355</v>
      </c>
      <c r="D3" s="21" t="s">
        <v>3356</v>
      </c>
      <c r="E3" s="21" t="s">
        <v>3350</v>
      </c>
      <c r="F3" s="21" t="s">
        <v>3351</v>
      </c>
      <c r="G3" s="21"/>
      <c r="H3" s="21" t="s">
        <v>3357</v>
      </c>
      <c r="I3" s="21" t="s">
        <v>3353</v>
      </c>
      <c r="J3" s="21" t="s">
        <v>3354</v>
      </c>
    </row>
    <row r="4" spans="1:10" ht="76" x14ac:dyDescent="0.2">
      <c r="A4" s="21" t="s">
        <v>2841</v>
      </c>
      <c r="B4" s="21">
        <v>2026</v>
      </c>
      <c r="C4" s="21" t="s">
        <v>3358</v>
      </c>
      <c r="D4" s="21" t="s">
        <v>3359</v>
      </c>
      <c r="E4" s="21" t="s">
        <v>3350</v>
      </c>
      <c r="F4" s="21" t="s">
        <v>3351</v>
      </c>
      <c r="G4" s="21"/>
      <c r="H4" s="21" t="s">
        <v>3360</v>
      </c>
      <c r="I4" s="21" t="s">
        <v>3361</v>
      </c>
      <c r="J4" s="21" t="s">
        <v>3354</v>
      </c>
    </row>
    <row r="5" spans="1:10" ht="95" x14ac:dyDescent="0.2">
      <c r="A5" s="21" t="s">
        <v>2849</v>
      </c>
      <c r="B5" s="21">
        <v>2026</v>
      </c>
      <c r="C5" s="21" t="s">
        <v>3362</v>
      </c>
      <c r="D5" s="21" t="s">
        <v>3363</v>
      </c>
      <c r="E5" s="21" t="s">
        <v>3350</v>
      </c>
      <c r="F5" s="21" t="s">
        <v>3351</v>
      </c>
      <c r="G5" s="21"/>
      <c r="H5" s="21" t="s">
        <v>3364</v>
      </c>
      <c r="I5" s="21" t="s">
        <v>3353</v>
      </c>
      <c r="J5" s="21" t="s">
        <v>3354</v>
      </c>
    </row>
    <row r="6" spans="1:10" ht="95" x14ac:dyDescent="0.2">
      <c r="A6" s="21" t="s">
        <v>2873</v>
      </c>
      <c r="B6" s="21">
        <v>2025</v>
      </c>
      <c r="C6" s="21" t="s">
        <v>3365</v>
      </c>
      <c r="D6" s="21" t="s">
        <v>3366</v>
      </c>
      <c r="E6" s="21" t="s">
        <v>3350</v>
      </c>
      <c r="F6" s="21" t="s">
        <v>3351</v>
      </c>
      <c r="G6" s="21"/>
      <c r="H6" s="21" t="s">
        <v>3367</v>
      </c>
      <c r="I6" s="21" t="s">
        <v>3353</v>
      </c>
      <c r="J6" s="21" t="s">
        <v>3354</v>
      </c>
    </row>
    <row r="7" spans="1:10" ht="114" x14ac:dyDescent="0.2">
      <c r="A7" s="21" t="s">
        <v>2881</v>
      </c>
      <c r="B7" s="21">
        <v>2026</v>
      </c>
      <c r="C7" s="21" t="s">
        <v>3368</v>
      </c>
      <c r="D7" s="21" t="s">
        <v>3369</v>
      </c>
      <c r="E7" s="21" t="s">
        <v>3350</v>
      </c>
      <c r="F7" s="21" t="s">
        <v>3351</v>
      </c>
      <c r="G7" s="21"/>
      <c r="H7" s="21" t="s">
        <v>3370</v>
      </c>
      <c r="I7" s="21" t="s">
        <v>3353</v>
      </c>
      <c r="J7" s="21" t="s">
        <v>3354</v>
      </c>
    </row>
    <row r="8" spans="1:10" ht="152" x14ac:dyDescent="0.2">
      <c r="A8" s="21" t="s">
        <v>2881</v>
      </c>
      <c r="B8" s="21">
        <v>2026</v>
      </c>
      <c r="C8" s="21" t="s">
        <v>3371</v>
      </c>
      <c r="D8" s="21" t="s">
        <v>3372</v>
      </c>
      <c r="E8" s="21" t="s">
        <v>3350</v>
      </c>
      <c r="F8" s="21" t="s">
        <v>3351</v>
      </c>
      <c r="G8" s="21"/>
      <c r="H8" s="21" t="s">
        <v>3373</v>
      </c>
      <c r="I8" s="21" t="s">
        <v>3353</v>
      </c>
      <c r="J8" s="21" t="s">
        <v>3354</v>
      </c>
    </row>
    <row r="9" spans="1:10" ht="76" x14ac:dyDescent="0.2">
      <c r="A9" s="21" t="s">
        <v>2889</v>
      </c>
      <c r="B9" s="21">
        <v>2026</v>
      </c>
      <c r="C9" s="21" t="s">
        <v>3374</v>
      </c>
      <c r="D9" s="21" t="s">
        <v>3375</v>
      </c>
      <c r="E9" s="21" t="s">
        <v>3350</v>
      </c>
      <c r="F9" s="21" t="s">
        <v>3351</v>
      </c>
      <c r="G9" s="21"/>
      <c r="H9" s="21" t="s">
        <v>3376</v>
      </c>
      <c r="I9" s="21" t="s">
        <v>3361</v>
      </c>
      <c r="J9" s="21" t="s">
        <v>3354</v>
      </c>
    </row>
    <row r="10" spans="1:10" ht="76" x14ac:dyDescent="0.2">
      <c r="A10" s="21" t="s">
        <v>2904</v>
      </c>
      <c r="B10" s="21">
        <v>2026</v>
      </c>
      <c r="C10" s="21" t="s">
        <v>3377</v>
      </c>
      <c r="D10" s="21" t="s">
        <v>3378</v>
      </c>
      <c r="E10" s="21" t="s">
        <v>3350</v>
      </c>
      <c r="F10" s="21" t="s">
        <v>3351</v>
      </c>
      <c r="G10" s="21"/>
      <c r="H10" s="21" t="s">
        <v>3379</v>
      </c>
      <c r="I10" s="21" t="s">
        <v>3361</v>
      </c>
      <c r="J10" s="21" t="s">
        <v>3354</v>
      </c>
    </row>
    <row r="11" spans="1:10" ht="171" x14ac:dyDescent="0.2">
      <c r="A11" s="21" t="s">
        <v>2928</v>
      </c>
      <c r="B11" s="21">
        <v>2025</v>
      </c>
      <c r="C11" s="21" t="s">
        <v>3380</v>
      </c>
      <c r="D11" s="21" t="s">
        <v>3381</v>
      </c>
      <c r="E11" s="21" t="s">
        <v>3350</v>
      </c>
      <c r="F11" s="21" t="s">
        <v>3351</v>
      </c>
      <c r="G11" s="21"/>
      <c r="H11" s="21" t="s">
        <v>3382</v>
      </c>
      <c r="I11" s="21" t="s">
        <v>3353</v>
      </c>
      <c r="J11" s="21" t="s">
        <v>3354</v>
      </c>
    </row>
    <row r="12" spans="1:10" ht="133" x14ac:dyDescent="0.2">
      <c r="A12" s="21" t="s">
        <v>2989</v>
      </c>
      <c r="B12" s="21">
        <v>2026</v>
      </c>
      <c r="C12" s="21" t="s">
        <v>3383</v>
      </c>
      <c r="D12" s="21" t="s">
        <v>3384</v>
      </c>
      <c r="E12" s="21" t="s">
        <v>3350</v>
      </c>
      <c r="F12" s="21" t="s">
        <v>3351</v>
      </c>
      <c r="G12" s="21"/>
      <c r="H12" s="21" t="s">
        <v>3385</v>
      </c>
      <c r="I12" s="21" t="s">
        <v>3361</v>
      </c>
      <c r="J12" s="21" t="s">
        <v>3354</v>
      </c>
    </row>
    <row r="13" spans="1:10" ht="114" x14ac:dyDescent="0.2">
      <c r="A13" s="21" t="s">
        <v>3004</v>
      </c>
      <c r="B13" s="21">
        <v>2024</v>
      </c>
      <c r="C13" s="21" t="s">
        <v>3386</v>
      </c>
      <c r="D13" s="21" t="s">
        <v>3387</v>
      </c>
      <c r="E13" s="21" t="s">
        <v>3350</v>
      </c>
      <c r="F13" s="21" t="s">
        <v>3351</v>
      </c>
      <c r="G13" s="21"/>
      <c r="H13" s="21" t="s">
        <v>3388</v>
      </c>
      <c r="I13" s="21" t="s">
        <v>3353</v>
      </c>
      <c r="J13" s="21" t="s">
        <v>3354</v>
      </c>
    </row>
    <row r="14" spans="1:10" ht="95" x14ac:dyDescent="0.2">
      <c r="A14" s="21" t="s">
        <v>3012</v>
      </c>
      <c r="B14" s="21">
        <v>2025</v>
      </c>
      <c r="C14" s="21" t="s">
        <v>3389</v>
      </c>
      <c r="D14" s="21" t="s">
        <v>3390</v>
      </c>
      <c r="E14" s="21" t="s">
        <v>3350</v>
      </c>
      <c r="F14" s="21" t="s">
        <v>3351</v>
      </c>
      <c r="G14" s="21"/>
      <c r="H14" s="21" t="s">
        <v>3391</v>
      </c>
      <c r="I14" s="21" t="s">
        <v>3353</v>
      </c>
      <c r="J14" s="21" t="s">
        <v>3354</v>
      </c>
    </row>
    <row r="15" spans="1:10" ht="133" x14ac:dyDescent="0.2">
      <c r="A15" s="21" t="s">
        <v>3020</v>
      </c>
      <c r="B15" s="21">
        <v>2026</v>
      </c>
      <c r="C15" s="21" t="s">
        <v>3392</v>
      </c>
      <c r="D15" s="21" t="s">
        <v>3393</v>
      </c>
      <c r="E15" s="21" t="s">
        <v>3350</v>
      </c>
      <c r="F15" s="21" t="s">
        <v>3351</v>
      </c>
      <c r="G15" s="21"/>
      <c r="H15" s="21" t="s">
        <v>3394</v>
      </c>
      <c r="I15" s="21" t="s">
        <v>3353</v>
      </c>
      <c r="J15" s="21" t="s">
        <v>3354</v>
      </c>
    </row>
    <row r="16" spans="1:10" ht="114" x14ac:dyDescent="0.2">
      <c r="A16" s="21" t="s">
        <v>3051</v>
      </c>
      <c r="B16" s="21">
        <v>2025</v>
      </c>
      <c r="C16" s="21" t="s">
        <v>3395</v>
      </c>
      <c r="D16" s="21" t="s">
        <v>3396</v>
      </c>
      <c r="E16" s="21" t="s">
        <v>3350</v>
      </c>
      <c r="F16" s="21" t="s">
        <v>3351</v>
      </c>
      <c r="G16" s="21"/>
      <c r="H16" s="21" t="s">
        <v>3397</v>
      </c>
      <c r="I16" s="21" t="s">
        <v>3353</v>
      </c>
      <c r="J16" s="21" t="s">
        <v>3354</v>
      </c>
    </row>
    <row r="17" spans="1:10" ht="95" x14ac:dyDescent="0.2">
      <c r="A17" s="21" t="s">
        <v>3051</v>
      </c>
      <c r="B17" s="21">
        <v>2025</v>
      </c>
      <c r="C17" s="21" t="s">
        <v>3398</v>
      </c>
      <c r="D17" s="21" t="s">
        <v>3399</v>
      </c>
      <c r="E17" s="21" t="s">
        <v>3350</v>
      </c>
      <c r="F17" s="21" t="s">
        <v>3351</v>
      </c>
      <c r="G17" s="21"/>
      <c r="H17" s="21" t="s">
        <v>3400</v>
      </c>
      <c r="I17" s="21" t="s">
        <v>3353</v>
      </c>
      <c r="J17" s="21" t="s">
        <v>3354</v>
      </c>
    </row>
    <row r="18" spans="1:10" ht="114" x14ac:dyDescent="0.2">
      <c r="A18" s="21" t="s">
        <v>3058</v>
      </c>
      <c r="B18" s="21">
        <v>2025</v>
      </c>
      <c r="C18" s="21" t="s">
        <v>3401</v>
      </c>
      <c r="D18" s="21" t="s">
        <v>3402</v>
      </c>
      <c r="E18" s="21" t="s">
        <v>3350</v>
      </c>
      <c r="F18" s="21" t="s">
        <v>3351</v>
      </c>
      <c r="G18" s="21"/>
      <c r="H18" s="21" t="s">
        <v>3403</v>
      </c>
      <c r="I18" s="21" t="s">
        <v>3361</v>
      </c>
      <c r="J18" s="21" t="s">
        <v>3354</v>
      </c>
    </row>
    <row r="19" spans="1:10" ht="133" x14ac:dyDescent="0.2">
      <c r="A19" s="21" t="s">
        <v>3072</v>
      </c>
      <c r="B19" s="21">
        <v>2026</v>
      </c>
      <c r="C19" s="21" t="s">
        <v>3404</v>
      </c>
      <c r="D19" s="21" t="s">
        <v>3405</v>
      </c>
      <c r="E19" s="21" t="s">
        <v>3350</v>
      </c>
      <c r="F19" s="21" t="s">
        <v>3351</v>
      </c>
      <c r="G19" s="21"/>
      <c r="H19" s="21" t="s">
        <v>3406</v>
      </c>
      <c r="I19" s="21" t="s">
        <v>3353</v>
      </c>
      <c r="J19" s="21" t="s">
        <v>3354</v>
      </c>
    </row>
    <row r="20" spans="1:10" ht="114" x14ac:dyDescent="0.2">
      <c r="A20" s="21" t="s">
        <v>3072</v>
      </c>
      <c r="B20" s="21">
        <v>2026</v>
      </c>
      <c r="C20" s="21" t="s">
        <v>3407</v>
      </c>
      <c r="D20" s="21" t="s">
        <v>3408</v>
      </c>
      <c r="E20" s="21" t="s">
        <v>3350</v>
      </c>
      <c r="F20" s="21" t="s">
        <v>3351</v>
      </c>
      <c r="G20" s="21"/>
      <c r="H20" s="21" t="s">
        <v>3409</v>
      </c>
      <c r="I20" s="21" t="s">
        <v>3353</v>
      </c>
      <c r="J20" s="21" t="s">
        <v>3354</v>
      </c>
    </row>
    <row r="21" spans="1:10" ht="95" x14ac:dyDescent="0.2">
      <c r="A21" s="21" t="s">
        <v>3080</v>
      </c>
      <c r="B21" s="21">
        <v>2026</v>
      </c>
      <c r="C21" s="21" t="s">
        <v>3410</v>
      </c>
      <c r="D21" s="21" t="s">
        <v>3411</v>
      </c>
      <c r="E21" s="21" t="s">
        <v>3350</v>
      </c>
      <c r="F21" s="21" t="s">
        <v>3351</v>
      </c>
      <c r="G21" s="21"/>
      <c r="H21" s="21" t="s">
        <v>3412</v>
      </c>
      <c r="I21" s="21" t="s">
        <v>3361</v>
      </c>
      <c r="J21" s="21" t="s">
        <v>3354</v>
      </c>
    </row>
    <row r="22" spans="1:10" ht="95" x14ac:dyDescent="0.2">
      <c r="A22" s="21" t="s">
        <v>3095</v>
      </c>
      <c r="B22" s="21">
        <v>2026</v>
      </c>
      <c r="C22" s="21" t="s">
        <v>3413</v>
      </c>
      <c r="D22" s="21" t="s">
        <v>3414</v>
      </c>
      <c r="E22" s="21" t="s">
        <v>3350</v>
      </c>
      <c r="F22" s="21" t="s">
        <v>3351</v>
      </c>
      <c r="G22" s="21"/>
      <c r="H22" s="21" t="s">
        <v>3415</v>
      </c>
      <c r="I22" s="21" t="s">
        <v>3353</v>
      </c>
      <c r="J22" s="21" t="s">
        <v>3354</v>
      </c>
    </row>
    <row r="23" spans="1:10" ht="95" x14ac:dyDescent="0.2">
      <c r="A23" s="21" t="s">
        <v>3095</v>
      </c>
      <c r="B23" s="21">
        <v>2026</v>
      </c>
      <c r="C23" s="21" t="s">
        <v>3416</v>
      </c>
      <c r="D23" s="21" t="s">
        <v>3417</v>
      </c>
      <c r="E23" s="21" t="s">
        <v>3350</v>
      </c>
      <c r="F23" s="21" t="s">
        <v>3351</v>
      </c>
      <c r="G23" s="21"/>
      <c r="H23" s="21" t="s">
        <v>3418</v>
      </c>
      <c r="I23" s="21" t="s">
        <v>3353</v>
      </c>
      <c r="J23" s="21" t="s">
        <v>3354</v>
      </c>
    </row>
    <row r="24" spans="1:10" ht="114" x14ac:dyDescent="0.2">
      <c r="A24" s="21" t="s">
        <v>3109</v>
      </c>
      <c r="B24" s="21">
        <v>2026</v>
      </c>
      <c r="C24" s="21" t="s">
        <v>3419</v>
      </c>
      <c r="D24" s="21" t="s">
        <v>3420</v>
      </c>
      <c r="E24" s="21" t="s">
        <v>3350</v>
      </c>
      <c r="F24" s="21" t="s">
        <v>3351</v>
      </c>
      <c r="G24" s="21"/>
      <c r="H24" s="21" t="s">
        <v>3421</v>
      </c>
      <c r="I24" s="21" t="s">
        <v>3353</v>
      </c>
      <c r="J24" s="21" t="s">
        <v>3354</v>
      </c>
    </row>
    <row r="25" spans="1:10" ht="152" x14ac:dyDescent="0.2">
      <c r="A25" s="21" t="s">
        <v>3140</v>
      </c>
      <c r="B25" s="21">
        <v>2026</v>
      </c>
      <c r="C25" s="21" t="s">
        <v>3422</v>
      </c>
      <c r="D25" s="21" t="s">
        <v>3423</v>
      </c>
      <c r="E25" s="21" t="s">
        <v>3350</v>
      </c>
      <c r="F25" s="21" t="s">
        <v>3351</v>
      </c>
      <c r="G25" s="21"/>
      <c r="H25" s="21" t="s">
        <v>3424</v>
      </c>
      <c r="I25" s="21" t="s">
        <v>3353</v>
      </c>
      <c r="J25" s="21" t="s">
        <v>3354</v>
      </c>
    </row>
    <row r="26" spans="1:10" ht="95" x14ac:dyDescent="0.2">
      <c r="A26" s="21" t="s">
        <v>3140</v>
      </c>
      <c r="B26" s="21">
        <v>2026</v>
      </c>
      <c r="C26" s="21" t="s">
        <v>3425</v>
      </c>
      <c r="D26" s="21" t="s">
        <v>3426</v>
      </c>
      <c r="E26" s="21" t="s">
        <v>3350</v>
      </c>
      <c r="F26" s="21" t="s">
        <v>3351</v>
      </c>
      <c r="G26" s="21"/>
      <c r="H26" s="21" t="s">
        <v>3427</v>
      </c>
      <c r="I26" s="21" t="s">
        <v>3353</v>
      </c>
      <c r="J26" s="21" t="s">
        <v>3354</v>
      </c>
    </row>
    <row r="27" spans="1:10" ht="114" x14ac:dyDescent="0.2">
      <c r="A27" s="21" t="s">
        <v>3163</v>
      </c>
      <c r="B27" s="21">
        <v>2025</v>
      </c>
      <c r="C27" s="21" t="s">
        <v>3428</v>
      </c>
      <c r="D27" s="21" t="s">
        <v>3429</v>
      </c>
      <c r="E27" s="21" t="s">
        <v>3350</v>
      </c>
      <c r="F27" s="21" t="s">
        <v>3351</v>
      </c>
      <c r="G27" s="21"/>
      <c r="H27" s="21" t="s">
        <v>3430</v>
      </c>
      <c r="I27" s="21" t="s">
        <v>3353</v>
      </c>
      <c r="J27" s="21" t="s">
        <v>3354</v>
      </c>
    </row>
    <row r="28" spans="1:10" ht="171" x14ac:dyDescent="0.2">
      <c r="A28" s="21" t="s">
        <v>3163</v>
      </c>
      <c r="B28" s="21">
        <v>2025</v>
      </c>
      <c r="C28" s="21" t="s">
        <v>3431</v>
      </c>
      <c r="D28" s="21" t="s">
        <v>3432</v>
      </c>
      <c r="E28" s="21" t="s">
        <v>3350</v>
      </c>
      <c r="F28" s="21" t="s">
        <v>3351</v>
      </c>
      <c r="G28" s="21"/>
      <c r="H28" s="21" t="s">
        <v>3433</v>
      </c>
      <c r="I28" s="21" t="s">
        <v>3353</v>
      </c>
      <c r="J28" s="21" t="s">
        <v>3354</v>
      </c>
    </row>
    <row r="29" spans="1:10" ht="114" x14ac:dyDescent="0.2">
      <c r="A29" s="21" t="s">
        <v>3194</v>
      </c>
      <c r="B29" s="21">
        <v>2025</v>
      </c>
      <c r="C29" s="21" t="s">
        <v>3434</v>
      </c>
      <c r="D29" s="21" t="s">
        <v>3435</v>
      </c>
      <c r="E29" s="21" t="s">
        <v>3350</v>
      </c>
      <c r="F29" s="21" t="s">
        <v>3351</v>
      </c>
      <c r="G29" s="21"/>
      <c r="H29" s="21" t="s">
        <v>3436</v>
      </c>
      <c r="I29" s="21" t="s">
        <v>3353</v>
      </c>
      <c r="J29" s="21" t="s">
        <v>3354</v>
      </c>
    </row>
    <row r="30" spans="1:10" ht="76" x14ac:dyDescent="0.2">
      <c r="A30" s="21" t="s">
        <v>3194</v>
      </c>
      <c r="B30" s="21">
        <v>2025</v>
      </c>
      <c r="C30" s="21" t="s">
        <v>3437</v>
      </c>
      <c r="D30" s="21" t="s">
        <v>3438</v>
      </c>
      <c r="E30" s="21" t="s">
        <v>3350</v>
      </c>
      <c r="F30" s="21" t="s">
        <v>3351</v>
      </c>
      <c r="G30" s="21"/>
      <c r="H30" s="21" t="s">
        <v>3439</v>
      </c>
      <c r="I30" s="21" t="s">
        <v>3353</v>
      </c>
      <c r="J30" s="21" t="s">
        <v>3354</v>
      </c>
    </row>
    <row r="31" spans="1:10" ht="95" x14ac:dyDescent="0.2">
      <c r="A31" s="21" t="s">
        <v>3229</v>
      </c>
      <c r="B31" s="21">
        <v>2025</v>
      </c>
      <c r="C31" s="21" t="s">
        <v>3440</v>
      </c>
      <c r="D31" s="21" t="s">
        <v>3441</v>
      </c>
      <c r="E31" s="21" t="s">
        <v>3350</v>
      </c>
      <c r="F31" s="21" t="s">
        <v>3351</v>
      </c>
      <c r="G31" s="21"/>
      <c r="H31" s="21" t="s">
        <v>3442</v>
      </c>
      <c r="I31" s="21" t="s">
        <v>3353</v>
      </c>
      <c r="J31" s="21" t="s">
        <v>3354</v>
      </c>
    </row>
    <row r="32" spans="1:10" ht="152" x14ac:dyDescent="0.2">
      <c r="A32" s="21" t="s">
        <v>3248</v>
      </c>
      <c r="B32" s="21">
        <v>2024</v>
      </c>
      <c r="C32" s="21" t="s">
        <v>3443</v>
      </c>
      <c r="D32" s="21" t="s">
        <v>3444</v>
      </c>
      <c r="E32" s="21" t="s">
        <v>3350</v>
      </c>
      <c r="F32" s="21" t="s">
        <v>3351</v>
      </c>
      <c r="G32" s="21"/>
      <c r="H32" s="21" t="s">
        <v>3445</v>
      </c>
      <c r="I32" s="21" t="s">
        <v>3353</v>
      </c>
      <c r="J32" s="21" t="s">
        <v>3354</v>
      </c>
    </row>
    <row r="33" spans="1:10" ht="57" x14ac:dyDescent="0.2">
      <c r="A33" s="21" t="s">
        <v>3256</v>
      </c>
      <c r="B33" s="21">
        <v>2024</v>
      </c>
      <c r="C33" s="21" t="s">
        <v>3446</v>
      </c>
      <c r="D33" s="21" t="s">
        <v>3447</v>
      </c>
      <c r="E33" s="21" t="s">
        <v>3350</v>
      </c>
      <c r="F33" s="21" t="s">
        <v>3351</v>
      </c>
      <c r="G33" s="21"/>
      <c r="H33" s="21" t="s">
        <v>3448</v>
      </c>
      <c r="I33" s="21" t="s">
        <v>3353</v>
      </c>
      <c r="J33" s="21" t="s">
        <v>3354</v>
      </c>
    </row>
    <row r="34" spans="1:10" ht="95" x14ac:dyDescent="0.2">
      <c r="A34" s="21" t="s">
        <v>3264</v>
      </c>
      <c r="B34" s="21">
        <v>2024</v>
      </c>
      <c r="C34" s="21" t="s">
        <v>3449</v>
      </c>
      <c r="D34" s="21" t="s">
        <v>3450</v>
      </c>
      <c r="E34" s="21" t="s">
        <v>3350</v>
      </c>
      <c r="F34" s="21" t="s">
        <v>3351</v>
      </c>
      <c r="G34" s="21"/>
      <c r="H34" s="21" t="s">
        <v>3451</v>
      </c>
      <c r="I34" s="21" t="s">
        <v>3353</v>
      </c>
      <c r="J34" s="21" t="s">
        <v>3354</v>
      </c>
    </row>
    <row r="35" spans="1:10" ht="114" x14ac:dyDescent="0.2">
      <c r="A35" s="21" t="s">
        <v>3264</v>
      </c>
      <c r="B35" s="21">
        <v>2024</v>
      </c>
      <c r="C35" s="21" t="s">
        <v>3452</v>
      </c>
      <c r="D35" s="21" t="s">
        <v>3453</v>
      </c>
      <c r="E35" s="21" t="s">
        <v>3350</v>
      </c>
      <c r="F35" s="21" t="s">
        <v>3351</v>
      </c>
      <c r="G35" s="21"/>
      <c r="H35" s="21" t="s">
        <v>3454</v>
      </c>
      <c r="I35" s="21" t="s">
        <v>3353</v>
      </c>
      <c r="J35" s="21" t="s">
        <v>3354</v>
      </c>
    </row>
    <row r="36" spans="1:10" ht="95" x14ac:dyDescent="0.2">
      <c r="A36" s="21" t="s">
        <v>3272</v>
      </c>
      <c r="B36" s="21">
        <v>2024</v>
      </c>
      <c r="C36" s="21" t="s">
        <v>3455</v>
      </c>
      <c r="D36" s="21" t="s">
        <v>3456</v>
      </c>
      <c r="E36" s="21" t="s">
        <v>3350</v>
      </c>
      <c r="F36" s="21" t="s">
        <v>3351</v>
      </c>
      <c r="G36" s="21"/>
      <c r="H36" s="21" t="s">
        <v>3457</v>
      </c>
      <c r="I36" s="21" t="s">
        <v>3353</v>
      </c>
      <c r="J36" s="21" t="s">
        <v>3354</v>
      </c>
    </row>
    <row r="37" spans="1:10" ht="171" x14ac:dyDescent="0.2">
      <c r="A37" s="21" t="s">
        <v>3278</v>
      </c>
      <c r="B37" s="21">
        <v>2025</v>
      </c>
      <c r="C37" s="21" t="s">
        <v>3458</v>
      </c>
      <c r="D37" s="21" t="s">
        <v>3459</v>
      </c>
      <c r="E37" s="21" t="s">
        <v>3350</v>
      </c>
      <c r="F37" s="21" t="s">
        <v>3351</v>
      </c>
      <c r="G37" s="21"/>
      <c r="H37" s="21" t="s">
        <v>3460</v>
      </c>
      <c r="I37" s="21" t="s">
        <v>3353</v>
      </c>
      <c r="J37" s="21" t="s">
        <v>3354</v>
      </c>
    </row>
    <row r="38" spans="1:10" ht="133" x14ac:dyDescent="0.2">
      <c r="A38" s="21" t="s">
        <v>3278</v>
      </c>
      <c r="B38" s="21">
        <v>2025</v>
      </c>
      <c r="C38" s="21" t="s">
        <v>3461</v>
      </c>
      <c r="D38" s="21" t="s">
        <v>3462</v>
      </c>
      <c r="E38" s="21" t="s">
        <v>3350</v>
      </c>
      <c r="F38" s="21" t="s">
        <v>3351</v>
      </c>
      <c r="G38" s="21"/>
      <c r="H38" s="21" t="s">
        <v>3463</v>
      </c>
      <c r="I38" s="21" t="s">
        <v>3353</v>
      </c>
      <c r="J38" s="21" t="s">
        <v>3354</v>
      </c>
    </row>
    <row r="39" spans="1:10" ht="76" x14ac:dyDescent="0.2">
      <c r="A39" s="21" t="s">
        <v>3278</v>
      </c>
      <c r="B39" s="21">
        <v>2025</v>
      </c>
      <c r="C39" s="21" t="s">
        <v>3464</v>
      </c>
      <c r="D39" s="21" t="s">
        <v>3465</v>
      </c>
      <c r="E39" s="21" t="s">
        <v>3350</v>
      </c>
      <c r="F39" s="21" t="s">
        <v>3351</v>
      </c>
      <c r="G39" s="21"/>
      <c r="H39" s="21" t="s">
        <v>3466</v>
      </c>
      <c r="I39" s="21" t="s">
        <v>3361</v>
      </c>
      <c r="J39" s="21" t="s">
        <v>3354</v>
      </c>
    </row>
    <row r="40" spans="1:10" ht="114" x14ac:dyDescent="0.2">
      <c r="A40" s="21" t="s">
        <v>3286</v>
      </c>
      <c r="B40" s="21">
        <v>2025</v>
      </c>
      <c r="C40" s="21" t="s">
        <v>3467</v>
      </c>
      <c r="D40" s="21" t="s">
        <v>3468</v>
      </c>
      <c r="E40" s="21" t="s">
        <v>3350</v>
      </c>
      <c r="F40" s="21" t="s">
        <v>3351</v>
      </c>
      <c r="G40" s="21"/>
      <c r="H40" s="21" t="s">
        <v>3469</v>
      </c>
      <c r="I40" s="21" t="s">
        <v>3353</v>
      </c>
      <c r="J40" s="21" t="s">
        <v>3354</v>
      </c>
    </row>
    <row r="41" spans="1:10" ht="114" x14ac:dyDescent="0.2">
      <c r="A41" s="21" t="s">
        <v>3286</v>
      </c>
      <c r="B41" s="21">
        <v>2025</v>
      </c>
      <c r="C41" s="21" t="s">
        <v>3470</v>
      </c>
      <c r="D41" s="21" t="s">
        <v>3471</v>
      </c>
      <c r="E41" s="21" t="s">
        <v>3350</v>
      </c>
      <c r="F41" s="21" t="s">
        <v>3351</v>
      </c>
      <c r="G41" s="21"/>
      <c r="H41" s="21" t="s">
        <v>3472</v>
      </c>
      <c r="I41" s="21" t="s">
        <v>3353</v>
      </c>
      <c r="J41" s="21" t="s">
        <v>3354</v>
      </c>
    </row>
    <row r="42" spans="1:10" ht="95" x14ac:dyDescent="0.2">
      <c r="A42" s="21" t="s">
        <v>3286</v>
      </c>
      <c r="B42" s="21">
        <v>2025</v>
      </c>
      <c r="C42" s="21" t="s">
        <v>3473</v>
      </c>
      <c r="D42" s="21" t="s">
        <v>3474</v>
      </c>
      <c r="E42" s="21" t="s">
        <v>3350</v>
      </c>
      <c r="F42" s="21" t="s">
        <v>3351</v>
      </c>
      <c r="G42" s="21"/>
      <c r="H42" s="21" t="s">
        <v>3475</v>
      </c>
      <c r="I42" s="21" t="s">
        <v>3353</v>
      </c>
      <c r="J42" s="21" t="s">
        <v>3354</v>
      </c>
    </row>
    <row r="43" spans="1:10" ht="114" x14ac:dyDescent="0.2">
      <c r="A43" s="21" t="s">
        <v>3286</v>
      </c>
      <c r="B43" s="21">
        <v>2025</v>
      </c>
      <c r="C43" s="21" t="s">
        <v>3476</v>
      </c>
      <c r="D43" s="21" t="s">
        <v>3477</v>
      </c>
      <c r="E43" s="21" t="s">
        <v>3350</v>
      </c>
      <c r="F43" s="21" t="s">
        <v>3351</v>
      </c>
      <c r="G43" s="21"/>
      <c r="H43" s="21" t="s">
        <v>3478</v>
      </c>
      <c r="I43" s="21" t="s">
        <v>3361</v>
      </c>
      <c r="J43" s="21" t="s">
        <v>3354</v>
      </c>
    </row>
    <row r="44" spans="1:10" ht="171" x14ac:dyDescent="0.2">
      <c r="A44" s="21" t="s">
        <v>3298</v>
      </c>
      <c r="B44" s="21">
        <v>2024</v>
      </c>
      <c r="C44" s="21" t="s">
        <v>3479</v>
      </c>
      <c r="D44" s="21" t="s">
        <v>3480</v>
      </c>
      <c r="E44" s="21" t="s">
        <v>3350</v>
      </c>
      <c r="F44" s="21" t="s">
        <v>3351</v>
      </c>
      <c r="G44" s="21"/>
      <c r="H44" s="21" t="s">
        <v>3481</v>
      </c>
      <c r="I44" s="21" t="s">
        <v>3353</v>
      </c>
      <c r="J44" s="21" t="s">
        <v>3354</v>
      </c>
    </row>
    <row r="45" spans="1:10" ht="76" x14ac:dyDescent="0.2">
      <c r="A45" s="21" t="s">
        <v>3298</v>
      </c>
      <c r="B45" s="21">
        <v>2024</v>
      </c>
      <c r="C45" s="21" t="s">
        <v>3482</v>
      </c>
      <c r="D45" s="21" t="s">
        <v>3483</v>
      </c>
      <c r="E45" s="21" t="s">
        <v>3350</v>
      </c>
      <c r="F45" s="21" t="s">
        <v>3351</v>
      </c>
      <c r="G45" s="21"/>
      <c r="H45" s="21" t="s">
        <v>3484</v>
      </c>
      <c r="I45" s="21" t="s">
        <v>3361</v>
      </c>
      <c r="J45" s="21" t="s">
        <v>3354</v>
      </c>
    </row>
    <row r="46" spans="1:10" ht="57" x14ac:dyDescent="0.2">
      <c r="A46" s="21" t="s">
        <v>3306</v>
      </c>
      <c r="B46" s="21">
        <v>2024</v>
      </c>
      <c r="C46" s="21" t="s">
        <v>3485</v>
      </c>
      <c r="D46" s="21" t="s">
        <v>3486</v>
      </c>
      <c r="E46" s="21" t="s">
        <v>3350</v>
      </c>
      <c r="F46" s="21" t="s">
        <v>3351</v>
      </c>
      <c r="G46" s="21"/>
      <c r="H46" s="21" t="s">
        <v>3487</v>
      </c>
      <c r="I46" s="21" t="s">
        <v>3353</v>
      </c>
      <c r="J46" s="21" t="s">
        <v>3354</v>
      </c>
    </row>
    <row r="47" spans="1:10" ht="76" x14ac:dyDescent="0.2">
      <c r="A47" s="21" t="s">
        <v>3306</v>
      </c>
      <c r="B47" s="21">
        <v>2024</v>
      </c>
      <c r="C47" s="21" t="s">
        <v>3488</v>
      </c>
      <c r="D47" s="21" t="s">
        <v>3489</v>
      </c>
      <c r="E47" s="21" t="s">
        <v>3350</v>
      </c>
      <c r="F47" s="21" t="s">
        <v>3351</v>
      </c>
      <c r="G47" s="21"/>
      <c r="H47" s="21" t="s">
        <v>3490</v>
      </c>
      <c r="I47" s="21" t="s">
        <v>3361</v>
      </c>
      <c r="J47" s="21" t="s">
        <v>3354</v>
      </c>
    </row>
    <row r="48" spans="1:10" ht="133" x14ac:dyDescent="0.2">
      <c r="A48" s="21" t="s">
        <v>3313</v>
      </c>
      <c r="B48" s="21">
        <v>2026</v>
      </c>
      <c r="C48" s="21" t="s">
        <v>3491</v>
      </c>
      <c r="D48" s="21" t="s">
        <v>3492</v>
      </c>
      <c r="E48" s="21" t="s">
        <v>3350</v>
      </c>
      <c r="F48" s="21" t="s">
        <v>3351</v>
      </c>
      <c r="G48" s="21"/>
      <c r="H48" s="21" t="s">
        <v>3493</v>
      </c>
      <c r="I48" s="21" t="s">
        <v>3353</v>
      </c>
      <c r="J48" s="21" t="s">
        <v>3354</v>
      </c>
    </row>
    <row r="49" spans="1:10" ht="114" x14ac:dyDescent="0.2">
      <c r="A49" s="21" t="s">
        <v>2825</v>
      </c>
      <c r="B49" s="21">
        <v>2025</v>
      </c>
      <c r="C49" s="21" t="s">
        <v>3494</v>
      </c>
      <c r="D49" s="21" t="s">
        <v>3495</v>
      </c>
      <c r="E49" s="21" t="s">
        <v>3496</v>
      </c>
      <c r="F49" s="21" t="s">
        <v>3351</v>
      </c>
      <c r="G49" s="21"/>
      <c r="H49" s="21" t="s">
        <v>3497</v>
      </c>
      <c r="I49" s="21" t="s">
        <v>3353</v>
      </c>
      <c r="J49" s="21" t="s">
        <v>3354</v>
      </c>
    </row>
    <row r="50" spans="1:10" ht="76" x14ac:dyDescent="0.2">
      <c r="A50" s="21" t="s">
        <v>2833</v>
      </c>
      <c r="B50" s="21">
        <v>2026</v>
      </c>
      <c r="C50" s="21" t="s">
        <v>3498</v>
      </c>
      <c r="D50" s="21" t="s">
        <v>3499</v>
      </c>
      <c r="E50" s="21" t="s">
        <v>3496</v>
      </c>
      <c r="F50" s="21" t="s">
        <v>3351</v>
      </c>
      <c r="G50" s="21"/>
      <c r="H50" s="21" t="s">
        <v>3500</v>
      </c>
      <c r="I50" s="21" t="s">
        <v>3353</v>
      </c>
      <c r="J50" s="21" t="s">
        <v>3354</v>
      </c>
    </row>
    <row r="51" spans="1:10" ht="95" x14ac:dyDescent="0.2">
      <c r="A51" s="21" t="s">
        <v>2833</v>
      </c>
      <c r="B51" s="21">
        <v>2026</v>
      </c>
      <c r="C51" s="21" t="s">
        <v>3501</v>
      </c>
      <c r="D51" s="21" t="s">
        <v>3502</v>
      </c>
      <c r="E51" s="21" t="s">
        <v>3496</v>
      </c>
      <c r="F51" s="21" t="s">
        <v>3351</v>
      </c>
      <c r="G51" s="21"/>
      <c r="H51" s="21" t="s">
        <v>3503</v>
      </c>
      <c r="I51" s="21" t="s">
        <v>3353</v>
      </c>
      <c r="J51" s="21" t="s">
        <v>3354</v>
      </c>
    </row>
    <row r="52" spans="1:10" ht="76" x14ac:dyDescent="0.2">
      <c r="A52" s="21" t="s">
        <v>2841</v>
      </c>
      <c r="B52" s="21">
        <v>2026</v>
      </c>
      <c r="C52" s="21" t="s">
        <v>3504</v>
      </c>
      <c r="D52" s="21" t="s">
        <v>3505</v>
      </c>
      <c r="E52" s="21" t="s">
        <v>3496</v>
      </c>
      <c r="F52" s="21" t="s">
        <v>3351</v>
      </c>
      <c r="G52" s="21"/>
      <c r="H52" s="21" t="s">
        <v>3506</v>
      </c>
      <c r="I52" s="21" t="s">
        <v>3361</v>
      </c>
      <c r="J52" s="21" t="s">
        <v>3354</v>
      </c>
    </row>
    <row r="53" spans="1:10" ht="57" x14ac:dyDescent="0.2">
      <c r="A53" s="21" t="s">
        <v>2849</v>
      </c>
      <c r="B53" s="21">
        <v>2026</v>
      </c>
      <c r="C53" s="21" t="s">
        <v>3507</v>
      </c>
      <c r="D53" s="21" t="s">
        <v>3508</v>
      </c>
      <c r="E53" s="21" t="s">
        <v>3496</v>
      </c>
      <c r="F53" s="21" t="s">
        <v>3351</v>
      </c>
      <c r="G53" s="21"/>
      <c r="H53" s="21" t="s">
        <v>3509</v>
      </c>
      <c r="I53" s="21" t="s">
        <v>3510</v>
      </c>
      <c r="J53" s="21" t="s">
        <v>3354</v>
      </c>
    </row>
    <row r="54" spans="1:10" ht="95" x14ac:dyDescent="0.2">
      <c r="A54" s="21" t="s">
        <v>2857</v>
      </c>
      <c r="B54" s="21">
        <v>2026</v>
      </c>
      <c r="C54" s="21" t="s">
        <v>3511</v>
      </c>
      <c r="D54" s="21" t="s">
        <v>3512</v>
      </c>
      <c r="E54" s="21" t="s">
        <v>3496</v>
      </c>
      <c r="F54" s="21" t="s">
        <v>3351</v>
      </c>
      <c r="G54" s="21"/>
      <c r="H54" s="21" t="s">
        <v>3513</v>
      </c>
      <c r="I54" s="21" t="s">
        <v>3361</v>
      </c>
      <c r="J54" s="21" t="s">
        <v>3354</v>
      </c>
    </row>
    <row r="55" spans="1:10" ht="114" x14ac:dyDescent="0.2">
      <c r="A55" s="21" t="s">
        <v>2865</v>
      </c>
      <c r="B55" s="21">
        <v>2025</v>
      </c>
      <c r="C55" s="21" t="s">
        <v>3514</v>
      </c>
      <c r="D55" s="21" t="s">
        <v>3515</v>
      </c>
      <c r="E55" s="21" t="s">
        <v>3496</v>
      </c>
      <c r="F55" s="21" t="s">
        <v>3351</v>
      </c>
      <c r="G55" s="21"/>
      <c r="H55" s="21" t="s">
        <v>3516</v>
      </c>
      <c r="I55" s="21" t="s">
        <v>3353</v>
      </c>
      <c r="J55" s="21" t="s">
        <v>3354</v>
      </c>
    </row>
    <row r="56" spans="1:10" ht="76" x14ac:dyDescent="0.2">
      <c r="A56" s="21" t="s">
        <v>2865</v>
      </c>
      <c r="B56" s="21">
        <v>2025</v>
      </c>
      <c r="C56" s="21" t="s">
        <v>3517</v>
      </c>
      <c r="D56" s="21" t="s">
        <v>3518</v>
      </c>
      <c r="E56" s="21" t="s">
        <v>3496</v>
      </c>
      <c r="F56" s="21" t="s">
        <v>3351</v>
      </c>
      <c r="G56" s="21"/>
      <c r="H56" s="21" t="s">
        <v>3519</v>
      </c>
      <c r="I56" s="21" t="s">
        <v>3353</v>
      </c>
      <c r="J56" s="21" t="s">
        <v>3354</v>
      </c>
    </row>
    <row r="57" spans="1:10" ht="76" x14ac:dyDescent="0.2">
      <c r="A57" s="21" t="s">
        <v>2873</v>
      </c>
      <c r="B57" s="21">
        <v>2025</v>
      </c>
      <c r="C57" s="21" t="s">
        <v>3520</v>
      </c>
      <c r="D57" s="21" t="s">
        <v>3521</v>
      </c>
      <c r="E57" s="21" t="s">
        <v>3496</v>
      </c>
      <c r="F57" s="21" t="s">
        <v>3351</v>
      </c>
      <c r="G57" s="21"/>
      <c r="H57" s="21" t="s">
        <v>3522</v>
      </c>
      <c r="I57" s="21" t="s">
        <v>3361</v>
      </c>
      <c r="J57" s="21" t="s">
        <v>3354</v>
      </c>
    </row>
    <row r="58" spans="1:10" ht="114" x14ac:dyDescent="0.2">
      <c r="A58" s="21" t="s">
        <v>2881</v>
      </c>
      <c r="B58" s="21">
        <v>2026</v>
      </c>
      <c r="C58" s="21" t="s">
        <v>3523</v>
      </c>
      <c r="D58" s="21" t="s">
        <v>3524</v>
      </c>
      <c r="E58" s="21" t="s">
        <v>3496</v>
      </c>
      <c r="F58" s="21" t="s">
        <v>3351</v>
      </c>
      <c r="G58" s="21"/>
      <c r="H58" s="21" t="s">
        <v>3525</v>
      </c>
      <c r="I58" s="21" t="s">
        <v>3353</v>
      </c>
      <c r="J58" s="21" t="s">
        <v>3354</v>
      </c>
    </row>
    <row r="59" spans="1:10" ht="114" x14ac:dyDescent="0.2">
      <c r="A59" s="21" t="s">
        <v>2889</v>
      </c>
      <c r="B59" s="21">
        <v>2026</v>
      </c>
      <c r="C59" s="21" t="s">
        <v>3526</v>
      </c>
      <c r="D59" s="21" t="s">
        <v>3527</v>
      </c>
      <c r="E59" s="21" t="s">
        <v>3496</v>
      </c>
      <c r="F59" s="21" t="s">
        <v>3351</v>
      </c>
      <c r="G59" s="21"/>
      <c r="H59" s="21" t="s">
        <v>3528</v>
      </c>
      <c r="I59" s="21" t="s">
        <v>3353</v>
      </c>
      <c r="J59" s="21" t="s">
        <v>3354</v>
      </c>
    </row>
    <row r="60" spans="1:10" ht="76" x14ac:dyDescent="0.2">
      <c r="A60" s="21" t="s">
        <v>2897</v>
      </c>
      <c r="B60" s="21">
        <v>2026</v>
      </c>
      <c r="C60" s="21" t="s">
        <v>3529</v>
      </c>
      <c r="D60" s="21" t="s">
        <v>3530</v>
      </c>
      <c r="E60" s="21" t="s">
        <v>3496</v>
      </c>
      <c r="F60" s="21" t="s">
        <v>3351</v>
      </c>
      <c r="G60" s="21"/>
      <c r="H60" s="21" t="s">
        <v>3531</v>
      </c>
      <c r="I60" s="21" t="s">
        <v>3361</v>
      </c>
      <c r="J60" s="21" t="s">
        <v>3354</v>
      </c>
    </row>
    <row r="61" spans="1:10" ht="133" x14ac:dyDescent="0.2">
      <c r="A61" s="21" t="s">
        <v>2912</v>
      </c>
      <c r="B61" s="21">
        <v>2026</v>
      </c>
      <c r="C61" s="21" t="s">
        <v>3532</v>
      </c>
      <c r="D61" s="21" t="s">
        <v>3533</v>
      </c>
      <c r="E61" s="21" t="s">
        <v>3496</v>
      </c>
      <c r="F61" s="21" t="s">
        <v>3351</v>
      </c>
      <c r="G61" s="21"/>
      <c r="H61" s="21" t="s">
        <v>3534</v>
      </c>
      <c r="I61" s="21" t="s">
        <v>3353</v>
      </c>
      <c r="J61" s="21" t="s">
        <v>3354</v>
      </c>
    </row>
    <row r="62" spans="1:10" ht="152" x14ac:dyDescent="0.2">
      <c r="A62" s="21" t="s">
        <v>2920</v>
      </c>
      <c r="B62" s="21">
        <v>2026</v>
      </c>
      <c r="C62" s="21" t="s">
        <v>3535</v>
      </c>
      <c r="D62" s="21" t="s">
        <v>3536</v>
      </c>
      <c r="E62" s="21" t="s">
        <v>3496</v>
      </c>
      <c r="F62" s="21" t="s">
        <v>3351</v>
      </c>
      <c r="G62" s="21"/>
      <c r="H62" s="21" t="s">
        <v>3537</v>
      </c>
      <c r="I62" s="21" t="s">
        <v>3353</v>
      </c>
      <c r="J62" s="21" t="s">
        <v>3354</v>
      </c>
    </row>
    <row r="63" spans="1:10" ht="133" x14ac:dyDescent="0.2">
      <c r="A63" s="21" t="s">
        <v>2928</v>
      </c>
      <c r="B63" s="21">
        <v>2025</v>
      </c>
      <c r="C63" s="21" t="s">
        <v>3538</v>
      </c>
      <c r="D63" s="21" t="s">
        <v>3539</v>
      </c>
      <c r="E63" s="21" t="s">
        <v>3496</v>
      </c>
      <c r="F63" s="21" t="s">
        <v>3351</v>
      </c>
      <c r="G63" s="21"/>
      <c r="H63" s="21" t="s">
        <v>3540</v>
      </c>
      <c r="I63" s="21" t="s">
        <v>3353</v>
      </c>
      <c r="J63" s="21" t="s">
        <v>3354</v>
      </c>
    </row>
    <row r="64" spans="1:10" ht="76" x14ac:dyDescent="0.2">
      <c r="A64" s="21" t="s">
        <v>2959</v>
      </c>
      <c r="B64" s="21">
        <v>2025</v>
      </c>
      <c r="C64" s="21" t="s">
        <v>3541</v>
      </c>
      <c r="D64" s="21" t="s">
        <v>3542</v>
      </c>
      <c r="E64" s="21" t="s">
        <v>3496</v>
      </c>
      <c r="F64" s="21" t="s">
        <v>3351</v>
      </c>
      <c r="G64" s="21"/>
      <c r="H64" s="21" t="s">
        <v>3543</v>
      </c>
      <c r="I64" s="21" t="s">
        <v>3361</v>
      </c>
      <c r="J64" s="21" t="s">
        <v>3354</v>
      </c>
    </row>
    <row r="65" spans="1:10" ht="114" x14ac:dyDescent="0.2">
      <c r="A65" s="21" t="s">
        <v>2975</v>
      </c>
      <c r="B65" s="21">
        <v>2025</v>
      </c>
      <c r="C65" s="21" t="s">
        <v>3544</v>
      </c>
      <c r="D65" s="21" t="s">
        <v>3545</v>
      </c>
      <c r="E65" s="21" t="s">
        <v>3496</v>
      </c>
      <c r="F65" s="21" t="s">
        <v>3351</v>
      </c>
      <c r="G65" s="21"/>
      <c r="H65" s="21" t="s">
        <v>3546</v>
      </c>
      <c r="I65" s="21" t="s">
        <v>3353</v>
      </c>
      <c r="J65" s="21" t="s">
        <v>3354</v>
      </c>
    </row>
    <row r="66" spans="1:10" ht="114" x14ac:dyDescent="0.2">
      <c r="A66" s="21" t="s">
        <v>3004</v>
      </c>
      <c r="B66" s="21">
        <v>2024</v>
      </c>
      <c r="C66" s="21" t="s">
        <v>3547</v>
      </c>
      <c r="D66" s="21" t="s">
        <v>3548</v>
      </c>
      <c r="E66" s="21" t="s">
        <v>3496</v>
      </c>
      <c r="F66" s="21" t="s">
        <v>3351</v>
      </c>
      <c r="G66" s="21"/>
      <c r="H66" s="21" t="s">
        <v>3549</v>
      </c>
      <c r="I66" s="21" t="s">
        <v>3353</v>
      </c>
      <c r="J66" s="21" t="s">
        <v>3354</v>
      </c>
    </row>
    <row r="67" spans="1:10" ht="114" x14ac:dyDescent="0.2">
      <c r="A67" s="21" t="s">
        <v>3012</v>
      </c>
      <c r="B67" s="21">
        <v>2025</v>
      </c>
      <c r="C67" s="21" t="s">
        <v>3550</v>
      </c>
      <c r="D67" s="21" t="s">
        <v>3551</v>
      </c>
      <c r="E67" s="21" t="s">
        <v>3496</v>
      </c>
      <c r="F67" s="21" t="s">
        <v>3351</v>
      </c>
      <c r="G67" s="21"/>
      <c r="H67" s="21" t="s">
        <v>3552</v>
      </c>
      <c r="I67" s="21" t="s">
        <v>3353</v>
      </c>
      <c r="J67" s="21" t="s">
        <v>3354</v>
      </c>
    </row>
    <row r="68" spans="1:10" ht="133" x14ac:dyDescent="0.2">
      <c r="A68" s="21" t="s">
        <v>3020</v>
      </c>
      <c r="B68" s="21">
        <v>2026</v>
      </c>
      <c r="C68" s="21" t="s">
        <v>3553</v>
      </c>
      <c r="D68" s="21" t="s">
        <v>3554</v>
      </c>
      <c r="E68" s="21" t="s">
        <v>3496</v>
      </c>
      <c r="F68" s="21" t="s">
        <v>3351</v>
      </c>
      <c r="G68" s="21"/>
      <c r="H68" s="21" t="s">
        <v>3555</v>
      </c>
      <c r="I68" s="21" t="s">
        <v>3353</v>
      </c>
      <c r="J68" s="21" t="s">
        <v>3354</v>
      </c>
    </row>
    <row r="69" spans="1:10" ht="114" x14ac:dyDescent="0.2">
      <c r="A69" s="21" t="s">
        <v>3028</v>
      </c>
      <c r="B69" s="21">
        <v>2026</v>
      </c>
      <c r="C69" s="21" t="s">
        <v>3556</v>
      </c>
      <c r="D69" s="21" t="s">
        <v>3557</v>
      </c>
      <c r="E69" s="21" t="s">
        <v>3496</v>
      </c>
      <c r="F69" s="21" t="s">
        <v>3351</v>
      </c>
      <c r="G69" s="21"/>
      <c r="H69" s="21" t="s">
        <v>3558</v>
      </c>
      <c r="I69" s="21" t="s">
        <v>3353</v>
      </c>
      <c r="J69" s="21" t="s">
        <v>3354</v>
      </c>
    </row>
    <row r="70" spans="1:10" ht="95" x14ac:dyDescent="0.2">
      <c r="A70" s="21" t="s">
        <v>3051</v>
      </c>
      <c r="B70" s="21">
        <v>2025</v>
      </c>
      <c r="C70" s="21" t="s">
        <v>3559</v>
      </c>
      <c r="D70" s="21" t="s">
        <v>3560</v>
      </c>
      <c r="E70" s="21" t="s">
        <v>3496</v>
      </c>
      <c r="F70" s="21" t="s">
        <v>3351</v>
      </c>
      <c r="G70" s="21"/>
      <c r="H70" s="21" t="s">
        <v>3561</v>
      </c>
      <c r="I70" s="21" t="s">
        <v>3510</v>
      </c>
      <c r="J70" s="21" t="s">
        <v>3354</v>
      </c>
    </row>
    <row r="71" spans="1:10" ht="76" x14ac:dyDescent="0.2">
      <c r="A71" s="21" t="s">
        <v>3072</v>
      </c>
      <c r="B71" s="21">
        <v>2026</v>
      </c>
      <c r="C71" s="21" t="s">
        <v>3562</v>
      </c>
      <c r="D71" s="21" t="s">
        <v>3563</v>
      </c>
      <c r="E71" s="21" t="s">
        <v>3496</v>
      </c>
      <c r="F71" s="21" t="s">
        <v>3351</v>
      </c>
      <c r="G71" s="21"/>
      <c r="H71" s="21" t="s">
        <v>3564</v>
      </c>
      <c r="I71" s="21" t="s">
        <v>3353</v>
      </c>
      <c r="J71" s="21" t="s">
        <v>3354</v>
      </c>
    </row>
    <row r="72" spans="1:10" ht="133" x14ac:dyDescent="0.2">
      <c r="A72" s="21" t="s">
        <v>3080</v>
      </c>
      <c r="B72" s="21">
        <v>2026</v>
      </c>
      <c r="C72" s="21" t="s">
        <v>3565</v>
      </c>
      <c r="D72" s="21" t="s">
        <v>3566</v>
      </c>
      <c r="E72" s="21" t="s">
        <v>3496</v>
      </c>
      <c r="F72" s="21" t="s">
        <v>3351</v>
      </c>
      <c r="G72" s="21"/>
      <c r="H72" s="21" t="s">
        <v>3567</v>
      </c>
      <c r="I72" s="21" t="s">
        <v>3353</v>
      </c>
      <c r="J72" s="21" t="s">
        <v>3354</v>
      </c>
    </row>
    <row r="73" spans="1:10" ht="133" x14ac:dyDescent="0.2">
      <c r="A73" s="21" t="s">
        <v>3080</v>
      </c>
      <c r="B73" s="21">
        <v>2026</v>
      </c>
      <c r="C73" s="21" t="s">
        <v>3568</v>
      </c>
      <c r="D73" s="21" t="s">
        <v>3569</v>
      </c>
      <c r="E73" s="21" t="s">
        <v>3496</v>
      </c>
      <c r="F73" s="21" t="s">
        <v>3351</v>
      </c>
      <c r="G73" s="21"/>
      <c r="H73" s="21" t="s">
        <v>3570</v>
      </c>
      <c r="I73" s="21" t="s">
        <v>3353</v>
      </c>
      <c r="J73" s="21" t="s">
        <v>3354</v>
      </c>
    </row>
    <row r="74" spans="1:10" ht="114" x14ac:dyDescent="0.2">
      <c r="A74" s="21" t="s">
        <v>3132</v>
      </c>
      <c r="B74" s="21">
        <v>2026</v>
      </c>
      <c r="C74" s="21" t="s">
        <v>3571</v>
      </c>
      <c r="D74" s="21" t="s">
        <v>3572</v>
      </c>
      <c r="E74" s="21" t="s">
        <v>3496</v>
      </c>
      <c r="F74" s="21" t="s">
        <v>3351</v>
      </c>
      <c r="G74" s="21"/>
      <c r="H74" s="21" t="s">
        <v>3573</v>
      </c>
      <c r="I74" s="21" t="s">
        <v>3353</v>
      </c>
      <c r="J74" s="21" t="s">
        <v>3354</v>
      </c>
    </row>
    <row r="75" spans="1:10" ht="133" x14ac:dyDescent="0.2">
      <c r="A75" s="21" t="s">
        <v>3132</v>
      </c>
      <c r="B75" s="21">
        <v>2026</v>
      </c>
      <c r="C75" s="21" t="s">
        <v>3574</v>
      </c>
      <c r="D75" s="21" t="s">
        <v>3575</v>
      </c>
      <c r="E75" s="21" t="s">
        <v>3496</v>
      </c>
      <c r="F75" s="21" t="s">
        <v>3351</v>
      </c>
      <c r="G75" s="21"/>
      <c r="H75" s="21" t="s">
        <v>3576</v>
      </c>
      <c r="I75" s="21" t="s">
        <v>3353</v>
      </c>
      <c r="J75" s="21" t="s">
        <v>3354</v>
      </c>
    </row>
    <row r="76" spans="1:10" ht="114" x14ac:dyDescent="0.2">
      <c r="A76" s="21" t="s">
        <v>3179</v>
      </c>
      <c r="B76" s="21">
        <v>2026</v>
      </c>
      <c r="C76" s="21" t="s">
        <v>3577</v>
      </c>
      <c r="D76" s="21" t="s">
        <v>3578</v>
      </c>
      <c r="E76" s="21" t="s">
        <v>3496</v>
      </c>
      <c r="F76" s="21" t="s">
        <v>3351</v>
      </c>
      <c r="G76" s="21"/>
      <c r="H76" s="21" t="s">
        <v>3579</v>
      </c>
      <c r="I76" s="21" t="s">
        <v>3353</v>
      </c>
      <c r="J76" s="21" t="s">
        <v>3354</v>
      </c>
    </row>
    <row r="77" spans="1:10" ht="152" x14ac:dyDescent="0.2">
      <c r="A77" s="21" t="s">
        <v>3179</v>
      </c>
      <c r="B77" s="21">
        <v>2026</v>
      </c>
      <c r="C77" s="21" t="s">
        <v>3580</v>
      </c>
      <c r="D77" s="21" t="s">
        <v>3581</v>
      </c>
      <c r="E77" s="21" t="s">
        <v>3496</v>
      </c>
      <c r="F77" s="21" t="s">
        <v>3351</v>
      </c>
      <c r="G77" s="21"/>
      <c r="H77" s="21" t="s">
        <v>3582</v>
      </c>
      <c r="I77" s="21" t="s">
        <v>3353</v>
      </c>
      <c r="J77" s="21" t="s">
        <v>3354</v>
      </c>
    </row>
    <row r="78" spans="1:10" ht="133" x14ac:dyDescent="0.2">
      <c r="A78" s="21" t="s">
        <v>3217</v>
      </c>
      <c r="B78" s="21">
        <v>2026</v>
      </c>
      <c r="C78" s="21" t="s">
        <v>3583</v>
      </c>
      <c r="D78" s="21" t="s">
        <v>3584</v>
      </c>
      <c r="E78" s="21" t="s">
        <v>3496</v>
      </c>
      <c r="F78" s="21" t="s">
        <v>3351</v>
      </c>
      <c r="G78" s="21"/>
      <c r="H78" s="21" t="s">
        <v>3585</v>
      </c>
      <c r="I78" s="21" t="s">
        <v>3353</v>
      </c>
      <c r="J78" s="21" t="s">
        <v>3354</v>
      </c>
    </row>
    <row r="79" spans="1:10" ht="133" x14ac:dyDescent="0.2">
      <c r="A79" s="21" t="s">
        <v>3217</v>
      </c>
      <c r="B79" s="21">
        <v>2026</v>
      </c>
      <c r="C79" s="21" t="s">
        <v>3586</v>
      </c>
      <c r="D79" s="21" t="s">
        <v>3587</v>
      </c>
      <c r="E79" s="21" t="s">
        <v>3496</v>
      </c>
      <c r="F79" s="21" t="s">
        <v>3351</v>
      </c>
      <c r="G79" s="21"/>
      <c r="H79" s="21" t="s">
        <v>3588</v>
      </c>
      <c r="I79" s="21" t="s">
        <v>3353</v>
      </c>
      <c r="J79" s="21" t="s">
        <v>3354</v>
      </c>
    </row>
    <row r="80" spans="1:10" ht="76" x14ac:dyDescent="0.2">
      <c r="A80" s="21" t="s">
        <v>3229</v>
      </c>
      <c r="B80" s="21">
        <v>2025</v>
      </c>
      <c r="C80" s="21" t="s">
        <v>3589</v>
      </c>
      <c r="D80" s="21" t="s">
        <v>3590</v>
      </c>
      <c r="E80" s="21" t="s">
        <v>3496</v>
      </c>
      <c r="F80" s="21" t="s">
        <v>3351</v>
      </c>
      <c r="G80" s="21"/>
      <c r="H80" s="21" t="s">
        <v>3591</v>
      </c>
      <c r="I80" s="21" t="s">
        <v>3353</v>
      </c>
      <c r="J80" s="21" t="s">
        <v>3354</v>
      </c>
    </row>
    <row r="81" spans="1:10" ht="76" x14ac:dyDescent="0.2">
      <c r="A81" s="21" t="s">
        <v>3256</v>
      </c>
      <c r="B81" s="21">
        <v>2024</v>
      </c>
      <c r="C81" s="21" t="s">
        <v>3592</v>
      </c>
      <c r="D81" s="21" t="s">
        <v>3593</v>
      </c>
      <c r="E81" s="21" t="s">
        <v>3496</v>
      </c>
      <c r="F81" s="21" t="s">
        <v>3351</v>
      </c>
      <c r="G81" s="21"/>
      <c r="H81" s="21" t="s">
        <v>3594</v>
      </c>
      <c r="I81" s="21" t="s">
        <v>3353</v>
      </c>
      <c r="J81" s="21" t="s">
        <v>3354</v>
      </c>
    </row>
    <row r="82" spans="1:10" ht="114" x14ac:dyDescent="0.2">
      <c r="A82" s="21" t="s">
        <v>3306</v>
      </c>
      <c r="B82" s="21">
        <v>2024</v>
      </c>
      <c r="C82" s="21" t="s">
        <v>3595</v>
      </c>
      <c r="D82" s="21" t="s">
        <v>3596</v>
      </c>
      <c r="E82" s="21" t="s">
        <v>3496</v>
      </c>
      <c r="F82" s="21" t="s">
        <v>3351</v>
      </c>
      <c r="G82" s="21"/>
      <c r="H82" s="21" t="s">
        <v>3597</v>
      </c>
      <c r="I82" s="21" t="s">
        <v>3353</v>
      </c>
      <c r="J82" s="21" t="s">
        <v>3354</v>
      </c>
    </row>
    <row r="83" spans="1:10" ht="76" x14ac:dyDescent="0.2">
      <c r="A83" s="21" t="s">
        <v>3306</v>
      </c>
      <c r="B83" s="21">
        <v>2024</v>
      </c>
      <c r="C83" s="21" t="s">
        <v>3598</v>
      </c>
      <c r="D83" s="21" t="s">
        <v>3599</v>
      </c>
      <c r="E83" s="21" t="s">
        <v>3496</v>
      </c>
      <c r="F83" s="21" t="s">
        <v>3351</v>
      </c>
      <c r="G83" s="21"/>
      <c r="H83" s="21" t="s">
        <v>3600</v>
      </c>
      <c r="I83" s="21" t="s">
        <v>3353</v>
      </c>
      <c r="J83" s="21" t="s">
        <v>3354</v>
      </c>
    </row>
    <row r="84" spans="1:10" ht="133" x14ac:dyDescent="0.2">
      <c r="A84" s="21" t="s">
        <v>2825</v>
      </c>
      <c r="B84" s="21">
        <v>2025</v>
      </c>
      <c r="C84" s="21" t="s">
        <v>3601</v>
      </c>
      <c r="D84" s="21" t="s">
        <v>3602</v>
      </c>
      <c r="E84" s="21" t="s">
        <v>3603</v>
      </c>
      <c r="F84" s="21" t="s">
        <v>3351</v>
      </c>
      <c r="G84" s="21"/>
      <c r="H84" s="21" t="s">
        <v>3604</v>
      </c>
      <c r="I84" s="21" t="s">
        <v>3353</v>
      </c>
      <c r="J84" s="21" t="s">
        <v>3354</v>
      </c>
    </row>
    <row r="85" spans="1:10" ht="133" x14ac:dyDescent="0.2">
      <c r="A85" s="21" t="s">
        <v>2833</v>
      </c>
      <c r="B85" s="21">
        <v>2026</v>
      </c>
      <c r="C85" s="21" t="s">
        <v>3605</v>
      </c>
      <c r="D85" s="21" t="s">
        <v>3606</v>
      </c>
      <c r="E85" s="21" t="s">
        <v>3603</v>
      </c>
      <c r="F85" s="21" t="s">
        <v>3351</v>
      </c>
      <c r="G85" s="21"/>
      <c r="H85" s="21" t="s">
        <v>3607</v>
      </c>
      <c r="I85" s="21" t="s">
        <v>3353</v>
      </c>
      <c r="J85" s="21" t="s">
        <v>3354</v>
      </c>
    </row>
    <row r="86" spans="1:10" ht="95" x14ac:dyDescent="0.2">
      <c r="A86" s="21" t="s">
        <v>2841</v>
      </c>
      <c r="B86" s="21">
        <v>2026</v>
      </c>
      <c r="C86" s="21" t="s">
        <v>3608</v>
      </c>
      <c r="D86" s="21" t="s">
        <v>3609</v>
      </c>
      <c r="E86" s="21" t="s">
        <v>3603</v>
      </c>
      <c r="F86" s="21" t="s">
        <v>3351</v>
      </c>
      <c r="G86" s="21"/>
      <c r="H86" s="21" t="s">
        <v>3610</v>
      </c>
      <c r="I86" s="21" t="s">
        <v>3353</v>
      </c>
      <c r="J86" s="21" t="s">
        <v>3354</v>
      </c>
    </row>
    <row r="87" spans="1:10" ht="95" x14ac:dyDescent="0.2">
      <c r="A87" s="21" t="s">
        <v>2849</v>
      </c>
      <c r="B87" s="21">
        <v>2026</v>
      </c>
      <c r="C87" s="21" t="s">
        <v>3611</v>
      </c>
      <c r="D87" s="21" t="s">
        <v>3612</v>
      </c>
      <c r="E87" s="21" t="s">
        <v>3603</v>
      </c>
      <c r="F87" s="21" t="s">
        <v>3351</v>
      </c>
      <c r="G87" s="21"/>
      <c r="H87" s="21" t="s">
        <v>3613</v>
      </c>
      <c r="I87" s="21" t="s">
        <v>3353</v>
      </c>
      <c r="J87" s="21" t="s">
        <v>3354</v>
      </c>
    </row>
    <row r="88" spans="1:10" ht="76" x14ac:dyDescent="0.2">
      <c r="A88" s="21" t="s">
        <v>2857</v>
      </c>
      <c r="B88" s="21">
        <v>2026</v>
      </c>
      <c r="C88" s="21" t="s">
        <v>3614</v>
      </c>
      <c r="D88" s="21" t="s">
        <v>3615</v>
      </c>
      <c r="E88" s="21" t="s">
        <v>3603</v>
      </c>
      <c r="F88" s="21" t="s">
        <v>3351</v>
      </c>
      <c r="G88" s="21"/>
      <c r="H88" s="21" t="s">
        <v>3616</v>
      </c>
      <c r="I88" s="21" t="s">
        <v>3353</v>
      </c>
      <c r="J88" s="21" t="s">
        <v>3354</v>
      </c>
    </row>
    <row r="89" spans="1:10" ht="57" x14ac:dyDescent="0.2">
      <c r="A89" s="21" t="s">
        <v>2857</v>
      </c>
      <c r="B89" s="21">
        <v>2026</v>
      </c>
      <c r="C89" s="21" t="s">
        <v>3617</v>
      </c>
      <c r="D89" s="21" t="s">
        <v>3618</v>
      </c>
      <c r="E89" s="21" t="s">
        <v>3603</v>
      </c>
      <c r="F89" s="21" t="s">
        <v>3351</v>
      </c>
      <c r="G89" s="21"/>
      <c r="H89" s="21" t="s">
        <v>3619</v>
      </c>
      <c r="I89" s="21" t="s">
        <v>3353</v>
      </c>
      <c r="J89" s="21" t="s">
        <v>3354</v>
      </c>
    </row>
    <row r="90" spans="1:10" ht="76" x14ac:dyDescent="0.2">
      <c r="A90" s="21" t="s">
        <v>2873</v>
      </c>
      <c r="B90" s="21">
        <v>2025</v>
      </c>
      <c r="C90" s="21" t="s">
        <v>3620</v>
      </c>
      <c r="D90" s="21" t="s">
        <v>3621</v>
      </c>
      <c r="E90" s="21" t="s">
        <v>3603</v>
      </c>
      <c r="F90" s="21" t="s">
        <v>3351</v>
      </c>
      <c r="G90" s="21"/>
      <c r="H90" s="21" t="s">
        <v>3622</v>
      </c>
      <c r="I90" s="21" t="s">
        <v>3353</v>
      </c>
      <c r="J90" s="21" t="s">
        <v>3354</v>
      </c>
    </row>
    <row r="91" spans="1:10" ht="95" x14ac:dyDescent="0.2">
      <c r="A91" s="21" t="s">
        <v>2881</v>
      </c>
      <c r="B91" s="21">
        <v>2026</v>
      </c>
      <c r="C91" s="21" t="s">
        <v>3623</v>
      </c>
      <c r="D91" s="21" t="s">
        <v>3624</v>
      </c>
      <c r="E91" s="21" t="s">
        <v>3603</v>
      </c>
      <c r="F91" s="21" t="s">
        <v>3351</v>
      </c>
      <c r="G91" s="21"/>
      <c r="H91" s="21" t="s">
        <v>3625</v>
      </c>
      <c r="I91" s="21" t="s">
        <v>3353</v>
      </c>
      <c r="J91" s="21" t="s">
        <v>3354</v>
      </c>
    </row>
    <row r="92" spans="1:10" ht="95" x14ac:dyDescent="0.2">
      <c r="A92" s="21" t="s">
        <v>2889</v>
      </c>
      <c r="B92" s="21">
        <v>2026</v>
      </c>
      <c r="C92" s="21" t="s">
        <v>3626</v>
      </c>
      <c r="D92" s="21" t="s">
        <v>3627</v>
      </c>
      <c r="E92" s="21" t="s">
        <v>3603</v>
      </c>
      <c r="F92" s="21" t="s">
        <v>3351</v>
      </c>
      <c r="G92" s="21"/>
      <c r="H92" s="21" t="s">
        <v>3628</v>
      </c>
      <c r="I92" s="21" t="s">
        <v>3353</v>
      </c>
      <c r="J92" s="21" t="s">
        <v>3354</v>
      </c>
    </row>
    <row r="93" spans="1:10" ht="133" x14ac:dyDescent="0.2">
      <c r="A93" s="21" t="s">
        <v>2897</v>
      </c>
      <c r="B93" s="21">
        <v>2026</v>
      </c>
      <c r="C93" s="21" t="s">
        <v>3629</v>
      </c>
      <c r="D93" s="21" t="s">
        <v>3630</v>
      </c>
      <c r="E93" s="21" t="s">
        <v>3603</v>
      </c>
      <c r="F93" s="21" t="s">
        <v>3351</v>
      </c>
      <c r="G93" s="21"/>
      <c r="H93" s="21" t="s">
        <v>3631</v>
      </c>
      <c r="I93" s="21" t="s">
        <v>3353</v>
      </c>
      <c r="J93" s="21" t="s">
        <v>3354</v>
      </c>
    </row>
    <row r="94" spans="1:10" ht="95" x14ac:dyDescent="0.2">
      <c r="A94" s="21" t="s">
        <v>2897</v>
      </c>
      <c r="B94" s="21">
        <v>2026</v>
      </c>
      <c r="C94" s="21" t="s">
        <v>3632</v>
      </c>
      <c r="D94" s="21" t="s">
        <v>3633</v>
      </c>
      <c r="E94" s="21" t="s">
        <v>3603</v>
      </c>
      <c r="F94" s="21" t="s">
        <v>3351</v>
      </c>
      <c r="G94" s="21"/>
      <c r="H94" s="21" t="s">
        <v>3634</v>
      </c>
      <c r="I94" s="21" t="s">
        <v>3353</v>
      </c>
      <c r="J94" s="21" t="s">
        <v>3354</v>
      </c>
    </row>
    <row r="95" spans="1:10" ht="114" x14ac:dyDescent="0.2">
      <c r="A95" s="21" t="s">
        <v>2904</v>
      </c>
      <c r="B95" s="21">
        <v>2026</v>
      </c>
      <c r="C95" s="21" t="s">
        <v>3635</v>
      </c>
      <c r="D95" s="21" t="s">
        <v>3636</v>
      </c>
      <c r="E95" s="21" t="s">
        <v>3603</v>
      </c>
      <c r="F95" s="21" t="s">
        <v>3351</v>
      </c>
      <c r="G95" s="21"/>
      <c r="H95" s="21" t="s">
        <v>3637</v>
      </c>
      <c r="I95" s="21" t="s">
        <v>3353</v>
      </c>
      <c r="J95" s="21" t="s">
        <v>3354</v>
      </c>
    </row>
    <row r="96" spans="1:10" ht="95" x14ac:dyDescent="0.2">
      <c r="A96" s="21" t="s">
        <v>2912</v>
      </c>
      <c r="B96" s="21">
        <v>2026</v>
      </c>
      <c r="C96" s="21" t="s">
        <v>3638</v>
      </c>
      <c r="D96" s="21" t="s">
        <v>3639</v>
      </c>
      <c r="E96" s="21" t="s">
        <v>3603</v>
      </c>
      <c r="F96" s="21" t="s">
        <v>3351</v>
      </c>
      <c r="G96" s="21"/>
      <c r="H96" s="21" t="s">
        <v>3534</v>
      </c>
      <c r="I96" s="21" t="s">
        <v>3353</v>
      </c>
      <c r="J96" s="21" t="s">
        <v>3354</v>
      </c>
    </row>
    <row r="97" spans="1:10" ht="152" x14ac:dyDescent="0.2">
      <c r="A97" s="21" t="s">
        <v>2920</v>
      </c>
      <c r="B97" s="21">
        <v>2026</v>
      </c>
      <c r="C97" s="21" t="s">
        <v>3640</v>
      </c>
      <c r="D97" s="21" t="s">
        <v>3641</v>
      </c>
      <c r="E97" s="21" t="s">
        <v>3603</v>
      </c>
      <c r="F97" s="21" t="s">
        <v>3351</v>
      </c>
      <c r="G97" s="21"/>
      <c r="H97" s="21" t="s">
        <v>3642</v>
      </c>
      <c r="I97" s="21" t="s">
        <v>3353</v>
      </c>
      <c r="J97" s="21" t="s">
        <v>3354</v>
      </c>
    </row>
    <row r="98" spans="1:10" ht="152" x14ac:dyDescent="0.2">
      <c r="A98" s="21" t="s">
        <v>2920</v>
      </c>
      <c r="B98" s="21">
        <v>2026</v>
      </c>
      <c r="C98" s="21" t="s">
        <v>3643</v>
      </c>
      <c r="D98" s="21" t="s">
        <v>3644</v>
      </c>
      <c r="E98" s="21" t="s">
        <v>3603</v>
      </c>
      <c r="F98" s="21" t="s">
        <v>3351</v>
      </c>
      <c r="G98" s="21"/>
      <c r="H98" s="21" t="s">
        <v>3645</v>
      </c>
      <c r="I98" s="21" t="s">
        <v>3353</v>
      </c>
      <c r="J98" s="21" t="s">
        <v>3354</v>
      </c>
    </row>
    <row r="99" spans="1:10" ht="95" x14ac:dyDescent="0.2">
      <c r="A99" s="21" t="s">
        <v>2928</v>
      </c>
      <c r="B99" s="21">
        <v>2025</v>
      </c>
      <c r="C99" s="21" t="s">
        <v>3646</v>
      </c>
      <c r="D99" s="21" t="s">
        <v>3647</v>
      </c>
      <c r="E99" s="21" t="s">
        <v>3603</v>
      </c>
      <c r="F99" s="21" t="s">
        <v>3351</v>
      </c>
      <c r="G99" s="21"/>
      <c r="H99" s="21" t="s">
        <v>3648</v>
      </c>
      <c r="I99" s="21" t="s">
        <v>3353</v>
      </c>
      <c r="J99" s="21" t="s">
        <v>3354</v>
      </c>
    </row>
    <row r="100" spans="1:10" ht="95" x14ac:dyDescent="0.2">
      <c r="A100" s="21" t="s">
        <v>2952</v>
      </c>
      <c r="B100" s="21">
        <v>2026</v>
      </c>
      <c r="C100" s="21" t="s">
        <v>3649</v>
      </c>
      <c r="D100" s="21" t="s">
        <v>3650</v>
      </c>
      <c r="E100" s="21" t="s">
        <v>3603</v>
      </c>
      <c r="F100" s="21" t="s">
        <v>3351</v>
      </c>
      <c r="G100" s="21"/>
      <c r="H100" s="21" t="s">
        <v>3651</v>
      </c>
      <c r="I100" s="21" t="s">
        <v>3353</v>
      </c>
      <c r="J100" s="21" t="s">
        <v>3354</v>
      </c>
    </row>
    <row r="101" spans="1:10" ht="95" x14ac:dyDescent="0.2">
      <c r="A101" s="21" t="s">
        <v>2959</v>
      </c>
      <c r="B101" s="21">
        <v>2025</v>
      </c>
      <c r="C101" s="21" t="s">
        <v>3652</v>
      </c>
      <c r="D101" s="21" t="s">
        <v>3653</v>
      </c>
      <c r="E101" s="21" t="s">
        <v>3603</v>
      </c>
      <c r="F101" s="21" t="s">
        <v>3351</v>
      </c>
      <c r="G101" s="21"/>
      <c r="H101" s="21" t="s">
        <v>3654</v>
      </c>
      <c r="I101" s="21" t="s">
        <v>3353</v>
      </c>
      <c r="J101" s="21" t="s">
        <v>3354</v>
      </c>
    </row>
    <row r="102" spans="1:10" ht="114" x14ac:dyDescent="0.2">
      <c r="A102" s="21" t="s">
        <v>2967</v>
      </c>
      <c r="B102" s="21">
        <v>2025</v>
      </c>
      <c r="C102" s="21" t="s">
        <v>3655</v>
      </c>
      <c r="D102" s="21" t="s">
        <v>3656</v>
      </c>
      <c r="E102" s="21" t="s">
        <v>3603</v>
      </c>
      <c r="F102" s="21" t="s">
        <v>3351</v>
      </c>
      <c r="G102" s="21"/>
      <c r="H102" s="21" t="s">
        <v>3657</v>
      </c>
      <c r="I102" s="21" t="s">
        <v>3353</v>
      </c>
      <c r="J102" s="21" t="s">
        <v>3354</v>
      </c>
    </row>
    <row r="103" spans="1:10" ht="114" x14ac:dyDescent="0.2">
      <c r="A103" s="21" t="s">
        <v>2983</v>
      </c>
      <c r="B103" s="21">
        <v>2026</v>
      </c>
      <c r="C103" s="21" t="s">
        <v>3658</v>
      </c>
      <c r="D103" s="21" t="s">
        <v>3659</v>
      </c>
      <c r="E103" s="21" t="s">
        <v>3603</v>
      </c>
      <c r="F103" s="21" t="s">
        <v>3351</v>
      </c>
      <c r="G103" s="21"/>
      <c r="H103" s="21" t="s">
        <v>3660</v>
      </c>
      <c r="I103" s="21" t="s">
        <v>3353</v>
      </c>
      <c r="J103" s="21" t="s">
        <v>3354</v>
      </c>
    </row>
    <row r="104" spans="1:10" ht="95" x14ac:dyDescent="0.2">
      <c r="A104" s="21" t="s">
        <v>2989</v>
      </c>
      <c r="B104" s="21">
        <v>2026</v>
      </c>
      <c r="C104" s="21" t="s">
        <v>3661</v>
      </c>
      <c r="D104" s="21" t="s">
        <v>3662</v>
      </c>
      <c r="E104" s="21" t="s">
        <v>3603</v>
      </c>
      <c r="F104" s="21" t="s">
        <v>3351</v>
      </c>
      <c r="G104" s="21"/>
      <c r="H104" s="21" t="s">
        <v>3663</v>
      </c>
      <c r="I104" s="21" t="s">
        <v>3353</v>
      </c>
      <c r="J104" s="21" t="s">
        <v>3354</v>
      </c>
    </row>
    <row r="105" spans="1:10" ht="57" x14ac:dyDescent="0.2">
      <c r="A105" s="21" t="s">
        <v>3051</v>
      </c>
      <c r="B105" s="21">
        <v>2025</v>
      </c>
      <c r="C105" s="21" t="s">
        <v>3664</v>
      </c>
      <c r="D105" s="21" t="s">
        <v>3665</v>
      </c>
      <c r="E105" s="21" t="s">
        <v>3603</v>
      </c>
      <c r="F105" s="21" t="s">
        <v>3351</v>
      </c>
      <c r="G105" s="21"/>
      <c r="H105" s="21" t="s">
        <v>3666</v>
      </c>
      <c r="I105" s="21" t="s">
        <v>3361</v>
      </c>
      <c r="J105" s="21" t="s">
        <v>3354</v>
      </c>
    </row>
    <row r="106" spans="1:10" ht="114" x14ac:dyDescent="0.2">
      <c r="A106" s="21" t="s">
        <v>3058</v>
      </c>
      <c r="B106" s="21">
        <v>2025</v>
      </c>
      <c r="C106" s="21" t="s">
        <v>3667</v>
      </c>
      <c r="D106" s="21" t="s">
        <v>3668</v>
      </c>
      <c r="E106" s="21" t="s">
        <v>3603</v>
      </c>
      <c r="F106" s="21" t="s">
        <v>3351</v>
      </c>
      <c r="G106" s="21"/>
      <c r="H106" s="21" t="s">
        <v>3669</v>
      </c>
      <c r="I106" s="21" t="s">
        <v>3361</v>
      </c>
      <c r="J106" s="21" t="s">
        <v>3354</v>
      </c>
    </row>
    <row r="107" spans="1:10" ht="114" x14ac:dyDescent="0.2">
      <c r="A107" s="21" t="s">
        <v>3065</v>
      </c>
      <c r="B107" s="21">
        <v>2026</v>
      </c>
      <c r="C107" s="21" t="s">
        <v>3670</v>
      </c>
      <c r="D107" s="21" t="s">
        <v>3671</v>
      </c>
      <c r="E107" s="21" t="s">
        <v>3603</v>
      </c>
      <c r="F107" s="21" t="s">
        <v>3351</v>
      </c>
      <c r="G107" s="21"/>
      <c r="H107" s="21" t="s">
        <v>3672</v>
      </c>
      <c r="I107" s="21" t="s">
        <v>3353</v>
      </c>
      <c r="J107" s="21" t="s">
        <v>3354</v>
      </c>
    </row>
    <row r="108" spans="1:10" ht="95" x14ac:dyDescent="0.2">
      <c r="A108" s="21" t="s">
        <v>3065</v>
      </c>
      <c r="B108" s="21">
        <v>2026</v>
      </c>
      <c r="C108" s="21" t="s">
        <v>3673</v>
      </c>
      <c r="D108" s="21" t="s">
        <v>3674</v>
      </c>
      <c r="E108" s="21" t="s">
        <v>3603</v>
      </c>
      <c r="F108" s="21" t="s">
        <v>3351</v>
      </c>
      <c r="G108" s="21"/>
      <c r="H108" s="21" t="s">
        <v>3675</v>
      </c>
      <c r="I108" s="21" t="s">
        <v>3353</v>
      </c>
      <c r="J108" s="21" t="s">
        <v>3354</v>
      </c>
    </row>
    <row r="109" spans="1:10" ht="114" x14ac:dyDescent="0.2">
      <c r="A109" s="21" t="s">
        <v>3087</v>
      </c>
      <c r="B109" s="21">
        <v>2026</v>
      </c>
      <c r="C109" s="21" t="s">
        <v>3676</v>
      </c>
      <c r="D109" s="21" t="s">
        <v>3677</v>
      </c>
      <c r="E109" s="21" t="s">
        <v>3603</v>
      </c>
      <c r="F109" s="21" t="s">
        <v>3351</v>
      </c>
      <c r="G109" s="21"/>
      <c r="H109" s="21" t="s">
        <v>3678</v>
      </c>
      <c r="I109" s="21" t="s">
        <v>3353</v>
      </c>
      <c r="J109" s="21" t="s">
        <v>3354</v>
      </c>
    </row>
    <row r="110" spans="1:10" ht="95" x14ac:dyDescent="0.2">
      <c r="A110" s="21" t="s">
        <v>3087</v>
      </c>
      <c r="B110" s="21">
        <v>2026</v>
      </c>
      <c r="C110" s="21" t="s">
        <v>3679</v>
      </c>
      <c r="D110" s="21" t="s">
        <v>3680</v>
      </c>
      <c r="E110" s="21" t="s">
        <v>3603</v>
      </c>
      <c r="F110" s="21" t="s">
        <v>3351</v>
      </c>
      <c r="G110" s="21"/>
      <c r="H110" s="21" t="s">
        <v>3681</v>
      </c>
      <c r="I110" s="21" t="s">
        <v>3353</v>
      </c>
      <c r="J110" s="21" t="s">
        <v>3354</v>
      </c>
    </row>
    <row r="111" spans="1:10" ht="95" x14ac:dyDescent="0.2">
      <c r="A111" s="21" t="s">
        <v>3102</v>
      </c>
      <c r="B111" s="21">
        <v>2026</v>
      </c>
      <c r="C111" s="21" t="s">
        <v>3682</v>
      </c>
      <c r="D111" s="21" t="s">
        <v>3683</v>
      </c>
      <c r="E111" s="21" t="s">
        <v>3603</v>
      </c>
      <c r="F111" s="21" t="s">
        <v>3351</v>
      </c>
      <c r="G111" s="21"/>
      <c r="H111" s="21" t="s">
        <v>3684</v>
      </c>
      <c r="I111" s="21" t="s">
        <v>3353</v>
      </c>
      <c r="J111" s="21" t="s">
        <v>3354</v>
      </c>
    </row>
    <row r="112" spans="1:10" ht="133" x14ac:dyDescent="0.2">
      <c r="A112" s="21" t="s">
        <v>3109</v>
      </c>
      <c r="B112" s="21">
        <v>2026</v>
      </c>
      <c r="C112" s="21" t="s">
        <v>3685</v>
      </c>
      <c r="D112" s="21" t="s">
        <v>3686</v>
      </c>
      <c r="E112" s="21" t="s">
        <v>3603</v>
      </c>
      <c r="F112" s="21" t="s">
        <v>3351</v>
      </c>
      <c r="G112" s="21"/>
      <c r="H112" s="21" t="s">
        <v>3687</v>
      </c>
      <c r="I112" s="21" t="s">
        <v>3353</v>
      </c>
      <c r="J112" s="21" t="s">
        <v>3354</v>
      </c>
    </row>
    <row r="113" spans="1:10" ht="95" x14ac:dyDescent="0.2">
      <c r="A113" s="21" t="s">
        <v>3147</v>
      </c>
      <c r="B113" s="21">
        <v>2026</v>
      </c>
      <c r="C113" s="21" t="s">
        <v>3688</v>
      </c>
      <c r="D113" s="21" t="s">
        <v>3689</v>
      </c>
      <c r="E113" s="21" t="s">
        <v>3603</v>
      </c>
      <c r="F113" s="21" t="s">
        <v>3351</v>
      </c>
      <c r="G113" s="21"/>
      <c r="H113" s="21" t="s">
        <v>3690</v>
      </c>
      <c r="I113" s="21" t="s">
        <v>3353</v>
      </c>
      <c r="J113" s="21" t="s">
        <v>3354</v>
      </c>
    </row>
    <row r="114" spans="1:10" ht="133" x14ac:dyDescent="0.2">
      <c r="A114" s="21" t="s">
        <v>3155</v>
      </c>
      <c r="B114" s="21">
        <v>2026</v>
      </c>
      <c r="C114" s="21" t="s">
        <v>3691</v>
      </c>
      <c r="D114" s="21" t="s">
        <v>3692</v>
      </c>
      <c r="E114" s="21" t="s">
        <v>3603</v>
      </c>
      <c r="F114" s="21" t="s">
        <v>3351</v>
      </c>
      <c r="G114" s="21"/>
      <c r="H114" s="21" t="s">
        <v>3693</v>
      </c>
      <c r="I114" s="21" t="s">
        <v>3353</v>
      </c>
      <c r="J114" s="21" t="s">
        <v>3354</v>
      </c>
    </row>
    <row r="115" spans="1:10" ht="95" x14ac:dyDescent="0.2">
      <c r="A115" s="21" t="s">
        <v>3171</v>
      </c>
      <c r="B115" s="21">
        <v>2026</v>
      </c>
      <c r="C115" s="21" t="s">
        <v>3694</v>
      </c>
      <c r="D115" s="21" t="s">
        <v>3695</v>
      </c>
      <c r="E115" s="21" t="s">
        <v>3603</v>
      </c>
      <c r="F115" s="21" t="s">
        <v>3351</v>
      </c>
      <c r="G115" s="21"/>
      <c r="H115" s="21" t="s">
        <v>3696</v>
      </c>
      <c r="I115" s="21" t="s">
        <v>3353</v>
      </c>
      <c r="J115" s="21" t="s">
        <v>3354</v>
      </c>
    </row>
    <row r="116" spans="1:10" ht="133" x14ac:dyDescent="0.2">
      <c r="A116" s="21" t="s">
        <v>3179</v>
      </c>
      <c r="B116" s="21">
        <v>2026</v>
      </c>
      <c r="C116" s="21" t="s">
        <v>3697</v>
      </c>
      <c r="D116" s="21" t="s">
        <v>3698</v>
      </c>
      <c r="E116" s="21" t="s">
        <v>3603</v>
      </c>
      <c r="F116" s="21" t="s">
        <v>3351</v>
      </c>
      <c r="G116" s="21"/>
      <c r="H116" s="21" t="s">
        <v>3699</v>
      </c>
      <c r="I116" s="21" t="s">
        <v>3353</v>
      </c>
      <c r="J116" s="21" t="s">
        <v>3354</v>
      </c>
    </row>
    <row r="117" spans="1:10" ht="95" x14ac:dyDescent="0.2">
      <c r="A117" s="21" t="s">
        <v>3187</v>
      </c>
      <c r="B117" s="21">
        <v>2026</v>
      </c>
      <c r="C117" s="21" t="s">
        <v>3700</v>
      </c>
      <c r="D117" s="21" t="s">
        <v>3701</v>
      </c>
      <c r="E117" s="21" t="s">
        <v>3603</v>
      </c>
      <c r="F117" s="21" t="s">
        <v>3351</v>
      </c>
      <c r="G117" s="21"/>
      <c r="H117" s="21" t="s">
        <v>3702</v>
      </c>
      <c r="I117" s="21" t="s">
        <v>3353</v>
      </c>
      <c r="J117" s="21" t="s">
        <v>3354</v>
      </c>
    </row>
    <row r="118" spans="1:10" ht="76" x14ac:dyDescent="0.2">
      <c r="A118" s="21" t="s">
        <v>3194</v>
      </c>
      <c r="B118" s="21">
        <v>2025</v>
      </c>
      <c r="C118" s="21" t="s">
        <v>3703</v>
      </c>
      <c r="D118" s="21" t="s">
        <v>3704</v>
      </c>
      <c r="E118" s="21" t="s">
        <v>3603</v>
      </c>
      <c r="F118" s="21" t="s">
        <v>3351</v>
      </c>
      <c r="G118" s="21"/>
      <c r="H118" s="21" t="s">
        <v>3705</v>
      </c>
      <c r="I118" s="21" t="s">
        <v>3361</v>
      </c>
      <c r="J118" s="21" t="s">
        <v>3354</v>
      </c>
    </row>
    <row r="119" spans="1:10" ht="171" x14ac:dyDescent="0.2">
      <c r="A119" s="21" t="s">
        <v>3223</v>
      </c>
      <c r="B119" s="21">
        <v>2026</v>
      </c>
      <c r="C119" s="21" t="s">
        <v>3706</v>
      </c>
      <c r="D119" s="21" t="s">
        <v>3707</v>
      </c>
      <c r="E119" s="21" t="s">
        <v>3603</v>
      </c>
      <c r="F119" s="21" t="s">
        <v>3351</v>
      </c>
      <c r="G119" s="21"/>
      <c r="H119" s="21" t="s">
        <v>3708</v>
      </c>
      <c r="I119" s="21" t="s">
        <v>3353</v>
      </c>
      <c r="J119" s="21" t="s">
        <v>3354</v>
      </c>
    </row>
    <row r="120" spans="1:10" ht="114" x14ac:dyDescent="0.2">
      <c r="A120" s="21" t="s">
        <v>3223</v>
      </c>
      <c r="B120" s="21">
        <v>2026</v>
      </c>
      <c r="C120" s="21" t="s">
        <v>3709</v>
      </c>
      <c r="D120" s="21" t="s">
        <v>3710</v>
      </c>
      <c r="E120" s="21" t="s">
        <v>3603</v>
      </c>
      <c r="F120" s="21" t="s">
        <v>3351</v>
      </c>
      <c r="G120" s="21"/>
      <c r="H120" s="21" t="s">
        <v>3711</v>
      </c>
      <c r="I120" s="21" t="s">
        <v>3353</v>
      </c>
      <c r="J120" s="21" t="s">
        <v>3354</v>
      </c>
    </row>
    <row r="121" spans="1:10" ht="133" x14ac:dyDescent="0.2">
      <c r="A121" s="21" t="s">
        <v>3236</v>
      </c>
      <c r="B121" s="21">
        <v>2025</v>
      </c>
      <c r="C121" s="21" t="s">
        <v>3712</v>
      </c>
      <c r="D121" s="21" t="s">
        <v>3713</v>
      </c>
      <c r="E121" s="21" t="s">
        <v>3603</v>
      </c>
      <c r="F121" s="21" t="s">
        <v>3351</v>
      </c>
      <c r="G121" s="21"/>
      <c r="H121" s="21" t="s">
        <v>3714</v>
      </c>
      <c r="I121" s="21" t="s">
        <v>3353</v>
      </c>
      <c r="J121" s="21" t="s">
        <v>3354</v>
      </c>
    </row>
    <row r="122" spans="1:10" ht="76" x14ac:dyDescent="0.2">
      <c r="A122" s="21" t="s">
        <v>3298</v>
      </c>
      <c r="B122" s="21">
        <v>2024</v>
      </c>
      <c r="C122" s="21" t="s">
        <v>3715</v>
      </c>
      <c r="D122" s="21" t="s">
        <v>3716</v>
      </c>
      <c r="E122" s="21" t="s">
        <v>3603</v>
      </c>
      <c r="F122" s="21" t="s">
        <v>3351</v>
      </c>
      <c r="G122" s="21"/>
      <c r="H122" s="21" t="s">
        <v>3484</v>
      </c>
      <c r="I122" s="21" t="s">
        <v>3353</v>
      </c>
      <c r="J122" s="21" t="s">
        <v>3354</v>
      </c>
    </row>
    <row r="123" spans="1:10" ht="114" x14ac:dyDescent="0.2">
      <c r="A123" s="21" t="s">
        <v>2825</v>
      </c>
      <c r="B123" s="21">
        <v>2025</v>
      </c>
      <c r="C123" s="21" t="s">
        <v>3717</v>
      </c>
      <c r="D123" s="21" t="s">
        <v>3718</v>
      </c>
      <c r="E123" s="21" t="s">
        <v>3719</v>
      </c>
      <c r="F123" s="21" t="s">
        <v>3351</v>
      </c>
      <c r="G123" s="21"/>
      <c r="H123" s="21" t="s">
        <v>3720</v>
      </c>
      <c r="I123" s="21" t="s">
        <v>3353</v>
      </c>
      <c r="J123" s="21" t="s">
        <v>3721</v>
      </c>
    </row>
    <row r="124" spans="1:10" ht="152" x14ac:dyDescent="0.2">
      <c r="A124" s="21" t="s">
        <v>2833</v>
      </c>
      <c r="B124" s="21">
        <v>2026</v>
      </c>
      <c r="C124" s="21" t="s">
        <v>3722</v>
      </c>
      <c r="D124" s="21" t="s">
        <v>3723</v>
      </c>
      <c r="E124" s="21" t="s">
        <v>3719</v>
      </c>
      <c r="F124" s="21" t="s">
        <v>3351</v>
      </c>
      <c r="G124" s="21"/>
      <c r="H124" s="21" t="s">
        <v>3724</v>
      </c>
      <c r="I124" s="21" t="s">
        <v>3353</v>
      </c>
      <c r="J124" s="21" t="s">
        <v>3721</v>
      </c>
    </row>
    <row r="125" spans="1:10" ht="95" x14ac:dyDescent="0.2">
      <c r="A125" s="21" t="s">
        <v>2833</v>
      </c>
      <c r="B125" s="21">
        <v>2026</v>
      </c>
      <c r="C125" s="21" t="s">
        <v>3725</v>
      </c>
      <c r="D125" s="21" t="s">
        <v>3726</v>
      </c>
      <c r="E125" s="21" t="s">
        <v>3719</v>
      </c>
      <c r="F125" s="21" t="s">
        <v>3351</v>
      </c>
      <c r="G125" s="21"/>
      <c r="H125" s="21" t="s">
        <v>3727</v>
      </c>
      <c r="I125" s="21" t="s">
        <v>3353</v>
      </c>
      <c r="J125" s="21" t="s">
        <v>3721</v>
      </c>
    </row>
    <row r="126" spans="1:10" ht="95" x14ac:dyDescent="0.2">
      <c r="A126" s="21" t="s">
        <v>2841</v>
      </c>
      <c r="B126" s="21">
        <v>2026</v>
      </c>
      <c r="C126" s="21" t="s">
        <v>3728</v>
      </c>
      <c r="D126" s="21" t="s">
        <v>3729</v>
      </c>
      <c r="E126" s="21" t="s">
        <v>3719</v>
      </c>
      <c r="F126" s="21" t="s">
        <v>3351</v>
      </c>
      <c r="G126" s="21"/>
      <c r="H126" s="21" t="s">
        <v>3730</v>
      </c>
      <c r="I126" s="21" t="s">
        <v>3353</v>
      </c>
      <c r="J126" s="21" t="s">
        <v>3721</v>
      </c>
    </row>
    <row r="127" spans="1:10" ht="114" x14ac:dyDescent="0.2">
      <c r="A127" s="21" t="s">
        <v>2841</v>
      </c>
      <c r="B127" s="21">
        <v>2026</v>
      </c>
      <c r="C127" s="21" t="s">
        <v>3731</v>
      </c>
      <c r="D127" s="21" t="s">
        <v>3732</v>
      </c>
      <c r="E127" s="21" t="s">
        <v>3719</v>
      </c>
      <c r="F127" s="21" t="s">
        <v>3351</v>
      </c>
      <c r="G127" s="21"/>
      <c r="H127" s="21" t="s">
        <v>3733</v>
      </c>
      <c r="I127" s="21" t="s">
        <v>3353</v>
      </c>
      <c r="J127" s="21" t="s">
        <v>3721</v>
      </c>
    </row>
    <row r="128" spans="1:10" ht="76" x14ac:dyDescent="0.2">
      <c r="A128" s="21" t="s">
        <v>2849</v>
      </c>
      <c r="B128" s="21">
        <v>2026</v>
      </c>
      <c r="C128" s="21" t="s">
        <v>3734</v>
      </c>
      <c r="D128" s="21" t="s">
        <v>3735</v>
      </c>
      <c r="E128" s="21" t="s">
        <v>3719</v>
      </c>
      <c r="F128" s="21" t="s">
        <v>3351</v>
      </c>
      <c r="G128" s="21"/>
      <c r="H128" s="21" t="s">
        <v>3736</v>
      </c>
      <c r="I128" s="21" t="s">
        <v>3361</v>
      </c>
      <c r="J128" s="21" t="s">
        <v>3721</v>
      </c>
    </row>
    <row r="129" spans="1:10" ht="95" x14ac:dyDescent="0.2">
      <c r="A129" s="21" t="s">
        <v>2857</v>
      </c>
      <c r="B129" s="21">
        <v>2026</v>
      </c>
      <c r="C129" s="21" t="s">
        <v>3737</v>
      </c>
      <c r="D129" s="21" t="s">
        <v>3738</v>
      </c>
      <c r="E129" s="21" t="s">
        <v>3719</v>
      </c>
      <c r="F129" s="21" t="s">
        <v>3351</v>
      </c>
      <c r="G129" s="21"/>
      <c r="H129" s="21" t="s">
        <v>3739</v>
      </c>
      <c r="I129" s="21" t="s">
        <v>3353</v>
      </c>
      <c r="J129" s="21" t="s">
        <v>3721</v>
      </c>
    </row>
    <row r="130" spans="1:10" ht="95" x14ac:dyDescent="0.2">
      <c r="A130" s="21" t="s">
        <v>2873</v>
      </c>
      <c r="B130" s="21">
        <v>2025</v>
      </c>
      <c r="C130" s="21" t="s">
        <v>3740</v>
      </c>
      <c r="D130" s="21" t="s">
        <v>3741</v>
      </c>
      <c r="E130" s="21" t="s">
        <v>3719</v>
      </c>
      <c r="F130" s="21" t="s">
        <v>3351</v>
      </c>
      <c r="G130" s="21"/>
      <c r="H130" s="21" t="s">
        <v>3742</v>
      </c>
      <c r="I130" s="21" t="s">
        <v>3353</v>
      </c>
      <c r="J130" s="21" t="s">
        <v>3721</v>
      </c>
    </row>
    <row r="131" spans="1:10" ht="114" x14ac:dyDescent="0.2">
      <c r="A131" s="21" t="s">
        <v>2881</v>
      </c>
      <c r="B131" s="21">
        <v>2026</v>
      </c>
      <c r="C131" s="21" t="s">
        <v>3743</v>
      </c>
      <c r="D131" s="21" t="s">
        <v>3744</v>
      </c>
      <c r="E131" s="21" t="s">
        <v>3719</v>
      </c>
      <c r="F131" s="21" t="s">
        <v>3351</v>
      </c>
      <c r="G131" s="21"/>
      <c r="H131" s="21" t="s">
        <v>3745</v>
      </c>
      <c r="I131" s="21" t="s">
        <v>3361</v>
      </c>
      <c r="J131" s="21" t="s">
        <v>3721</v>
      </c>
    </row>
    <row r="132" spans="1:10" ht="114" x14ac:dyDescent="0.2">
      <c r="A132" s="21" t="s">
        <v>2889</v>
      </c>
      <c r="B132" s="21">
        <v>2026</v>
      </c>
      <c r="C132" s="21" t="s">
        <v>3746</v>
      </c>
      <c r="D132" s="21" t="s">
        <v>3747</v>
      </c>
      <c r="E132" s="21" t="s">
        <v>3719</v>
      </c>
      <c r="F132" s="21" t="s">
        <v>3351</v>
      </c>
      <c r="G132" s="21"/>
      <c r="H132" s="21" t="s">
        <v>3748</v>
      </c>
      <c r="I132" s="21" t="s">
        <v>3353</v>
      </c>
      <c r="J132" s="21" t="s">
        <v>3721</v>
      </c>
    </row>
    <row r="133" spans="1:10" ht="133" x14ac:dyDescent="0.2">
      <c r="A133" s="21" t="s">
        <v>2897</v>
      </c>
      <c r="B133" s="21">
        <v>2026</v>
      </c>
      <c r="C133" s="21" t="s">
        <v>3749</v>
      </c>
      <c r="D133" s="21" t="s">
        <v>3750</v>
      </c>
      <c r="E133" s="21" t="s">
        <v>3719</v>
      </c>
      <c r="F133" s="21" t="s">
        <v>3351</v>
      </c>
      <c r="G133" s="21"/>
      <c r="H133" s="21" t="s">
        <v>3751</v>
      </c>
      <c r="I133" s="21" t="s">
        <v>3353</v>
      </c>
      <c r="J133" s="21" t="s">
        <v>3721</v>
      </c>
    </row>
    <row r="134" spans="1:10" ht="95" x14ac:dyDescent="0.2">
      <c r="A134" s="21" t="s">
        <v>2904</v>
      </c>
      <c r="B134" s="21">
        <v>2026</v>
      </c>
      <c r="C134" s="21" t="s">
        <v>3752</v>
      </c>
      <c r="D134" s="21" t="s">
        <v>3753</v>
      </c>
      <c r="E134" s="21" t="s">
        <v>3719</v>
      </c>
      <c r="F134" s="21" t="s">
        <v>3351</v>
      </c>
      <c r="G134" s="21"/>
      <c r="H134" s="21" t="s">
        <v>3754</v>
      </c>
      <c r="I134" s="21" t="s">
        <v>3353</v>
      </c>
      <c r="J134" s="21" t="s">
        <v>3721</v>
      </c>
    </row>
    <row r="135" spans="1:10" ht="95" x14ac:dyDescent="0.2">
      <c r="A135" s="21" t="s">
        <v>2912</v>
      </c>
      <c r="B135" s="21">
        <v>2026</v>
      </c>
      <c r="C135" s="21" t="s">
        <v>3755</v>
      </c>
      <c r="D135" s="21" t="s">
        <v>3756</v>
      </c>
      <c r="E135" s="21" t="s">
        <v>3719</v>
      </c>
      <c r="F135" s="21" t="s">
        <v>3351</v>
      </c>
      <c r="G135" s="21"/>
      <c r="H135" s="21" t="s">
        <v>3757</v>
      </c>
      <c r="I135" s="21" t="s">
        <v>3353</v>
      </c>
      <c r="J135" s="21" t="s">
        <v>3721</v>
      </c>
    </row>
    <row r="136" spans="1:10" ht="76" x14ac:dyDescent="0.2">
      <c r="A136" s="21" t="s">
        <v>2920</v>
      </c>
      <c r="B136" s="21">
        <v>2026</v>
      </c>
      <c r="C136" s="21" t="s">
        <v>3758</v>
      </c>
      <c r="D136" s="21" t="s">
        <v>3759</v>
      </c>
      <c r="E136" s="21" t="s">
        <v>3719</v>
      </c>
      <c r="F136" s="21" t="s">
        <v>3351</v>
      </c>
      <c r="G136" s="21"/>
      <c r="H136" s="21" t="s">
        <v>3760</v>
      </c>
      <c r="I136" s="21" t="s">
        <v>3361</v>
      </c>
      <c r="J136" s="21" t="s">
        <v>3721</v>
      </c>
    </row>
    <row r="137" spans="1:10" ht="133" x14ac:dyDescent="0.2">
      <c r="A137" s="21" t="s">
        <v>2928</v>
      </c>
      <c r="B137" s="21">
        <v>2025</v>
      </c>
      <c r="C137" s="21" t="s">
        <v>3761</v>
      </c>
      <c r="D137" s="21" t="s">
        <v>3762</v>
      </c>
      <c r="E137" s="21" t="s">
        <v>3719</v>
      </c>
      <c r="F137" s="21" t="s">
        <v>3351</v>
      </c>
      <c r="G137" s="21"/>
      <c r="H137" s="21" t="s">
        <v>3763</v>
      </c>
      <c r="I137" s="21" t="s">
        <v>3353</v>
      </c>
      <c r="J137" s="21" t="s">
        <v>3721</v>
      </c>
    </row>
    <row r="138" spans="1:10" ht="133" x14ac:dyDescent="0.2">
      <c r="A138" s="21" t="s">
        <v>2936</v>
      </c>
      <c r="B138" s="21">
        <v>2025</v>
      </c>
      <c r="C138" s="21" t="s">
        <v>3764</v>
      </c>
      <c r="D138" s="21" t="s">
        <v>3765</v>
      </c>
      <c r="E138" s="21" t="s">
        <v>3719</v>
      </c>
      <c r="F138" s="21" t="s">
        <v>3351</v>
      </c>
      <c r="G138" s="21"/>
      <c r="H138" s="21" t="s">
        <v>3766</v>
      </c>
      <c r="I138" s="21" t="s">
        <v>3353</v>
      </c>
      <c r="J138" s="21" t="s">
        <v>3721</v>
      </c>
    </row>
    <row r="139" spans="1:10" ht="190" x14ac:dyDescent="0.2">
      <c r="A139" s="21" t="s">
        <v>2936</v>
      </c>
      <c r="B139" s="21">
        <v>2025</v>
      </c>
      <c r="C139" s="21" t="s">
        <v>3767</v>
      </c>
      <c r="D139" s="21" t="s">
        <v>3768</v>
      </c>
      <c r="E139" s="21" t="s">
        <v>3719</v>
      </c>
      <c r="F139" s="21" t="s">
        <v>3351</v>
      </c>
      <c r="G139" s="21"/>
      <c r="H139" s="21" t="s">
        <v>3769</v>
      </c>
      <c r="I139" s="21" t="s">
        <v>3353</v>
      </c>
      <c r="J139" s="21" t="s">
        <v>3721</v>
      </c>
    </row>
    <row r="140" spans="1:10" ht="152" x14ac:dyDescent="0.2">
      <c r="A140" s="21" t="s">
        <v>2944</v>
      </c>
      <c r="B140" s="21">
        <v>2026</v>
      </c>
      <c r="C140" s="21" t="s">
        <v>3770</v>
      </c>
      <c r="D140" s="21" t="s">
        <v>3771</v>
      </c>
      <c r="E140" s="21" t="s">
        <v>3719</v>
      </c>
      <c r="F140" s="21" t="s">
        <v>3351</v>
      </c>
      <c r="G140" s="21"/>
      <c r="H140" s="21" t="s">
        <v>3772</v>
      </c>
      <c r="I140" s="21" t="s">
        <v>3353</v>
      </c>
      <c r="J140" s="21" t="s">
        <v>3721</v>
      </c>
    </row>
    <row r="141" spans="1:10" ht="171" x14ac:dyDescent="0.2">
      <c r="A141" s="21" t="s">
        <v>2952</v>
      </c>
      <c r="B141" s="21">
        <v>2026</v>
      </c>
      <c r="C141" s="21" t="s">
        <v>3773</v>
      </c>
      <c r="D141" s="21" t="s">
        <v>3774</v>
      </c>
      <c r="E141" s="21" t="s">
        <v>3719</v>
      </c>
      <c r="F141" s="21" t="s">
        <v>3351</v>
      </c>
      <c r="G141" s="21"/>
      <c r="H141" s="21" t="s">
        <v>3775</v>
      </c>
      <c r="I141" s="21" t="s">
        <v>3353</v>
      </c>
      <c r="J141" s="21" t="s">
        <v>3721</v>
      </c>
    </row>
    <row r="142" spans="1:10" ht="114" x14ac:dyDescent="0.2">
      <c r="A142" s="21" t="s">
        <v>2959</v>
      </c>
      <c r="B142" s="21">
        <v>2025</v>
      </c>
      <c r="C142" s="21" t="s">
        <v>3776</v>
      </c>
      <c r="D142" s="21" t="s">
        <v>3777</v>
      </c>
      <c r="E142" s="21" t="s">
        <v>3719</v>
      </c>
      <c r="F142" s="21" t="s">
        <v>3351</v>
      </c>
      <c r="G142" s="21"/>
      <c r="H142" s="21" t="s">
        <v>3778</v>
      </c>
      <c r="I142" s="21" t="s">
        <v>3353</v>
      </c>
      <c r="J142" s="21" t="s">
        <v>3721</v>
      </c>
    </row>
    <row r="143" spans="1:10" ht="114" x14ac:dyDescent="0.2">
      <c r="A143" s="21" t="s">
        <v>2967</v>
      </c>
      <c r="B143" s="21">
        <v>2025</v>
      </c>
      <c r="C143" s="21" t="s">
        <v>3779</v>
      </c>
      <c r="D143" s="21" t="s">
        <v>3780</v>
      </c>
      <c r="E143" s="21" t="s">
        <v>3719</v>
      </c>
      <c r="F143" s="21" t="s">
        <v>3351</v>
      </c>
      <c r="G143" s="21"/>
      <c r="H143" s="21" t="s">
        <v>3781</v>
      </c>
      <c r="I143" s="21" t="s">
        <v>3353</v>
      </c>
      <c r="J143" s="21" t="s">
        <v>3721</v>
      </c>
    </row>
    <row r="144" spans="1:10" ht="133" x14ac:dyDescent="0.2">
      <c r="A144" s="21" t="s">
        <v>2975</v>
      </c>
      <c r="B144" s="21">
        <v>2025</v>
      </c>
      <c r="C144" s="21" t="s">
        <v>3782</v>
      </c>
      <c r="D144" s="21" t="s">
        <v>3783</v>
      </c>
      <c r="E144" s="21" t="s">
        <v>3719</v>
      </c>
      <c r="F144" s="21" t="s">
        <v>3351</v>
      </c>
      <c r="G144" s="21"/>
      <c r="H144" s="21" t="s">
        <v>3784</v>
      </c>
      <c r="I144" s="21" t="s">
        <v>3353</v>
      </c>
      <c r="J144" s="21" t="s">
        <v>3721</v>
      </c>
    </row>
    <row r="145" spans="1:10" ht="114" x14ac:dyDescent="0.2">
      <c r="A145" s="21" t="s">
        <v>2983</v>
      </c>
      <c r="B145" s="21">
        <v>2026</v>
      </c>
      <c r="C145" s="21" t="s">
        <v>3785</v>
      </c>
      <c r="D145" s="21" t="s">
        <v>3786</v>
      </c>
      <c r="E145" s="21" t="s">
        <v>3719</v>
      </c>
      <c r="F145" s="21" t="s">
        <v>3351</v>
      </c>
      <c r="G145" s="21"/>
      <c r="H145" s="21" t="s">
        <v>3787</v>
      </c>
      <c r="I145" s="21" t="s">
        <v>3353</v>
      </c>
      <c r="J145" s="21" t="s">
        <v>3721</v>
      </c>
    </row>
    <row r="146" spans="1:10" ht="95" x14ac:dyDescent="0.2">
      <c r="A146" s="21" t="s">
        <v>2989</v>
      </c>
      <c r="B146" s="21">
        <v>2026</v>
      </c>
      <c r="C146" s="21" t="s">
        <v>3788</v>
      </c>
      <c r="D146" s="21" t="s">
        <v>3789</v>
      </c>
      <c r="E146" s="21" t="s">
        <v>3719</v>
      </c>
      <c r="F146" s="21" t="s">
        <v>3351</v>
      </c>
      <c r="G146" s="21"/>
      <c r="H146" s="21" t="s">
        <v>3663</v>
      </c>
      <c r="I146" s="21" t="s">
        <v>3353</v>
      </c>
      <c r="J146" s="21" t="s">
        <v>3721</v>
      </c>
    </row>
    <row r="147" spans="1:10" ht="171" x14ac:dyDescent="0.2">
      <c r="A147" s="21" t="s">
        <v>2996</v>
      </c>
      <c r="B147" s="21">
        <v>2026</v>
      </c>
      <c r="C147" s="21" t="s">
        <v>3790</v>
      </c>
      <c r="D147" s="21" t="s">
        <v>3791</v>
      </c>
      <c r="E147" s="21" t="s">
        <v>3719</v>
      </c>
      <c r="F147" s="21" t="s">
        <v>3351</v>
      </c>
      <c r="G147" s="21"/>
      <c r="H147" s="21" t="s">
        <v>3792</v>
      </c>
      <c r="I147" s="21" t="s">
        <v>3353</v>
      </c>
      <c r="J147" s="21" t="s">
        <v>3721</v>
      </c>
    </row>
    <row r="148" spans="1:10" ht="133" x14ac:dyDescent="0.2">
      <c r="A148" s="21" t="s">
        <v>3035</v>
      </c>
      <c r="B148" s="21">
        <v>2024</v>
      </c>
      <c r="C148" s="21" t="s">
        <v>3793</v>
      </c>
      <c r="D148" s="21" t="s">
        <v>3794</v>
      </c>
      <c r="E148" s="21" t="s">
        <v>3719</v>
      </c>
      <c r="F148" s="21" t="s">
        <v>3351</v>
      </c>
      <c r="G148" s="21"/>
      <c r="H148" s="21" t="s">
        <v>3795</v>
      </c>
      <c r="I148" s="21" t="s">
        <v>3353</v>
      </c>
      <c r="J148" s="21" t="s">
        <v>3721</v>
      </c>
    </row>
    <row r="149" spans="1:10" ht="152" x14ac:dyDescent="0.2">
      <c r="A149" s="21" t="s">
        <v>3043</v>
      </c>
      <c r="B149" s="21">
        <v>2026</v>
      </c>
      <c r="C149" s="21" t="s">
        <v>3796</v>
      </c>
      <c r="D149" s="21" t="s">
        <v>3797</v>
      </c>
      <c r="E149" s="21" t="s">
        <v>3719</v>
      </c>
      <c r="F149" s="21" t="s">
        <v>3351</v>
      </c>
      <c r="G149" s="21"/>
      <c r="H149" s="21" t="s">
        <v>3798</v>
      </c>
      <c r="I149" s="21" t="s">
        <v>3353</v>
      </c>
      <c r="J149" s="21" t="s">
        <v>3721</v>
      </c>
    </row>
    <row r="150" spans="1:10" ht="76" x14ac:dyDescent="0.2">
      <c r="A150" s="21" t="s">
        <v>3051</v>
      </c>
      <c r="B150" s="21">
        <v>2025</v>
      </c>
      <c r="C150" s="21" t="s">
        <v>3799</v>
      </c>
      <c r="D150" s="21" t="s">
        <v>3800</v>
      </c>
      <c r="E150" s="21" t="s">
        <v>3719</v>
      </c>
      <c r="F150" s="21" t="s">
        <v>3351</v>
      </c>
      <c r="G150" s="21"/>
      <c r="H150" s="21" t="s">
        <v>3801</v>
      </c>
      <c r="I150" s="21" t="s">
        <v>3361</v>
      </c>
      <c r="J150" s="21" t="s">
        <v>3721</v>
      </c>
    </row>
    <row r="151" spans="1:10" ht="152" x14ac:dyDescent="0.2">
      <c r="A151" s="21" t="s">
        <v>3058</v>
      </c>
      <c r="B151" s="21">
        <v>2025</v>
      </c>
      <c r="C151" s="21" t="s">
        <v>3802</v>
      </c>
      <c r="D151" s="21" t="s">
        <v>3803</v>
      </c>
      <c r="E151" s="21" t="s">
        <v>3719</v>
      </c>
      <c r="F151" s="21" t="s">
        <v>3351</v>
      </c>
      <c r="G151" s="21"/>
      <c r="H151" s="21" t="s">
        <v>3804</v>
      </c>
      <c r="I151" s="21" t="s">
        <v>3353</v>
      </c>
      <c r="J151" s="21" t="s">
        <v>3721</v>
      </c>
    </row>
    <row r="152" spans="1:10" ht="95" x14ac:dyDescent="0.2">
      <c r="A152" s="21" t="s">
        <v>3058</v>
      </c>
      <c r="B152" s="21">
        <v>2025</v>
      </c>
      <c r="C152" s="21" t="s">
        <v>3805</v>
      </c>
      <c r="D152" s="21" t="s">
        <v>3806</v>
      </c>
      <c r="E152" s="21" t="s">
        <v>3719</v>
      </c>
      <c r="F152" s="21" t="s">
        <v>3351</v>
      </c>
      <c r="G152" s="21"/>
      <c r="H152" s="21" t="s">
        <v>3807</v>
      </c>
      <c r="I152" s="21" t="s">
        <v>3353</v>
      </c>
      <c r="J152" s="21" t="s">
        <v>3721</v>
      </c>
    </row>
    <row r="153" spans="1:10" ht="114" x14ac:dyDescent="0.2">
      <c r="A153" s="21" t="s">
        <v>3058</v>
      </c>
      <c r="B153" s="21">
        <v>2025</v>
      </c>
      <c r="C153" s="21" t="s">
        <v>3808</v>
      </c>
      <c r="D153" s="21" t="s">
        <v>3809</v>
      </c>
      <c r="E153" s="21" t="s">
        <v>3719</v>
      </c>
      <c r="F153" s="21" t="s">
        <v>3351</v>
      </c>
      <c r="G153" s="21"/>
      <c r="H153" s="21" t="s">
        <v>3810</v>
      </c>
      <c r="I153" s="21" t="s">
        <v>3361</v>
      </c>
      <c r="J153" s="21" t="s">
        <v>3721</v>
      </c>
    </row>
    <row r="154" spans="1:10" ht="133" x14ac:dyDescent="0.2">
      <c r="A154" s="21" t="s">
        <v>3072</v>
      </c>
      <c r="B154" s="21">
        <v>2026</v>
      </c>
      <c r="C154" s="21" t="s">
        <v>3811</v>
      </c>
      <c r="D154" s="21" t="s">
        <v>3812</v>
      </c>
      <c r="E154" s="21" t="s">
        <v>3719</v>
      </c>
      <c r="F154" s="21" t="s">
        <v>3351</v>
      </c>
      <c r="G154" s="21"/>
      <c r="H154" s="21" t="s">
        <v>3813</v>
      </c>
      <c r="I154" s="21" t="s">
        <v>3353</v>
      </c>
      <c r="J154" s="21" t="s">
        <v>3721</v>
      </c>
    </row>
    <row r="155" spans="1:10" ht="114" x14ac:dyDescent="0.2">
      <c r="A155" s="21" t="s">
        <v>3080</v>
      </c>
      <c r="B155" s="21">
        <v>2026</v>
      </c>
      <c r="C155" s="21" t="s">
        <v>3814</v>
      </c>
      <c r="D155" s="21" t="s">
        <v>3815</v>
      </c>
      <c r="E155" s="21" t="s">
        <v>3719</v>
      </c>
      <c r="F155" s="21" t="s">
        <v>3351</v>
      </c>
      <c r="G155" s="21"/>
      <c r="H155" s="21" t="s">
        <v>3816</v>
      </c>
      <c r="I155" s="21" t="s">
        <v>3361</v>
      </c>
      <c r="J155" s="21" t="s">
        <v>3721</v>
      </c>
    </row>
    <row r="156" spans="1:10" ht="133" x14ac:dyDescent="0.2">
      <c r="A156" s="21" t="s">
        <v>3102</v>
      </c>
      <c r="B156" s="21">
        <v>2026</v>
      </c>
      <c r="C156" s="21" t="s">
        <v>3817</v>
      </c>
      <c r="D156" s="21" t="s">
        <v>3818</v>
      </c>
      <c r="E156" s="21" t="s">
        <v>3719</v>
      </c>
      <c r="F156" s="21" t="s">
        <v>3351</v>
      </c>
      <c r="G156" s="21"/>
      <c r="H156" s="21" t="s">
        <v>3819</v>
      </c>
      <c r="I156" s="21" t="s">
        <v>3353</v>
      </c>
      <c r="J156" s="21" t="s">
        <v>3721</v>
      </c>
    </row>
    <row r="157" spans="1:10" ht="95" x14ac:dyDescent="0.2">
      <c r="A157" s="21" t="s">
        <v>3102</v>
      </c>
      <c r="B157" s="21">
        <v>2026</v>
      </c>
      <c r="C157" s="21" t="s">
        <v>3820</v>
      </c>
      <c r="D157" s="21" t="s">
        <v>3821</v>
      </c>
      <c r="E157" s="21" t="s">
        <v>3719</v>
      </c>
      <c r="F157" s="21" t="s">
        <v>3351</v>
      </c>
      <c r="G157" s="21"/>
      <c r="H157" s="21" t="s">
        <v>3822</v>
      </c>
      <c r="I157" s="21" t="s">
        <v>3353</v>
      </c>
      <c r="J157" s="21" t="s">
        <v>3721</v>
      </c>
    </row>
    <row r="158" spans="1:10" ht="95" x14ac:dyDescent="0.2">
      <c r="A158" s="21" t="s">
        <v>3109</v>
      </c>
      <c r="B158" s="21">
        <v>2026</v>
      </c>
      <c r="C158" s="21" t="s">
        <v>3823</v>
      </c>
      <c r="D158" s="21" t="s">
        <v>3824</v>
      </c>
      <c r="E158" s="21" t="s">
        <v>3719</v>
      </c>
      <c r="F158" s="21" t="s">
        <v>3351</v>
      </c>
      <c r="G158" s="21"/>
      <c r="H158" s="21" t="s">
        <v>3825</v>
      </c>
      <c r="I158" s="21" t="s">
        <v>3353</v>
      </c>
      <c r="J158" s="21" t="s">
        <v>3721</v>
      </c>
    </row>
    <row r="159" spans="1:10" ht="171" x14ac:dyDescent="0.2">
      <c r="A159" s="21" t="s">
        <v>3117</v>
      </c>
      <c r="B159" s="21">
        <v>2026</v>
      </c>
      <c r="C159" s="21" t="s">
        <v>3826</v>
      </c>
      <c r="D159" s="21" t="s">
        <v>3827</v>
      </c>
      <c r="E159" s="21" t="s">
        <v>3719</v>
      </c>
      <c r="F159" s="21" t="s">
        <v>3351</v>
      </c>
      <c r="G159" s="21"/>
      <c r="H159" s="21" t="s">
        <v>3828</v>
      </c>
      <c r="I159" s="21" t="s">
        <v>3353</v>
      </c>
      <c r="J159" s="21" t="s">
        <v>3721</v>
      </c>
    </row>
    <row r="160" spans="1:10" ht="152" x14ac:dyDescent="0.2">
      <c r="A160" s="21" t="s">
        <v>3117</v>
      </c>
      <c r="B160" s="21">
        <v>2026</v>
      </c>
      <c r="C160" s="21" t="s">
        <v>3829</v>
      </c>
      <c r="D160" s="21" t="s">
        <v>3830</v>
      </c>
      <c r="E160" s="21" t="s">
        <v>3719</v>
      </c>
      <c r="F160" s="21" t="s">
        <v>3351</v>
      </c>
      <c r="G160" s="21"/>
      <c r="H160" s="21" t="s">
        <v>3831</v>
      </c>
      <c r="I160" s="21" t="s">
        <v>3353</v>
      </c>
      <c r="J160" s="21" t="s">
        <v>3721</v>
      </c>
    </row>
    <row r="161" spans="1:10" ht="133" x14ac:dyDescent="0.2">
      <c r="A161" s="21" t="s">
        <v>3125</v>
      </c>
      <c r="B161" s="21">
        <v>2025</v>
      </c>
      <c r="C161" s="21" t="s">
        <v>3832</v>
      </c>
      <c r="D161" s="21" t="s">
        <v>3833</v>
      </c>
      <c r="E161" s="21" t="s">
        <v>3719</v>
      </c>
      <c r="F161" s="21" t="s">
        <v>3351</v>
      </c>
      <c r="G161" s="21"/>
      <c r="H161" s="21" t="s">
        <v>3834</v>
      </c>
      <c r="I161" s="21" t="s">
        <v>3353</v>
      </c>
      <c r="J161" s="21" t="s">
        <v>3721</v>
      </c>
    </row>
    <row r="162" spans="1:10" ht="95" x14ac:dyDescent="0.2">
      <c r="A162" s="21" t="s">
        <v>3125</v>
      </c>
      <c r="B162" s="21">
        <v>2025</v>
      </c>
      <c r="C162" s="21" t="s">
        <v>3835</v>
      </c>
      <c r="D162" s="21" t="s">
        <v>3836</v>
      </c>
      <c r="E162" s="21" t="s">
        <v>3719</v>
      </c>
      <c r="F162" s="21" t="s">
        <v>3351</v>
      </c>
      <c r="G162" s="21"/>
      <c r="H162" s="21" t="s">
        <v>3837</v>
      </c>
      <c r="I162" s="21" t="s">
        <v>3353</v>
      </c>
      <c r="J162" s="21" t="s">
        <v>3721</v>
      </c>
    </row>
    <row r="163" spans="1:10" ht="114" x14ac:dyDescent="0.2">
      <c r="A163" s="21" t="s">
        <v>3147</v>
      </c>
      <c r="B163" s="21">
        <v>2026</v>
      </c>
      <c r="C163" s="21" t="s">
        <v>3838</v>
      </c>
      <c r="D163" s="21" t="s">
        <v>3839</v>
      </c>
      <c r="E163" s="21" t="s">
        <v>3719</v>
      </c>
      <c r="F163" s="21" t="s">
        <v>3351</v>
      </c>
      <c r="G163" s="21"/>
      <c r="H163" s="21" t="s">
        <v>3840</v>
      </c>
      <c r="I163" s="21" t="s">
        <v>3353</v>
      </c>
      <c r="J163" s="21" t="s">
        <v>3721</v>
      </c>
    </row>
    <row r="164" spans="1:10" ht="133" x14ac:dyDescent="0.2">
      <c r="A164" s="21" t="s">
        <v>3147</v>
      </c>
      <c r="B164" s="21">
        <v>2026</v>
      </c>
      <c r="C164" s="21" t="s">
        <v>3841</v>
      </c>
      <c r="D164" s="21" t="s">
        <v>3842</v>
      </c>
      <c r="E164" s="21" t="s">
        <v>3719</v>
      </c>
      <c r="F164" s="21" t="s">
        <v>3351</v>
      </c>
      <c r="G164" s="21"/>
      <c r="H164" s="21" t="s">
        <v>3843</v>
      </c>
      <c r="I164" s="21" t="s">
        <v>3353</v>
      </c>
      <c r="J164" s="21" t="s">
        <v>3721</v>
      </c>
    </row>
    <row r="165" spans="1:10" ht="114" x14ac:dyDescent="0.2">
      <c r="A165" s="21" t="s">
        <v>3155</v>
      </c>
      <c r="B165" s="21">
        <v>2026</v>
      </c>
      <c r="C165" s="21" t="s">
        <v>3844</v>
      </c>
      <c r="D165" s="21" t="s">
        <v>3845</v>
      </c>
      <c r="E165" s="21" t="s">
        <v>3719</v>
      </c>
      <c r="F165" s="21" t="s">
        <v>3351</v>
      </c>
      <c r="G165" s="21"/>
      <c r="H165" s="21" t="s">
        <v>3846</v>
      </c>
      <c r="I165" s="21" t="s">
        <v>3353</v>
      </c>
      <c r="J165" s="21" t="s">
        <v>3721</v>
      </c>
    </row>
    <row r="166" spans="1:10" ht="95" x14ac:dyDescent="0.2">
      <c r="A166" s="21" t="s">
        <v>3171</v>
      </c>
      <c r="B166" s="21">
        <v>2026</v>
      </c>
      <c r="C166" s="21" t="s">
        <v>3847</v>
      </c>
      <c r="D166" s="21" t="s">
        <v>3848</v>
      </c>
      <c r="E166" s="21" t="s">
        <v>3719</v>
      </c>
      <c r="F166" s="21" t="s">
        <v>3351</v>
      </c>
      <c r="G166" s="21"/>
      <c r="H166" s="21" t="s">
        <v>3849</v>
      </c>
      <c r="I166" s="21" t="s">
        <v>3353</v>
      </c>
      <c r="J166" s="21" t="s">
        <v>3721</v>
      </c>
    </row>
    <row r="167" spans="1:10" ht="133" x14ac:dyDescent="0.2">
      <c r="A167" s="21" t="s">
        <v>3171</v>
      </c>
      <c r="B167" s="21">
        <v>2026</v>
      </c>
      <c r="C167" s="21" t="s">
        <v>3850</v>
      </c>
      <c r="D167" s="21" t="s">
        <v>3851</v>
      </c>
      <c r="E167" s="21" t="s">
        <v>3719</v>
      </c>
      <c r="F167" s="21" t="s">
        <v>3351</v>
      </c>
      <c r="G167" s="21"/>
      <c r="H167" s="21" t="s">
        <v>3852</v>
      </c>
      <c r="I167" s="21" t="s">
        <v>3353</v>
      </c>
      <c r="J167" s="21" t="s">
        <v>3721</v>
      </c>
    </row>
    <row r="168" spans="1:10" ht="114" x14ac:dyDescent="0.2">
      <c r="A168" s="21" t="s">
        <v>3187</v>
      </c>
      <c r="B168" s="21">
        <v>2026</v>
      </c>
      <c r="C168" s="21" t="s">
        <v>3853</v>
      </c>
      <c r="D168" s="21" t="s">
        <v>3854</v>
      </c>
      <c r="E168" s="21" t="s">
        <v>3719</v>
      </c>
      <c r="F168" s="21" t="s">
        <v>3351</v>
      </c>
      <c r="G168" s="21"/>
      <c r="H168" s="21" t="s">
        <v>3855</v>
      </c>
      <c r="I168" s="21" t="s">
        <v>3353</v>
      </c>
      <c r="J168" s="21" t="s">
        <v>3721</v>
      </c>
    </row>
    <row r="169" spans="1:10" ht="95" x14ac:dyDescent="0.2">
      <c r="A169" s="21" t="s">
        <v>3187</v>
      </c>
      <c r="B169" s="21">
        <v>2026</v>
      </c>
      <c r="C169" s="21" t="s">
        <v>3856</v>
      </c>
      <c r="D169" s="21" t="s">
        <v>3857</v>
      </c>
      <c r="E169" s="21" t="s">
        <v>3719</v>
      </c>
      <c r="F169" s="21" t="s">
        <v>3351</v>
      </c>
      <c r="G169" s="21"/>
      <c r="H169" s="21" t="s">
        <v>3858</v>
      </c>
      <c r="I169" s="21" t="s">
        <v>3353</v>
      </c>
      <c r="J169" s="21" t="s">
        <v>3721</v>
      </c>
    </row>
    <row r="170" spans="1:10" ht="209" x14ac:dyDescent="0.2">
      <c r="A170" s="21" t="s">
        <v>3201</v>
      </c>
      <c r="B170" s="21">
        <v>2026</v>
      </c>
      <c r="C170" s="21" t="s">
        <v>3859</v>
      </c>
      <c r="D170" s="21" t="s">
        <v>3860</v>
      </c>
      <c r="E170" s="21" t="s">
        <v>3719</v>
      </c>
      <c r="F170" s="21" t="s">
        <v>3351</v>
      </c>
      <c r="G170" s="21"/>
      <c r="H170" s="21" t="s">
        <v>3861</v>
      </c>
      <c r="I170" s="21" t="s">
        <v>3353</v>
      </c>
      <c r="J170" s="21" t="s">
        <v>3721</v>
      </c>
    </row>
    <row r="171" spans="1:10" ht="152" x14ac:dyDescent="0.2">
      <c r="A171" s="21" t="s">
        <v>3201</v>
      </c>
      <c r="B171" s="21">
        <v>2026</v>
      </c>
      <c r="C171" s="21" t="s">
        <v>3862</v>
      </c>
      <c r="D171" s="21" t="s">
        <v>3863</v>
      </c>
      <c r="E171" s="21" t="s">
        <v>3719</v>
      </c>
      <c r="F171" s="21" t="s">
        <v>3351</v>
      </c>
      <c r="G171" s="21"/>
      <c r="H171" s="21" t="s">
        <v>3864</v>
      </c>
      <c r="I171" s="21" t="s">
        <v>3353</v>
      </c>
      <c r="J171" s="21" t="s">
        <v>3721</v>
      </c>
    </row>
    <row r="172" spans="1:10" ht="95" x14ac:dyDescent="0.2">
      <c r="A172" s="21" t="s">
        <v>3209</v>
      </c>
      <c r="B172" s="21">
        <v>2026</v>
      </c>
      <c r="C172" s="21" t="s">
        <v>3865</v>
      </c>
      <c r="D172" s="21" t="s">
        <v>3866</v>
      </c>
      <c r="E172" s="21" t="s">
        <v>3719</v>
      </c>
      <c r="F172" s="21" t="s">
        <v>3351</v>
      </c>
      <c r="G172" s="21"/>
      <c r="H172" s="21" t="s">
        <v>3867</v>
      </c>
      <c r="I172" s="21" t="s">
        <v>3353</v>
      </c>
      <c r="J172" s="21" t="s">
        <v>3721</v>
      </c>
    </row>
    <row r="173" spans="1:10" ht="114" x14ac:dyDescent="0.2">
      <c r="A173" s="21" t="s">
        <v>3209</v>
      </c>
      <c r="B173" s="21">
        <v>2026</v>
      </c>
      <c r="C173" s="21" t="s">
        <v>3868</v>
      </c>
      <c r="D173" s="21" t="s">
        <v>3869</v>
      </c>
      <c r="E173" s="21" t="s">
        <v>3719</v>
      </c>
      <c r="F173" s="21" t="s">
        <v>3351</v>
      </c>
      <c r="G173" s="21"/>
      <c r="H173" s="21" t="s">
        <v>3870</v>
      </c>
      <c r="I173" s="21" t="s">
        <v>3353</v>
      </c>
      <c r="J173" s="21" t="s">
        <v>3721</v>
      </c>
    </row>
    <row r="174" spans="1:10" ht="171" x14ac:dyDescent="0.2">
      <c r="A174" s="21" t="s">
        <v>3209</v>
      </c>
      <c r="B174" s="21">
        <v>2026</v>
      </c>
      <c r="C174" s="21" t="s">
        <v>3871</v>
      </c>
      <c r="D174" s="21" t="s">
        <v>3872</v>
      </c>
      <c r="E174" s="21" t="s">
        <v>3719</v>
      </c>
      <c r="F174" s="21" t="s">
        <v>3351</v>
      </c>
      <c r="G174" s="21"/>
      <c r="H174" s="21" t="s">
        <v>3873</v>
      </c>
      <c r="I174" s="21" t="s">
        <v>3353</v>
      </c>
      <c r="J174" s="21" t="s">
        <v>3721</v>
      </c>
    </row>
    <row r="175" spans="1:10" ht="133" x14ac:dyDescent="0.2">
      <c r="A175" s="21" t="s">
        <v>3209</v>
      </c>
      <c r="B175" s="21">
        <v>2026</v>
      </c>
      <c r="C175" s="21" t="s">
        <v>3874</v>
      </c>
      <c r="D175" s="21" t="s">
        <v>3875</v>
      </c>
      <c r="E175" s="21" t="s">
        <v>3719</v>
      </c>
      <c r="F175" s="21" t="s">
        <v>3351</v>
      </c>
      <c r="G175" s="21"/>
      <c r="H175" s="21" t="s">
        <v>3876</v>
      </c>
      <c r="I175" s="21" t="s">
        <v>3353</v>
      </c>
      <c r="J175" s="21" t="s">
        <v>3721</v>
      </c>
    </row>
    <row r="176" spans="1:10" ht="133" x14ac:dyDescent="0.2">
      <c r="A176" s="21" t="s">
        <v>3223</v>
      </c>
      <c r="B176" s="21">
        <v>2026</v>
      </c>
      <c r="C176" s="21" t="s">
        <v>3877</v>
      </c>
      <c r="D176" s="21" t="s">
        <v>3878</v>
      </c>
      <c r="E176" s="21" t="s">
        <v>3719</v>
      </c>
      <c r="F176" s="21" t="s">
        <v>3351</v>
      </c>
      <c r="G176" s="21"/>
      <c r="H176" s="21" t="s">
        <v>3879</v>
      </c>
      <c r="I176" s="21" t="s">
        <v>3353</v>
      </c>
      <c r="J176" s="21" t="s">
        <v>3721</v>
      </c>
    </row>
    <row r="177" spans="1:10" ht="133" x14ac:dyDescent="0.2">
      <c r="A177" s="21" t="s">
        <v>3223</v>
      </c>
      <c r="B177" s="21">
        <v>2026</v>
      </c>
      <c r="C177" s="21" t="s">
        <v>3880</v>
      </c>
      <c r="D177" s="21" t="s">
        <v>3881</v>
      </c>
      <c r="E177" s="21" t="s">
        <v>3719</v>
      </c>
      <c r="F177" s="21" t="s">
        <v>3351</v>
      </c>
      <c r="G177" s="21"/>
      <c r="H177" s="21" t="s">
        <v>3882</v>
      </c>
      <c r="I177" s="21" t="s">
        <v>3353</v>
      </c>
      <c r="J177" s="21" t="s">
        <v>3721</v>
      </c>
    </row>
    <row r="178" spans="1:10" ht="133" x14ac:dyDescent="0.2">
      <c r="A178" s="21" t="s">
        <v>3229</v>
      </c>
      <c r="B178" s="21">
        <v>2025</v>
      </c>
      <c r="C178" s="21" t="s">
        <v>3883</v>
      </c>
      <c r="D178" s="21" t="s">
        <v>3884</v>
      </c>
      <c r="E178" s="21" t="s">
        <v>3719</v>
      </c>
      <c r="F178" s="21" t="s">
        <v>3351</v>
      </c>
      <c r="G178" s="21"/>
      <c r="H178" s="21" t="s">
        <v>3885</v>
      </c>
      <c r="I178" s="21" t="s">
        <v>3353</v>
      </c>
      <c r="J178" s="21" t="s">
        <v>3721</v>
      </c>
    </row>
    <row r="179" spans="1:10" ht="114" x14ac:dyDescent="0.2">
      <c r="A179" s="21" t="s">
        <v>3229</v>
      </c>
      <c r="B179" s="21">
        <v>2025</v>
      </c>
      <c r="C179" s="21" t="s">
        <v>3886</v>
      </c>
      <c r="D179" s="21" t="s">
        <v>3887</v>
      </c>
      <c r="E179" s="21" t="s">
        <v>3719</v>
      </c>
      <c r="F179" s="21" t="s">
        <v>3351</v>
      </c>
      <c r="G179" s="21"/>
      <c r="H179" s="21" t="s">
        <v>3888</v>
      </c>
      <c r="I179" s="21" t="s">
        <v>3353</v>
      </c>
      <c r="J179" s="21" t="s">
        <v>3721</v>
      </c>
    </row>
    <row r="180" spans="1:10" ht="171" x14ac:dyDescent="0.2">
      <c r="A180" s="21" t="s">
        <v>3236</v>
      </c>
      <c r="B180" s="21">
        <v>2025</v>
      </c>
      <c r="C180" s="21" t="s">
        <v>3889</v>
      </c>
      <c r="D180" s="21" t="s">
        <v>3890</v>
      </c>
      <c r="E180" s="21" t="s">
        <v>3719</v>
      </c>
      <c r="F180" s="21" t="s">
        <v>3351</v>
      </c>
      <c r="G180" s="21"/>
      <c r="H180" s="21" t="s">
        <v>3891</v>
      </c>
      <c r="I180" s="21" t="s">
        <v>3353</v>
      </c>
      <c r="J180" s="21" t="s">
        <v>3721</v>
      </c>
    </row>
    <row r="181" spans="1:10" ht="114" x14ac:dyDescent="0.2">
      <c r="A181" s="21" t="s">
        <v>3236</v>
      </c>
      <c r="B181" s="21">
        <v>2025</v>
      </c>
      <c r="C181" s="21" t="s">
        <v>3892</v>
      </c>
      <c r="D181" s="21" t="s">
        <v>3893</v>
      </c>
      <c r="E181" s="21" t="s">
        <v>3719</v>
      </c>
      <c r="F181" s="21" t="s">
        <v>3351</v>
      </c>
      <c r="G181" s="21"/>
      <c r="H181" s="21" t="s">
        <v>3894</v>
      </c>
      <c r="I181" s="21" t="s">
        <v>3353</v>
      </c>
      <c r="J181" s="21" t="s">
        <v>3721</v>
      </c>
    </row>
    <row r="182" spans="1:10" ht="152" x14ac:dyDescent="0.2">
      <c r="A182" s="21" t="s">
        <v>3243</v>
      </c>
      <c r="B182" s="21">
        <v>2026</v>
      </c>
      <c r="C182" s="21" t="s">
        <v>3895</v>
      </c>
      <c r="D182" s="21" t="s">
        <v>3896</v>
      </c>
      <c r="E182" s="21" t="s">
        <v>3719</v>
      </c>
      <c r="F182" s="21" t="s">
        <v>3351</v>
      </c>
      <c r="G182" s="21"/>
      <c r="H182" s="21" t="s">
        <v>3897</v>
      </c>
      <c r="I182" s="21" t="s">
        <v>3353</v>
      </c>
      <c r="J182" s="21" t="s">
        <v>3721</v>
      </c>
    </row>
    <row r="183" spans="1:10" ht="152" x14ac:dyDescent="0.2">
      <c r="A183" s="21" t="s">
        <v>3243</v>
      </c>
      <c r="B183" s="21">
        <v>2026</v>
      </c>
      <c r="C183" s="21" t="s">
        <v>3898</v>
      </c>
      <c r="D183" s="21" t="s">
        <v>3899</v>
      </c>
      <c r="E183" s="21" t="s">
        <v>3719</v>
      </c>
      <c r="F183" s="21" t="s">
        <v>3351</v>
      </c>
      <c r="G183" s="21"/>
      <c r="H183" s="21" t="s">
        <v>3900</v>
      </c>
      <c r="I183" s="21" t="s">
        <v>3353</v>
      </c>
      <c r="J183" s="21" t="s">
        <v>3721</v>
      </c>
    </row>
    <row r="184" spans="1:10" ht="114" x14ac:dyDescent="0.2">
      <c r="A184" s="21" t="s">
        <v>3272</v>
      </c>
      <c r="B184" s="21">
        <v>2024</v>
      </c>
      <c r="C184" s="21" t="s">
        <v>3901</v>
      </c>
      <c r="D184" s="21" t="s">
        <v>3902</v>
      </c>
      <c r="E184" s="21" t="s">
        <v>3719</v>
      </c>
      <c r="F184" s="21" t="s">
        <v>3351</v>
      </c>
      <c r="G184" s="21"/>
      <c r="H184" s="21" t="s">
        <v>3903</v>
      </c>
      <c r="I184" s="21" t="s">
        <v>3353</v>
      </c>
      <c r="J184" s="21" t="s">
        <v>3721</v>
      </c>
    </row>
    <row r="185" spans="1:10" ht="114" x14ac:dyDescent="0.2">
      <c r="A185" s="21" t="s">
        <v>3272</v>
      </c>
      <c r="B185" s="21">
        <v>2024</v>
      </c>
      <c r="C185" s="21" t="s">
        <v>3904</v>
      </c>
      <c r="D185" s="21" t="s">
        <v>3905</v>
      </c>
      <c r="E185" s="21" t="s">
        <v>3719</v>
      </c>
      <c r="F185" s="21" t="s">
        <v>3351</v>
      </c>
      <c r="G185" s="21"/>
      <c r="H185" s="21" t="s">
        <v>3906</v>
      </c>
      <c r="I185" s="21" t="s">
        <v>3353</v>
      </c>
      <c r="J185" s="21" t="s">
        <v>3721</v>
      </c>
    </row>
    <row r="186" spans="1:10" ht="114" x14ac:dyDescent="0.2">
      <c r="A186" s="21" t="s">
        <v>3290</v>
      </c>
      <c r="B186" s="21">
        <v>2024</v>
      </c>
      <c r="C186" s="21" t="s">
        <v>3907</v>
      </c>
      <c r="D186" s="21" t="s">
        <v>3908</v>
      </c>
      <c r="E186" s="21" t="s">
        <v>3719</v>
      </c>
      <c r="F186" s="21" t="s">
        <v>3351</v>
      </c>
      <c r="G186" s="21"/>
      <c r="H186" s="21" t="s">
        <v>3909</v>
      </c>
      <c r="I186" s="21" t="s">
        <v>3353</v>
      </c>
      <c r="J186" s="21" t="s">
        <v>3721</v>
      </c>
    </row>
    <row r="187" spans="1:10" ht="76" x14ac:dyDescent="0.2">
      <c r="A187" s="21" t="s">
        <v>3290</v>
      </c>
      <c r="B187" s="21">
        <v>2024</v>
      </c>
      <c r="C187" s="21" t="s">
        <v>3910</v>
      </c>
      <c r="D187" s="21" t="s">
        <v>3911</v>
      </c>
      <c r="E187" s="21" t="s">
        <v>3719</v>
      </c>
      <c r="F187" s="21" t="s">
        <v>3351</v>
      </c>
      <c r="G187" s="21"/>
      <c r="H187" s="21" t="s">
        <v>3912</v>
      </c>
      <c r="I187" s="21" t="s">
        <v>3353</v>
      </c>
      <c r="J187" s="21" t="s">
        <v>3721</v>
      </c>
    </row>
    <row r="188" spans="1:10" ht="114" x14ac:dyDescent="0.2">
      <c r="A188" s="21" t="s">
        <v>3290</v>
      </c>
      <c r="B188" s="21">
        <v>2024</v>
      </c>
      <c r="C188" s="21" t="s">
        <v>3913</v>
      </c>
      <c r="D188" s="21" t="s">
        <v>3914</v>
      </c>
      <c r="E188" s="21" t="s">
        <v>3719</v>
      </c>
      <c r="F188" s="21" t="s">
        <v>3351</v>
      </c>
      <c r="G188" s="21"/>
      <c r="H188" s="21" t="s">
        <v>3915</v>
      </c>
      <c r="I188" s="21" t="s">
        <v>3353</v>
      </c>
      <c r="J188" s="21" t="s">
        <v>3721</v>
      </c>
    </row>
    <row r="189" spans="1:10" ht="95" x14ac:dyDescent="0.2">
      <c r="A189" s="21" t="s">
        <v>3313</v>
      </c>
      <c r="B189" s="21">
        <v>2026</v>
      </c>
      <c r="C189" s="21" t="s">
        <v>3916</v>
      </c>
      <c r="D189" s="21" t="s">
        <v>3917</v>
      </c>
      <c r="E189" s="21" t="s">
        <v>3719</v>
      </c>
      <c r="F189" s="21" t="s">
        <v>3351</v>
      </c>
      <c r="G189" s="21"/>
      <c r="H189" s="21" t="s">
        <v>3918</v>
      </c>
      <c r="I189" s="21" t="s">
        <v>3353</v>
      </c>
      <c r="J189" s="21" t="s">
        <v>3721</v>
      </c>
    </row>
    <row r="190" spans="1:10" ht="76" x14ac:dyDescent="0.2">
      <c r="A190" s="21" t="s">
        <v>3313</v>
      </c>
      <c r="B190" s="21">
        <v>2026</v>
      </c>
      <c r="C190" s="21" t="s">
        <v>8248</v>
      </c>
      <c r="D190" s="21" t="s">
        <v>3919</v>
      </c>
      <c r="E190" s="21" t="s">
        <v>3719</v>
      </c>
      <c r="F190" s="21" t="s">
        <v>3351</v>
      </c>
      <c r="G190" s="21"/>
      <c r="H190" s="21" t="s">
        <v>3920</v>
      </c>
      <c r="I190" s="21" t="s">
        <v>3353</v>
      </c>
      <c r="J190" s="21" t="s">
        <v>3721</v>
      </c>
    </row>
    <row r="191" spans="1:10" ht="114" x14ac:dyDescent="0.2">
      <c r="A191" s="21" t="s">
        <v>3313</v>
      </c>
      <c r="B191" s="21">
        <v>2026</v>
      </c>
      <c r="C191" s="21" t="s">
        <v>3921</v>
      </c>
      <c r="D191" s="21" t="s">
        <v>3922</v>
      </c>
      <c r="E191" s="21" t="s">
        <v>3719</v>
      </c>
      <c r="F191" s="21" t="s">
        <v>3351</v>
      </c>
      <c r="G191" s="21"/>
      <c r="H191" s="21" t="s">
        <v>3923</v>
      </c>
      <c r="I191" s="21" t="s">
        <v>3353</v>
      </c>
      <c r="J191" s="21" t="s">
        <v>3721</v>
      </c>
    </row>
    <row r="192" spans="1:10" ht="133" x14ac:dyDescent="0.2">
      <c r="A192" s="21" t="s">
        <v>3313</v>
      </c>
      <c r="B192" s="21">
        <v>2026</v>
      </c>
      <c r="C192" s="21" t="s">
        <v>3924</v>
      </c>
      <c r="D192" s="21" t="s">
        <v>3925</v>
      </c>
      <c r="E192" s="21" t="s">
        <v>3719</v>
      </c>
      <c r="F192" s="21" t="s">
        <v>3351</v>
      </c>
      <c r="G192" s="21"/>
      <c r="H192" s="21" t="s">
        <v>3926</v>
      </c>
      <c r="I192" s="21" t="s">
        <v>3353</v>
      </c>
      <c r="J192" s="21" t="s">
        <v>3721</v>
      </c>
    </row>
    <row r="193" spans="1:10" ht="133" x14ac:dyDescent="0.2">
      <c r="A193" s="21" t="s">
        <v>3313</v>
      </c>
      <c r="B193" s="21">
        <v>2026</v>
      </c>
      <c r="C193" s="21" t="s">
        <v>3927</v>
      </c>
      <c r="D193" s="21" t="s">
        <v>3928</v>
      </c>
      <c r="E193" s="21" t="s">
        <v>3719</v>
      </c>
      <c r="F193" s="21" t="s">
        <v>3351</v>
      </c>
      <c r="G193" s="21"/>
      <c r="H193" s="21" t="s">
        <v>3929</v>
      </c>
      <c r="I193" s="21" t="s">
        <v>3361</v>
      </c>
      <c r="J193" s="21" t="s">
        <v>3721</v>
      </c>
    </row>
    <row r="194" spans="1:10" ht="95" x14ac:dyDescent="0.2">
      <c r="A194" s="21" t="s">
        <v>3318</v>
      </c>
      <c r="B194" s="21">
        <v>2025</v>
      </c>
      <c r="C194" s="21" t="s">
        <v>3930</v>
      </c>
      <c r="D194" s="21" t="s">
        <v>3931</v>
      </c>
      <c r="E194" s="21" t="s">
        <v>3719</v>
      </c>
      <c r="F194" s="21" t="s">
        <v>3351</v>
      </c>
      <c r="G194" s="21"/>
      <c r="H194" s="21" t="s">
        <v>3932</v>
      </c>
      <c r="I194" s="21" t="s">
        <v>3353</v>
      </c>
      <c r="J194" s="21" t="s">
        <v>3721</v>
      </c>
    </row>
    <row r="195" spans="1:10" ht="114" x14ac:dyDescent="0.2">
      <c r="A195" s="21" t="s">
        <v>3318</v>
      </c>
      <c r="B195" s="21">
        <v>2025</v>
      </c>
      <c r="C195" s="21" t="s">
        <v>3933</v>
      </c>
      <c r="D195" s="21" t="s">
        <v>3934</v>
      </c>
      <c r="E195" s="21" t="s">
        <v>3719</v>
      </c>
      <c r="F195" s="21" t="s">
        <v>3351</v>
      </c>
      <c r="G195" s="21"/>
      <c r="H195" s="21" t="s">
        <v>3935</v>
      </c>
      <c r="I195" s="21" t="s">
        <v>3353</v>
      </c>
      <c r="J195" s="21" t="s">
        <v>3721</v>
      </c>
    </row>
    <row r="196" spans="1:10" ht="114" x14ac:dyDescent="0.2">
      <c r="A196" s="21" t="s">
        <v>3325</v>
      </c>
      <c r="B196" s="21">
        <v>2026</v>
      </c>
      <c r="C196" s="21" t="s">
        <v>3936</v>
      </c>
      <c r="D196" s="21" t="s">
        <v>3937</v>
      </c>
      <c r="E196" s="21" t="s">
        <v>3719</v>
      </c>
      <c r="F196" s="21" t="s">
        <v>3351</v>
      </c>
      <c r="G196" s="21"/>
      <c r="H196" s="21" t="s">
        <v>3938</v>
      </c>
      <c r="I196" s="21" t="s">
        <v>3353</v>
      </c>
      <c r="J196" s="21" t="s">
        <v>3721</v>
      </c>
    </row>
    <row r="197" spans="1:10" ht="133" x14ac:dyDescent="0.2">
      <c r="A197" s="21" t="s">
        <v>3332</v>
      </c>
      <c r="B197" s="21">
        <v>2026</v>
      </c>
      <c r="C197" s="21" t="s">
        <v>3939</v>
      </c>
      <c r="D197" s="21" t="s">
        <v>3940</v>
      </c>
      <c r="E197" s="21" t="s">
        <v>3719</v>
      </c>
      <c r="F197" s="21" t="s">
        <v>3351</v>
      </c>
      <c r="G197" s="21"/>
      <c r="H197" s="21" t="s">
        <v>3941</v>
      </c>
      <c r="I197" s="21" t="s">
        <v>3353</v>
      </c>
      <c r="J197" s="21" t="s">
        <v>3721</v>
      </c>
    </row>
    <row r="198" spans="1:10" ht="133" x14ac:dyDescent="0.2">
      <c r="A198" s="21" t="s">
        <v>3332</v>
      </c>
      <c r="B198" s="21">
        <v>2026</v>
      </c>
      <c r="C198" s="21" t="s">
        <v>3942</v>
      </c>
      <c r="D198" s="21" t="s">
        <v>3943</v>
      </c>
      <c r="E198" s="21" t="s">
        <v>3719</v>
      </c>
      <c r="F198" s="21" t="s">
        <v>3351</v>
      </c>
      <c r="G198" s="21"/>
      <c r="H198" s="21" t="s">
        <v>3944</v>
      </c>
      <c r="I198" s="21" t="s">
        <v>3353</v>
      </c>
      <c r="J198" s="21" t="s">
        <v>3721</v>
      </c>
    </row>
    <row r="199" spans="1:10" ht="76" x14ac:dyDescent="0.2">
      <c r="A199" s="21" t="s">
        <v>2825</v>
      </c>
      <c r="B199" s="21">
        <v>2025</v>
      </c>
      <c r="C199" s="21" t="s">
        <v>3945</v>
      </c>
      <c r="D199" s="21" t="s">
        <v>3946</v>
      </c>
      <c r="E199" s="21" t="s">
        <v>3947</v>
      </c>
      <c r="F199" s="21" t="s">
        <v>3351</v>
      </c>
      <c r="G199" s="21"/>
      <c r="H199" s="21" t="s">
        <v>3948</v>
      </c>
      <c r="I199" s="21" t="s">
        <v>3353</v>
      </c>
      <c r="J199" s="21" t="s">
        <v>3949</v>
      </c>
    </row>
    <row r="200" spans="1:10" ht="95" x14ac:dyDescent="0.2">
      <c r="A200" s="21" t="s">
        <v>2833</v>
      </c>
      <c r="B200" s="21">
        <v>2026</v>
      </c>
      <c r="C200" s="21" t="s">
        <v>3950</v>
      </c>
      <c r="D200" s="21" t="s">
        <v>3951</v>
      </c>
      <c r="E200" s="21" t="s">
        <v>3947</v>
      </c>
      <c r="F200" s="21" t="s">
        <v>3351</v>
      </c>
      <c r="G200" s="21"/>
      <c r="H200" s="21" t="s">
        <v>3952</v>
      </c>
      <c r="I200" s="21" t="s">
        <v>3353</v>
      </c>
      <c r="J200" s="21" t="s">
        <v>3949</v>
      </c>
    </row>
    <row r="201" spans="1:10" ht="95" x14ac:dyDescent="0.2">
      <c r="A201" s="21" t="s">
        <v>2841</v>
      </c>
      <c r="B201" s="21">
        <v>2026</v>
      </c>
      <c r="C201" s="21" t="s">
        <v>3953</v>
      </c>
      <c r="D201" s="21" t="s">
        <v>3954</v>
      </c>
      <c r="E201" s="21" t="s">
        <v>3947</v>
      </c>
      <c r="F201" s="21" t="s">
        <v>3351</v>
      </c>
      <c r="G201" s="21"/>
      <c r="H201" s="21" t="s">
        <v>3955</v>
      </c>
      <c r="I201" s="21" t="s">
        <v>3353</v>
      </c>
      <c r="J201" s="21" t="s">
        <v>3949</v>
      </c>
    </row>
    <row r="202" spans="1:10" ht="57" x14ac:dyDescent="0.2">
      <c r="A202" s="21" t="s">
        <v>2849</v>
      </c>
      <c r="B202" s="21">
        <v>2026</v>
      </c>
      <c r="C202" s="21" t="s">
        <v>3956</v>
      </c>
      <c r="D202" s="21" t="s">
        <v>3957</v>
      </c>
      <c r="E202" s="21" t="s">
        <v>3947</v>
      </c>
      <c r="F202" s="21" t="s">
        <v>3351</v>
      </c>
      <c r="G202" s="21"/>
      <c r="H202" s="21" t="s">
        <v>3958</v>
      </c>
      <c r="I202" s="21" t="s">
        <v>3353</v>
      </c>
      <c r="J202" s="21" t="s">
        <v>3949</v>
      </c>
    </row>
    <row r="203" spans="1:10" ht="76" x14ac:dyDescent="0.2">
      <c r="A203" s="21" t="s">
        <v>2857</v>
      </c>
      <c r="B203" s="21">
        <v>2026</v>
      </c>
      <c r="C203" s="21" t="s">
        <v>3959</v>
      </c>
      <c r="D203" s="21" t="s">
        <v>3960</v>
      </c>
      <c r="E203" s="21" t="s">
        <v>3947</v>
      </c>
      <c r="F203" s="21" t="s">
        <v>3351</v>
      </c>
      <c r="G203" s="21"/>
      <c r="H203" s="21" t="s">
        <v>3961</v>
      </c>
      <c r="I203" s="21" t="s">
        <v>3353</v>
      </c>
      <c r="J203" s="21" t="s">
        <v>3949</v>
      </c>
    </row>
    <row r="204" spans="1:10" ht="114" x14ac:dyDescent="0.2">
      <c r="A204" s="21" t="s">
        <v>2865</v>
      </c>
      <c r="B204" s="21">
        <v>2025</v>
      </c>
      <c r="C204" s="21" t="s">
        <v>3962</v>
      </c>
      <c r="D204" s="21" t="s">
        <v>3963</v>
      </c>
      <c r="E204" s="21" t="s">
        <v>3947</v>
      </c>
      <c r="F204" s="21" t="s">
        <v>3351</v>
      </c>
      <c r="G204" s="21"/>
      <c r="H204" s="21" t="s">
        <v>3964</v>
      </c>
      <c r="I204" s="21" t="s">
        <v>3353</v>
      </c>
      <c r="J204" s="21" t="s">
        <v>3949</v>
      </c>
    </row>
    <row r="205" spans="1:10" ht="57" x14ac:dyDescent="0.2">
      <c r="A205" s="21" t="s">
        <v>2873</v>
      </c>
      <c r="B205" s="21">
        <v>2025</v>
      </c>
      <c r="C205" s="21" t="s">
        <v>3965</v>
      </c>
      <c r="D205" s="21" t="s">
        <v>3966</v>
      </c>
      <c r="E205" s="21" t="s">
        <v>3947</v>
      </c>
      <c r="F205" s="21" t="s">
        <v>3351</v>
      </c>
      <c r="G205" s="21"/>
      <c r="H205" s="21" t="s">
        <v>3967</v>
      </c>
      <c r="I205" s="21" t="s">
        <v>3353</v>
      </c>
      <c r="J205" s="21" t="s">
        <v>3949</v>
      </c>
    </row>
    <row r="206" spans="1:10" ht="95" x14ac:dyDescent="0.2">
      <c r="A206" s="21" t="s">
        <v>2881</v>
      </c>
      <c r="B206" s="21">
        <v>2026</v>
      </c>
      <c r="C206" s="21" t="s">
        <v>3968</v>
      </c>
      <c r="D206" s="21" t="s">
        <v>3969</v>
      </c>
      <c r="E206" s="21" t="s">
        <v>3947</v>
      </c>
      <c r="F206" s="21" t="s">
        <v>3351</v>
      </c>
      <c r="G206" s="21"/>
      <c r="H206" s="21" t="s">
        <v>3970</v>
      </c>
      <c r="I206" s="21" t="s">
        <v>3353</v>
      </c>
      <c r="J206" s="21" t="s">
        <v>3949</v>
      </c>
    </row>
    <row r="207" spans="1:10" ht="114" x14ac:dyDescent="0.2">
      <c r="A207" s="21" t="s">
        <v>2889</v>
      </c>
      <c r="B207" s="21">
        <v>2026</v>
      </c>
      <c r="C207" s="21" t="s">
        <v>3971</v>
      </c>
      <c r="D207" s="21" t="s">
        <v>3972</v>
      </c>
      <c r="E207" s="21" t="s">
        <v>3947</v>
      </c>
      <c r="F207" s="21" t="s">
        <v>3351</v>
      </c>
      <c r="G207" s="21"/>
      <c r="H207" s="21" t="s">
        <v>3973</v>
      </c>
      <c r="I207" s="21" t="s">
        <v>3353</v>
      </c>
      <c r="J207" s="21" t="s">
        <v>3949</v>
      </c>
    </row>
    <row r="208" spans="1:10" ht="76" x14ac:dyDescent="0.2">
      <c r="A208" s="21" t="s">
        <v>2897</v>
      </c>
      <c r="B208" s="21">
        <v>2026</v>
      </c>
      <c r="C208" s="21" t="s">
        <v>3974</v>
      </c>
      <c r="D208" s="21" t="s">
        <v>3975</v>
      </c>
      <c r="E208" s="21" t="s">
        <v>3947</v>
      </c>
      <c r="F208" s="21" t="s">
        <v>3351</v>
      </c>
      <c r="G208" s="21"/>
      <c r="H208" s="21" t="s">
        <v>3976</v>
      </c>
      <c r="I208" s="21" t="s">
        <v>3353</v>
      </c>
      <c r="J208" s="21" t="s">
        <v>3949</v>
      </c>
    </row>
    <row r="209" spans="1:10" ht="95" x14ac:dyDescent="0.2">
      <c r="A209" s="21" t="s">
        <v>2904</v>
      </c>
      <c r="B209" s="21">
        <v>2026</v>
      </c>
      <c r="C209" s="21" t="s">
        <v>3977</v>
      </c>
      <c r="D209" s="21" t="s">
        <v>3978</v>
      </c>
      <c r="E209" s="21" t="s">
        <v>3947</v>
      </c>
      <c r="F209" s="21" t="s">
        <v>3351</v>
      </c>
      <c r="G209" s="21"/>
      <c r="H209" s="21" t="s">
        <v>3979</v>
      </c>
      <c r="I209" s="21" t="s">
        <v>3353</v>
      </c>
      <c r="J209" s="21" t="s">
        <v>3949</v>
      </c>
    </row>
    <row r="210" spans="1:10" ht="95" x14ac:dyDescent="0.2">
      <c r="A210" s="21" t="s">
        <v>2912</v>
      </c>
      <c r="B210" s="21">
        <v>2026</v>
      </c>
      <c r="C210" s="21" t="s">
        <v>3980</v>
      </c>
      <c r="D210" s="21" t="s">
        <v>3981</v>
      </c>
      <c r="E210" s="21" t="s">
        <v>3947</v>
      </c>
      <c r="F210" s="21" t="s">
        <v>3351</v>
      </c>
      <c r="G210" s="21"/>
      <c r="H210" s="21" t="s">
        <v>3982</v>
      </c>
      <c r="I210" s="21" t="s">
        <v>3353</v>
      </c>
      <c r="J210" s="21" t="s">
        <v>3949</v>
      </c>
    </row>
    <row r="211" spans="1:10" ht="133" x14ac:dyDescent="0.2">
      <c r="A211" s="21" t="s">
        <v>2920</v>
      </c>
      <c r="B211" s="21">
        <v>2026</v>
      </c>
      <c r="C211" s="21" t="s">
        <v>3983</v>
      </c>
      <c r="D211" s="21" t="s">
        <v>3984</v>
      </c>
      <c r="E211" s="21" t="s">
        <v>3947</v>
      </c>
      <c r="F211" s="21" t="s">
        <v>3351</v>
      </c>
      <c r="G211" s="21"/>
      <c r="H211" s="21" t="s">
        <v>3985</v>
      </c>
      <c r="I211" s="21" t="s">
        <v>3353</v>
      </c>
      <c r="J211" s="21" t="s">
        <v>3949</v>
      </c>
    </row>
    <row r="212" spans="1:10" ht="114" x14ac:dyDescent="0.2">
      <c r="A212" s="21" t="s">
        <v>2928</v>
      </c>
      <c r="B212" s="21">
        <v>2025</v>
      </c>
      <c r="C212" s="21" t="s">
        <v>3986</v>
      </c>
      <c r="D212" s="21" t="s">
        <v>3987</v>
      </c>
      <c r="E212" s="21" t="s">
        <v>3947</v>
      </c>
      <c r="F212" s="21" t="s">
        <v>3351</v>
      </c>
      <c r="G212" s="21"/>
      <c r="H212" s="21" t="s">
        <v>3988</v>
      </c>
      <c r="I212" s="21" t="s">
        <v>3353</v>
      </c>
      <c r="J212" s="21" t="s">
        <v>3949</v>
      </c>
    </row>
    <row r="213" spans="1:10" ht="76" x14ac:dyDescent="0.2">
      <c r="A213" s="21" t="s">
        <v>2936</v>
      </c>
      <c r="B213" s="21">
        <v>2025</v>
      </c>
      <c r="C213" s="21" t="s">
        <v>3989</v>
      </c>
      <c r="D213" s="21" t="s">
        <v>3990</v>
      </c>
      <c r="E213" s="21" t="s">
        <v>3947</v>
      </c>
      <c r="F213" s="21" t="s">
        <v>3351</v>
      </c>
      <c r="G213" s="21"/>
      <c r="H213" s="21" t="s">
        <v>3991</v>
      </c>
      <c r="I213" s="21" t="s">
        <v>3353</v>
      </c>
      <c r="J213" s="21" t="s">
        <v>3949</v>
      </c>
    </row>
    <row r="214" spans="1:10" ht="76" x14ac:dyDescent="0.2">
      <c r="A214" s="21" t="s">
        <v>2944</v>
      </c>
      <c r="B214" s="21">
        <v>2026</v>
      </c>
      <c r="C214" s="21" t="s">
        <v>3992</v>
      </c>
      <c r="D214" s="21" t="s">
        <v>3993</v>
      </c>
      <c r="E214" s="21" t="s">
        <v>3947</v>
      </c>
      <c r="F214" s="21" t="s">
        <v>3351</v>
      </c>
      <c r="G214" s="21"/>
      <c r="H214" s="21" t="s">
        <v>3994</v>
      </c>
      <c r="I214" s="21" t="s">
        <v>3353</v>
      </c>
      <c r="J214" s="21" t="s">
        <v>3949</v>
      </c>
    </row>
    <row r="215" spans="1:10" ht="95" x14ac:dyDescent="0.2">
      <c r="A215" s="21" t="s">
        <v>2952</v>
      </c>
      <c r="B215" s="21">
        <v>2026</v>
      </c>
      <c r="C215" s="21" t="s">
        <v>3995</v>
      </c>
      <c r="D215" s="21" t="s">
        <v>3996</v>
      </c>
      <c r="E215" s="21" t="s">
        <v>3947</v>
      </c>
      <c r="F215" s="21" t="s">
        <v>3351</v>
      </c>
      <c r="G215" s="21"/>
      <c r="H215" s="21" t="s">
        <v>3997</v>
      </c>
      <c r="I215" s="21" t="s">
        <v>3353</v>
      </c>
      <c r="J215" s="21" t="s">
        <v>3949</v>
      </c>
    </row>
    <row r="216" spans="1:10" ht="57" x14ac:dyDescent="0.2">
      <c r="A216" s="21" t="s">
        <v>2959</v>
      </c>
      <c r="B216" s="21">
        <v>2025</v>
      </c>
      <c r="C216" s="21" t="s">
        <v>3998</v>
      </c>
      <c r="D216" s="21" t="s">
        <v>3999</v>
      </c>
      <c r="E216" s="21" t="s">
        <v>3947</v>
      </c>
      <c r="F216" s="21" t="s">
        <v>3351</v>
      </c>
      <c r="G216" s="21"/>
      <c r="H216" s="21" t="s">
        <v>4000</v>
      </c>
      <c r="I216" s="21" t="s">
        <v>3353</v>
      </c>
      <c r="J216" s="21" t="s">
        <v>3949</v>
      </c>
    </row>
    <row r="217" spans="1:10" ht="76" x14ac:dyDescent="0.2">
      <c r="A217" s="21" t="s">
        <v>2967</v>
      </c>
      <c r="B217" s="21">
        <v>2025</v>
      </c>
      <c r="C217" s="21" t="s">
        <v>4001</v>
      </c>
      <c r="D217" s="21" t="s">
        <v>4002</v>
      </c>
      <c r="E217" s="21" t="s">
        <v>3947</v>
      </c>
      <c r="F217" s="21" t="s">
        <v>3351</v>
      </c>
      <c r="G217" s="21"/>
      <c r="H217" s="21" t="s">
        <v>4003</v>
      </c>
      <c r="I217" s="21" t="s">
        <v>3353</v>
      </c>
      <c r="J217" s="21" t="s">
        <v>3949</v>
      </c>
    </row>
    <row r="218" spans="1:10" ht="76" x14ac:dyDescent="0.2">
      <c r="A218" s="21" t="s">
        <v>2975</v>
      </c>
      <c r="B218" s="21">
        <v>2025</v>
      </c>
      <c r="C218" s="21" t="s">
        <v>4004</v>
      </c>
      <c r="D218" s="21" t="s">
        <v>4005</v>
      </c>
      <c r="E218" s="21" t="s">
        <v>3947</v>
      </c>
      <c r="F218" s="21" t="s">
        <v>3351</v>
      </c>
      <c r="G218" s="21"/>
      <c r="H218" s="21" t="s">
        <v>4006</v>
      </c>
      <c r="I218" s="21" t="s">
        <v>3353</v>
      </c>
      <c r="J218" s="21" t="s">
        <v>3949</v>
      </c>
    </row>
    <row r="219" spans="1:10" ht="76" x14ac:dyDescent="0.2">
      <c r="A219" s="21" t="s">
        <v>2983</v>
      </c>
      <c r="B219" s="21">
        <v>2026</v>
      </c>
      <c r="C219" s="21" t="s">
        <v>4007</v>
      </c>
      <c r="D219" s="21" t="s">
        <v>4008</v>
      </c>
      <c r="E219" s="21" t="s">
        <v>3947</v>
      </c>
      <c r="F219" s="21" t="s">
        <v>3351</v>
      </c>
      <c r="G219" s="21"/>
      <c r="H219" s="21" t="s">
        <v>4009</v>
      </c>
      <c r="I219" s="21" t="s">
        <v>3353</v>
      </c>
      <c r="J219" s="21" t="s">
        <v>3949</v>
      </c>
    </row>
    <row r="220" spans="1:10" ht="95" x14ac:dyDescent="0.2">
      <c r="A220" s="21" t="s">
        <v>2996</v>
      </c>
      <c r="B220" s="21">
        <v>2026</v>
      </c>
      <c r="C220" s="21" t="s">
        <v>4010</v>
      </c>
      <c r="D220" s="21" t="s">
        <v>4011</v>
      </c>
      <c r="E220" s="21" t="s">
        <v>3947</v>
      </c>
      <c r="F220" s="21" t="s">
        <v>3351</v>
      </c>
      <c r="G220" s="21"/>
      <c r="H220" s="21" t="s">
        <v>4012</v>
      </c>
      <c r="I220" s="21" t="s">
        <v>3353</v>
      </c>
      <c r="J220" s="21" t="s">
        <v>3949</v>
      </c>
    </row>
    <row r="221" spans="1:10" ht="57" x14ac:dyDescent="0.2">
      <c r="A221" s="21" t="s">
        <v>3004</v>
      </c>
      <c r="B221" s="21">
        <v>2024</v>
      </c>
      <c r="C221" s="21" t="s">
        <v>4013</v>
      </c>
      <c r="D221" s="21" t="s">
        <v>4014</v>
      </c>
      <c r="E221" s="21" t="s">
        <v>3947</v>
      </c>
      <c r="F221" s="21" t="s">
        <v>3351</v>
      </c>
      <c r="G221" s="21"/>
      <c r="H221" s="21" t="s">
        <v>4015</v>
      </c>
      <c r="I221" s="21" t="s">
        <v>3353</v>
      </c>
      <c r="J221" s="21" t="s">
        <v>3949</v>
      </c>
    </row>
    <row r="222" spans="1:10" ht="76" x14ac:dyDescent="0.2">
      <c r="A222" s="21" t="s">
        <v>3012</v>
      </c>
      <c r="B222" s="21">
        <v>2025</v>
      </c>
      <c r="C222" s="21" t="s">
        <v>4016</v>
      </c>
      <c r="D222" s="21" t="s">
        <v>4017</v>
      </c>
      <c r="E222" s="21" t="s">
        <v>3947</v>
      </c>
      <c r="F222" s="21" t="s">
        <v>3351</v>
      </c>
      <c r="G222" s="21"/>
      <c r="H222" s="21" t="s">
        <v>4018</v>
      </c>
      <c r="I222" s="21" t="s">
        <v>3353</v>
      </c>
      <c r="J222" s="21" t="s">
        <v>3949</v>
      </c>
    </row>
    <row r="223" spans="1:10" ht="95" x14ac:dyDescent="0.2">
      <c r="A223" s="21" t="s">
        <v>3020</v>
      </c>
      <c r="B223" s="21">
        <v>2026</v>
      </c>
      <c r="C223" s="21" t="s">
        <v>4019</v>
      </c>
      <c r="D223" s="21" t="s">
        <v>4020</v>
      </c>
      <c r="E223" s="21" t="s">
        <v>3947</v>
      </c>
      <c r="F223" s="21" t="s">
        <v>3351</v>
      </c>
      <c r="G223" s="21"/>
      <c r="H223" s="21" t="s">
        <v>4021</v>
      </c>
      <c r="I223" s="21" t="s">
        <v>3353</v>
      </c>
      <c r="J223" s="21" t="s">
        <v>3949</v>
      </c>
    </row>
    <row r="224" spans="1:10" ht="76" x14ac:dyDescent="0.2">
      <c r="A224" s="21" t="s">
        <v>3028</v>
      </c>
      <c r="B224" s="21">
        <v>2026</v>
      </c>
      <c r="C224" s="21" t="s">
        <v>4022</v>
      </c>
      <c r="D224" s="21" t="s">
        <v>4023</v>
      </c>
      <c r="E224" s="21" t="s">
        <v>3947</v>
      </c>
      <c r="F224" s="21" t="s">
        <v>3351</v>
      </c>
      <c r="G224" s="21"/>
      <c r="H224" s="21" t="s">
        <v>4024</v>
      </c>
      <c r="I224" s="21" t="s">
        <v>3353</v>
      </c>
      <c r="J224" s="21" t="s">
        <v>3949</v>
      </c>
    </row>
    <row r="225" spans="1:10" ht="114" x14ac:dyDescent="0.2">
      <c r="A225" s="21" t="s">
        <v>3035</v>
      </c>
      <c r="B225" s="21">
        <v>2024</v>
      </c>
      <c r="C225" s="21" t="s">
        <v>4025</v>
      </c>
      <c r="D225" s="21" t="s">
        <v>4026</v>
      </c>
      <c r="E225" s="21" t="s">
        <v>3947</v>
      </c>
      <c r="F225" s="21" t="s">
        <v>3351</v>
      </c>
      <c r="G225" s="21"/>
      <c r="H225" s="21" t="s">
        <v>4027</v>
      </c>
      <c r="I225" s="21" t="s">
        <v>3353</v>
      </c>
      <c r="J225" s="21" t="s">
        <v>3949</v>
      </c>
    </row>
    <row r="226" spans="1:10" ht="95" x14ac:dyDescent="0.2">
      <c r="A226" s="21" t="s">
        <v>3043</v>
      </c>
      <c r="B226" s="21">
        <v>2026</v>
      </c>
      <c r="C226" s="21" t="s">
        <v>4028</v>
      </c>
      <c r="D226" s="21" t="s">
        <v>4029</v>
      </c>
      <c r="E226" s="21" t="s">
        <v>3947</v>
      </c>
      <c r="F226" s="21" t="s">
        <v>3351</v>
      </c>
      <c r="G226" s="21"/>
      <c r="H226" s="21" t="s">
        <v>4030</v>
      </c>
      <c r="I226" s="21" t="s">
        <v>3353</v>
      </c>
      <c r="J226" s="21" t="s">
        <v>3949</v>
      </c>
    </row>
    <row r="227" spans="1:10" ht="76" x14ac:dyDescent="0.2">
      <c r="A227" s="21" t="s">
        <v>3051</v>
      </c>
      <c r="B227" s="21">
        <v>2025</v>
      </c>
      <c r="C227" s="21" t="s">
        <v>4031</v>
      </c>
      <c r="D227" s="21" t="s">
        <v>4032</v>
      </c>
      <c r="E227" s="21" t="s">
        <v>3947</v>
      </c>
      <c r="F227" s="21" t="s">
        <v>3351</v>
      </c>
      <c r="G227" s="21"/>
      <c r="H227" s="21" t="s">
        <v>4033</v>
      </c>
      <c r="I227" s="21" t="s">
        <v>3353</v>
      </c>
      <c r="J227" s="21" t="s">
        <v>3949</v>
      </c>
    </row>
    <row r="228" spans="1:10" ht="95" x14ac:dyDescent="0.2">
      <c r="A228" s="21" t="s">
        <v>3058</v>
      </c>
      <c r="B228" s="21">
        <v>2025</v>
      </c>
      <c r="C228" s="21" t="s">
        <v>4034</v>
      </c>
      <c r="D228" s="21" t="s">
        <v>4035</v>
      </c>
      <c r="E228" s="21" t="s">
        <v>3947</v>
      </c>
      <c r="F228" s="21" t="s">
        <v>3351</v>
      </c>
      <c r="G228" s="21"/>
      <c r="H228" s="21" t="s">
        <v>4036</v>
      </c>
      <c r="I228" s="21" t="s">
        <v>3353</v>
      </c>
      <c r="J228" s="21" t="s">
        <v>3949</v>
      </c>
    </row>
    <row r="229" spans="1:10" ht="57" x14ac:dyDescent="0.2">
      <c r="A229" s="21" t="s">
        <v>3065</v>
      </c>
      <c r="B229" s="21">
        <v>2026</v>
      </c>
      <c r="C229" s="21" t="s">
        <v>4037</v>
      </c>
      <c r="D229" s="21" t="s">
        <v>4038</v>
      </c>
      <c r="E229" s="21" t="s">
        <v>3947</v>
      </c>
      <c r="F229" s="21" t="s">
        <v>3351</v>
      </c>
      <c r="G229" s="21"/>
      <c r="H229" s="21" t="s">
        <v>4039</v>
      </c>
      <c r="I229" s="21" t="s">
        <v>3353</v>
      </c>
      <c r="J229" s="21" t="s">
        <v>3949</v>
      </c>
    </row>
    <row r="230" spans="1:10" ht="95" x14ac:dyDescent="0.2">
      <c r="A230" s="21" t="s">
        <v>3072</v>
      </c>
      <c r="B230" s="21">
        <v>2026</v>
      </c>
      <c r="C230" s="21" t="s">
        <v>4040</v>
      </c>
      <c r="D230" s="21" t="s">
        <v>4041</v>
      </c>
      <c r="E230" s="21" t="s">
        <v>3947</v>
      </c>
      <c r="F230" s="21" t="s">
        <v>3351</v>
      </c>
      <c r="G230" s="21"/>
      <c r="H230" s="21" t="s">
        <v>4042</v>
      </c>
      <c r="I230" s="21" t="s">
        <v>3353</v>
      </c>
      <c r="J230" s="21" t="s">
        <v>3949</v>
      </c>
    </row>
    <row r="231" spans="1:10" ht="95" x14ac:dyDescent="0.2">
      <c r="A231" s="21" t="s">
        <v>3080</v>
      </c>
      <c r="B231" s="21">
        <v>2026</v>
      </c>
      <c r="C231" s="21" t="s">
        <v>4043</v>
      </c>
      <c r="D231" s="21" t="s">
        <v>4044</v>
      </c>
      <c r="E231" s="21" t="s">
        <v>3947</v>
      </c>
      <c r="F231" s="21" t="s">
        <v>3351</v>
      </c>
      <c r="G231" s="21"/>
      <c r="H231" s="21" t="s">
        <v>4045</v>
      </c>
      <c r="I231" s="21" t="s">
        <v>3353</v>
      </c>
      <c r="J231" s="21" t="s">
        <v>3949</v>
      </c>
    </row>
    <row r="232" spans="1:10" ht="95" x14ac:dyDescent="0.2">
      <c r="A232" s="21" t="s">
        <v>3087</v>
      </c>
      <c r="B232" s="21">
        <v>2026</v>
      </c>
      <c r="C232" s="21" t="s">
        <v>4046</v>
      </c>
      <c r="D232" s="21" t="s">
        <v>4047</v>
      </c>
      <c r="E232" s="21" t="s">
        <v>3947</v>
      </c>
      <c r="F232" s="21" t="s">
        <v>3351</v>
      </c>
      <c r="G232" s="21"/>
      <c r="H232" s="21" t="s">
        <v>4048</v>
      </c>
      <c r="I232" s="21" t="s">
        <v>3353</v>
      </c>
      <c r="J232" s="21" t="s">
        <v>3949</v>
      </c>
    </row>
    <row r="233" spans="1:10" ht="57" x14ac:dyDescent="0.2">
      <c r="A233" s="21" t="s">
        <v>3095</v>
      </c>
      <c r="B233" s="21">
        <v>2026</v>
      </c>
      <c r="C233" s="21" t="s">
        <v>4049</v>
      </c>
      <c r="D233" s="21" t="s">
        <v>4050</v>
      </c>
      <c r="E233" s="21" t="s">
        <v>3947</v>
      </c>
      <c r="F233" s="21" t="s">
        <v>3351</v>
      </c>
      <c r="G233" s="21"/>
      <c r="H233" s="21" t="s">
        <v>4051</v>
      </c>
      <c r="I233" s="21" t="s">
        <v>3353</v>
      </c>
      <c r="J233" s="21" t="s">
        <v>3949</v>
      </c>
    </row>
    <row r="234" spans="1:10" ht="95" x14ac:dyDescent="0.2">
      <c r="A234" s="21" t="s">
        <v>3102</v>
      </c>
      <c r="B234" s="21">
        <v>2026</v>
      </c>
      <c r="C234" s="21" t="s">
        <v>4052</v>
      </c>
      <c r="D234" s="21" t="s">
        <v>4053</v>
      </c>
      <c r="E234" s="21" t="s">
        <v>3947</v>
      </c>
      <c r="F234" s="21" t="s">
        <v>3351</v>
      </c>
      <c r="G234" s="21"/>
      <c r="H234" s="21" t="s">
        <v>4054</v>
      </c>
      <c r="I234" s="21" t="s">
        <v>3353</v>
      </c>
      <c r="J234" s="21" t="s">
        <v>3949</v>
      </c>
    </row>
    <row r="235" spans="1:10" ht="114" x14ac:dyDescent="0.2">
      <c r="A235" s="21" t="s">
        <v>3109</v>
      </c>
      <c r="B235" s="21">
        <v>2026</v>
      </c>
      <c r="C235" s="21" t="s">
        <v>4055</v>
      </c>
      <c r="D235" s="21" t="s">
        <v>4056</v>
      </c>
      <c r="E235" s="21" t="s">
        <v>3947</v>
      </c>
      <c r="F235" s="21" t="s">
        <v>3351</v>
      </c>
      <c r="G235" s="21"/>
      <c r="H235" s="21" t="s">
        <v>4057</v>
      </c>
      <c r="I235" s="21" t="s">
        <v>3353</v>
      </c>
      <c r="J235" s="21" t="s">
        <v>3949</v>
      </c>
    </row>
    <row r="236" spans="1:10" ht="76" x14ac:dyDescent="0.2">
      <c r="A236" s="21" t="s">
        <v>3117</v>
      </c>
      <c r="B236" s="21">
        <v>2026</v>
      </c>
      <c r="C236" s="21" t="s">
        <v>4058</v>
      </c>
      <c r="D236" s="21" t="s">
        <v>4059</v>
      </c>
      <c r="E236" s="21" t="s">
        <v>3947</v>
      </c>
      <c r="F236" s="21" t="s">
        <v>3351</v>
      </c>
      <c r="G236" s="21"/>
      <c r="H236" s="21" t="s">
        <v>4060</v>
      </c>
      <c r="I236" s="21" t="s">
        <v>3353</v>
      </c>
      <c r="J236" s="21" t="s">
        <v>3949</v>
      </c>
    </row>
    <row r="237" spans="1:10" ht="76" x14ac:dyDescent="0.2">
      <c r="A237" s="21" t="s">
        <v>3132</v>
      </c>
      <c r="B237" s="21">
        <v>2026</v>
      </c>
      <c r="C237" s="21" t="s">
        <v>4061</v>
      </c>
      <c r="D237" s="21" t="s">
        <v>4062</v>
      </c>
      <c r="E237" s="21" t="s">
        <v>3947</v>
      </c>
      <c r="F237" s="21" t="s">
        <v>3351</v>
      </c>
      <c r="G237" s="21"/>
      <c r="H237" s="21" t="s">
        <v>4063</v>
      </c>
      <c r="I237" s="21" t="s">
        <v>3353</v>
      </c>
      <c r="J237" s="21" t="s">
        <v>3949</v>
      </c>
    </row>
    <row r="238" spans="1:10" ht="76" x14ac:dyDescent="0.2">
      <c r="A238" s="21" t="s">
        <v>3140</v>
      </c>
      <c r="B238" s="21">
        <v>2026</v>
      </c>
      <c r="C238" s="21" t="s">
        <v>4064</v>
      </c>
      <c r="D238" s="21" t="s">
        <v>4065</v>
      </c>
      <c r="E238" s="21" t="s">
        <v>3947</v>
      </c>
      <c r="F238" s="21" t="s">
        <v>3351</v>
      </c>
      <c r="G238" s="21"/>
      <c r="H238" s="21" t="s">
        <v>4066</v>
      </c>
      <c r="I238" s="21" t="s">
        <v>3353</v>
      </c>
      <c r="J238" s="21" t="s">
        <v>3949</v>
      </c>
    </row>
    <row r="239" spans="1:10" ht="76" x14ac:dyDescent="0.2">
      <c r="A239" s="21" t="s">
        <v>3147</v>
      </c>
      <c r="B239" s="21">
        <v>2026</v>
      </c>
      <c r="C239" s="21" t="s">
        <v>4067</v>
      </c>
      <c r="D239" s="21" t="s">
        <v>4068</v>
      </c>
      <c r="E239" s="21" t="s">
        <v>3947</v>
      </c>
      <c r="F239" s="21" t="s">
        <v>3351</v>
      </c>
      <c r="G239" s="21"/>
      <c r="H239" s="21" t="s">
        <v>4069</v>
      </c>
      <c r="I239" s="21" t="s">
        <v>3353</v>
      </c>
      <c r="J239" s="21" t="s">
        <v>3949</v>
      </c>
    </row>
    <row r="240" spans="1:10" ht="95" x14ac:dyDescent="0.2">
      <c r="A240" s="21" t="s">
        <v>3155</v>
      </c>
      <c r="B240" s="21">
        <v>2026</v>
      </c>
      <c r="C240" s="21" t="s">
        <v>4070</v>
      </c>
      <c r="D240" s="21" t="s">
        <v>4071</v>
      </c>
      <c r="E240" s="21" t="s">
        <v>3947</v>
      </c>
      <c r="F240" s="21" t="s">
        <v>3351</v>
      </c>
      <c r="G240" s="21"/>
      <c r="H240" s="21" t="s">
        <v>4072</v>
      </c>
      <c r="I240" s="21" t="s">
        <v>3353</v>
      </c>
      <c r="J240" s="21" t="s">
        <v>3949</v>
      </c>
    </row>
    <row r="241" spans="1:10" ht="95" x14ac:dyDescent="0.2">
      <c r="A241" s="21" t="s">
        <v>3163</v>
      </c>
      <c r="B241" s="21">
        <v>2025</v>
      </c>
      <c r="C241" s="21" t="s">
        <v>4073</v>
      </c>
      <c r="D241" s="21" t="s">
        <v>4074</v>
      </c>
      <c r="E241" s="21" t="s">
        <v>3947</v>
      </c>
      <c r="F241" s="21" t="s">
        <v>3351</v>
      </c>
      <c r="G241" s="21"/>
      <c r="H241" s="21" t="s">
        <v>4075</v>
      </c>
      <c r="I241" s="21" t="s">
        <v>3353</v>
      </c>
      <c r="J241" s="21" t="s">
        <v>3949</v>
      </c>
    </row>
    <row r="242" spans="1:10" ht="114" x14ac:dyDescent="0.2">
      <c r="A242" s="21" t="s">
        <v>3171</v>
      </c>
      <c r="B242" s="21">
        <v>2026</v>
      </c>
      <c r="C242" s="21" t="s">
        <v>4076</v>
      </c>
      <c r="D242" s="21" t="s">
        <v>4077</v>
      </c>
      <c r="E242" s="21" t="s">
        <v>3947</v>
      </c>
      <c r="F242" s="21" t="s">
        <v>3351</v>
      </c>
      <c r="G242" s="21"/>
      <c r="H242" s="21" t="s">
        <v>4078</v>
      </c>
      <c r="I242" s="21" t="s">
        <v>3353</v>
      </c>
      <c r="J242" s="21" t="s">
        <v>3949</v>
      </c>
    </row>
    <row r="243" spans="1:10" ht="114" x14ac:dyDescent="0.2">
      <c r="A243" s="21" t="s">
        <v>3179</v>
      </c>
      <c r="B243" s="21">
        <v>2026</v>
      </c>
      <c r="C243" s="21" t="s">
        <v>4079</v>
      </c>
      <c r="D243" s="21" t="s">
        <v>4080</v>
      </c>
      <c r="E243" s="21" t="s">
        <v>3947</v>
      </c>
      <c r="F243" s="21" t="s">
        <v>3351</v>
      </c>
      <c r="G243" s="21"/>
      <c r="H243" s="21" t="s">
        <v>4081</v>
      </c>
      <c r="I243" s="21" t="s">
        <v>3353</v>
      </c>
      <c r="J243" s="21" t="s">
        <v>3949</v>
      </c>
    </row>
    <row r="244" spans="1:10" ht="76" x14ac:dyDescent="0.2">
      <c r="A244" s="21" t="s">
        <v>3194</v>
      </c>
      <c r="B244" s="21">
        <v>2025</v>
      </c>
      <c r="C244" s="21" t="s">
        <v>4082</v>
      </c>
      <c r="D244" s="21" t="s">
        <v>4083</v>
      </c>
      <c r="E244" s="21" t="s">
        <v>3947</v>
      </c>
      <c r="F244" s="21" t="s">
        <v>3351</v>
      </c>
      <c r="G244" s="21"/>
      <c r="H244" s="21" t="s">
        <v>4084</v>
      </c>
      <c r="I244" s="21" t="s">
        <v>3353</v>
      </c>
      <c r="J244" s="21" t="s">
        <v>3949</v>
      </c>
    </row>
    <row r="245" spans="1:10" ht="114" x14ac:dyDescent="0.2">
      <c r="A245" s="21" t="s">
        <v>3201</v>
      </c>
      <c r="B245" s="21">
        <v>2026</v>
      </c>
      <c r="C245" s="21" t="s">
        <v>4085</v>
      </c>
      <c r="D245" s="21" t="s">
        <v>4086</v>
      </c>
      <c r="E245" s="21" t="s">
        <v>3947</v>
      </c>
      <c r="F245" s="21" t="s">
        <v>3351</v>
      </c>
      <c r="G245" s="21"/>
      <c r="H245" s="21" t="s">
        <v>4087</v>
      </c>
      <c r="I245" s="21" t="s">
        <v>3353</v>
      </c>
      <c r="J245" s="21" t="s">
        <v>3949</v>
      </c>
    </row>
    <row r="246" spans="1:10" ht="114" x14ac:dyDescent="0.2">
      <c r="A246" s="21" t="s">
        <v>3223</v>
      </c>
      <c r="B246" s="21">
        <v>2026</v>
      </c>
      <c r="C246" s="21" t="s">
        <v>4088</v>
      </c>
      <c r="D246" s="21" t="s">
        <v>4089</v>
      </c>
      <c r="E246" s="21" t="s">
        <v>3947</v>
      </c>
      <c r="F246" s="21" t="s">
        <v>3351</v>
      </c>
      <c r="G246" s="21"/>
      <c r="H246" s="21" t="s">
        <v>4090</v>
      </c>
      <c r="I246" s="21" t="s">
        <v>3353</v>
      </c>
      <c r="J246" s="21" t="s">
        <v>3949</v>
      </c>
    </row>
    <row r="247" spans="1:10" ht="76" x14ac:dyDescent="0.2">
      <c r="A247" s="21" t="s">
        <v>3229</v>
      </c>
      <c r="B247" s="21">
        <v>2025</v>
      </c>
      <c r="C247" s="21" t="s">
        <v>4091</v>
      </c>
      <c r="D247" s="21" t="s">
        <v>4092</v>
      </c>
      <c r="E247" s="21" t="s">
        <v>3947</v>
      </c>
      <c r="F247" s="21" t="s">
        <v>3351</v>
      </c>
      <c r="G247" s="21"/>
      <c r="H247" s="21" t="s">
        <v>4093</v>
      </c>
      <c r="I247" s="21" t="s">
        <v>3353</v>
      </c>
      <c r="J247" s="21" t="s">
        <v>3949</v>
      </c>
    </row>
    <row r="248" spans="1:10" ht="114" x14ac:dyDescent="0.2">
      <c r="A248" s="21" t="s">
        <v>3243</v>
      </c>
      <c r="B248" s="21">
        <v>2026</v>
      </c>
      <c r="C248" s="21" t="s">
        <v>4094</v>
      </c>
      <c r="D248" s="21" t="s">
        <v>4095</v>
      </c>
      <c r="E248" s="21" t="s">
        <v>3947</v>
      </c>
      <c r="F248" s="21" t="s">
        <v>3351</v>
      </c>
      <c r="G248" s="21"/>
      <c r="H248" s="21" t="s">
        <v>4096</v>
      </c>
      <c r="I248" s="21" t="s">
        <v>3353</v>
      </c>
      <c r="J248" s="21" t="s">
        <v>3949</v>
      </c>
    </row>
    <row r="249" spans="1:10" ht="95" x14ac:dyDescent="0.2">
      <c r="A249" s="21" t="s">
        <v>3248</v>
      </c>
      <c r="B249" s="21">
        <v>2024</v>
      </c>
      <c r="C249" s="21" t="s">
        <v>4097</v>
      </c>
      <c r="D249" s="21" t="s">
        <v>4098</v>
      </c>
      <c r="E249" s="21" t="s">
        <v>3947</v>
      </c>
      <c r="F249" s="21" t="s">
        <v>3351</v>
      </c>
      <c r="G249" s="21"/>
      <c r="H249" s="21" t="s">
        <v>4099</v>
      </c>
      <c r="I249" s="21" t="s">
        <v>3353</v>
      </c>
      <c r="J249" s="21" t="s">
        <v>3949</v>
      </c>
    </row>
    <row r="250" spans="1:10" ht="95" x14ac:dyDescent="0.2">
      <c r="A250" s="21" t="s">
        <v>3256</v>
      </c>
      <c r="B250" s="21">
        <v>2024</v>
      </c>
      <c r="C250" s="21" t="s">
        <v>4100</v>
      </c>
      <c r="D250" s="21" t="s">
        <v>4101</v>
      </c>
      <c r="E250" s="21" t="s">
        <v>3947</v>
      </c>
      <c r="F250" s="21" t="s">
        <v>3351</v>
      </c>
      <c r="G250" s="21"/>
      <c r="H250" s="21" t="s">
        <v>4102</v>
      </c>
      <c r="I250" s="21" t="s">
        <v>3353</v>
      </c>
      <c r="J250" s="21" t="s">
        <v>3949</v>
      </c>
    </row>
    <row r="251" spans="1:10" ht="95" x14ac:dyDescent="0.2">
      <c r="A251" s="21" t="s">
        <v>3264</v>
      </c>
      <c r="B251" s="21">
        <v>2024</v>
      </c>
      <c r="C251" s="21" t="s">
        <v>4103</v>
      </c>
      <c r="D251" s="21" t="s">
        <v>4104</v>
      </c>
      <c r="E251" s="21" t="s">
        <v>3947</v>
      </c>
      <c r="F251" s="21" t="s">
        <v>3351</v>
      </c>
      <c r="G251" s="21"/>
      <c r="H251" s="21" t="s">
        <v>4105</v>
      </c>
      <c r="I251" s="21" t="s">
        <v>3353</v>
      </c>
      <c r="J251" s="21" t="s">
        <v>3949</v>
      </c>
    </row>
    <row r="252" spans="1:10" ht="76" x14ac:dyDescent="0.2">
      <c r="A252" s="21" t="s">
        <v>3272</v>
      </c>
      <c r="B252" s="21">
        <v>2024</v>
      </c>
      <c r="C252" s="21" t="s">
        <v>4106</v>
      </c>
      <c r="D252" s="21" t="s">
        <v>4107</v>
      </c>
      <c r="E252" s="21" t="s">
        <v>3947</v>
      </c>
      <c r="F252" s="21" t="s">
        <v>3351</v>
      </c>
      <c r="G252" s="21"/>
      <c r="H252" s="21" t="s">
        <v>4108</v>
      </c>
      <c r="I252" s="21" t="s">
        <v>3353</v>
      </c>
      <c r="J252" s="21" t="s">
        <v>3949</v>
      </c>
    </row>
    <row r="253" spans="1:10" ht="76" x14ac:dyDescent="0.2">
      <c r="A253" s="21" t="s">
        <v>3278</v>
      </c>
      <c r="B253" s="21">
        <v>2025</v>
      </c>
      <c r="C253" s="21" t="s">
        <v>4109</v>
      </c>
      <c r="D253" s="21" t="s">
        <v>4110</v>
      </c>
      <c r="E253" s="21" t="s">
        <v>3947</v>
      </c>
      <c r="F253" s="21" t="s">
        <v>3351</v>
      </c>
      <c r="G253" s="21"/>
      <c r="H253" s="21" t="s">
        <v>4111</v>
      </c>
      <c r="I253" s="21" t="s">
        <v>3353</v>
      </c>
      <c r="J253" s="21" t="s">
        <v>3949</v>
      </c>
    </row>
    <row r="254" spans="1:10" ht="95" x14ac:dyDescent="0.2">
      <c r="A254" s="21" t="s">
        <v>3286</v>
      </c>
      <c r="B254" s="21">
        <v>2025</v>
      </c>
      <c r="C254" s="21" t="s">
        <v>4112</v>
      </c>
      <c r="D254" s="21" t="s">
        <v>4113</v>
      </c>
      <c r="E254" s="21" t="s">
        <v>3947</v>
      </c>
      <c r="F254" s="21" t="s">
        <v>3351</v>
      </c>
      <c r="G254" s="21"/>
      <c r="H254" s="21" t="s">
        <v>4114</v>
      </c>
      <c r="I254" s="21" t="s">
        <v>3353</v>
      </c>
      <c r="J254" s="21" t="s">
        <v>3949</v>
      </c>
    </row>
    <row r="255" spans="1:10" ht="57" x14ac:dyDescent="0.2">
      <c r="A255" s="21" t="s">
        <v>3290</v>
      </c>
      <c r="B255" s="21">
        <v>2024</v>
      </c>
      <c r="C255" s="21" t="s">
        <v>4115</v>
      </c>
      <c r="D255" s="21" t="s">
        <v>4116</v>
      </c>
      <c r="E255" s="21" t="s">
        <v>3947</v>
      </c>
      <c r="F255" s="21" t="s">
        <v>3351</v>
      </c>
      <c r="G255" s="21"/>
      <c r="H255" s="21" t="s">
        <v>4117</v>
      </c>
      <c r="I255" s="21" t="s">
        <v>3353</v>
      </c>
      <c r="J255" s="21" t="s">
        <v>3949</v>
      </c>
    </row>
    <row r="256" spans="1:10" ht="76" x14ac:dyDescent="0.2">
      <c r="A256" s="21" t="s">
        <v>3298</v>
      </c>
      <c r="B256" s="21">
        <v>2024</v>
      </c>
      <c r="C256" s="21" t="s">
        <v>4118</v>
      </c>
      <c r="D256" s="21" t="s">
        <v>4119</v>
      </c>
      <c r="E256" s="21" t="s">
        <v>3947</v>
      </c>
      <c r="F256" s="21" t="s">
        <v>3351</v>
      </c>
      <c r="G256" s="21"/>
      <c r="H256" s="21" t="s">
        <v>4120</v>
      </c>
      <c r="I256" s="21" t="s">
        <v>3353</v>
      </c>
      <c r="J256" s="21" t="s">
        <v>3949</v>
      </c>
    </row>
    <row r="257" spans="1:10" ht="114" x14ac:dyDescent="0.2">
      <c r="A257" s="21" t="s">
        <v>3313</v>
      </c>
      <c r="B257" s="21">
        <v>2026</v>
      </c>
      <c r="C257" s="21" t="s">
        <v>4121</v>
      </c>
      <c r="D257" s="21" t="s">
        <v>4122</v>
      </c>
      <c r="E257" s="21" t="s">
        <v>3947</v>
      </c>
      <c r="F257" s="21" t="s">
        <v>3351</v>
      </c>
      <c r="G257" s="21"/>
      <c r="H257" s="21" t="s">
        <v>4123</v>
      </c>
      <c r="I257" s="21" t="s">
        <v>3353</v>
      </c>
      <c r="J257" s="21" t="s">
        <v>3949</v>
      </c>
    </row>
    <row r="258" spans="1:10" ht="76" x14ac:dyDescent="0.2">
      <c r="A258" s="21" t="s">
        <v>3318</v>
      </c>
      <c r="B258" s="21">
        <v>2025</v>
      </c>
      <c r="C258" s="21" t="s">
        <v>4124</v>
      </c>
      <c r="D258" s="21" t="s">
        <v>4125</v>
      </c>
      <c r="E258" s="21" t="s">
        <v>3947</v>
      </c>
      <c r="F258" s="21" t="s">
        <v>3351</v>
      </c>
      <c r="G258" s="21"/>
      <c r="H258" s="21" t="s">
        <v>4126</v>
      </c>
      <c r="I258" s="21" t="s">
        <v>3353</v>
      </c>
      <c r="J258" s="21" t="s">
        <v>3949</v>
      </c>
    </row>
    <row r="259" spans="1:10" ht="95" x14ac:dyDescent="0.2">
      <c r="A259" s="21" t="s">
        <v>3325</v>
      </c>
      <c r="B259" s="21">
        <v>2026</v>
      </c>
      <c r="C259" s="21" t="s">
        <v>4127</v>
      </c>
      <c r="D259" s="21" t="s">
        <v>4128</v>
      </c>
      <c r="E259" s="21" t="s">
        <v>3947</v>
      </c>
      <c r="F259" s="21" t="s">
        <v>3351</v>
      </c>
      <c r="G259" s="21"/>
      <c r="H259" s="21" t="s">
        <v>4129</v>
      </c>
      <c r="I259" s="21" t="s">
        <v>3353</v>
      </c>
      <c r="J259" s="21" t="s">
        <v>3949</v>
      </c>
    </row>
    <row r="260" spans="1:10" ht="95" x14ac:dyDescent="0.2">
      <c r="A260" s="21" t="s">
        <v>3332</v>
      </c>
      <c r="B260" s="21">
        <v>2026</v>
      </c>
      <c r="C260" s="21" t="s">
        <v>4130</v>
      </c>
      <c r="D260" s="21" t="s">
        <v>4131</v>
      </c>
      <c r="E260" s="21" t="s">
        <v>3947</v>
      </c>
      <c r="F260" s="21" t="s">
        <v>3351</v>
      </c>
      <c r="G260" s="21"/>
      <c r="H260" s="21" t="s">
        <v>4132</v>
      </c>
      <c r="I260" s="21" t="s">
        <v>3353</v>
      </c>
      <c r="J260" s="21" t="s">
        <v>3949</v>
      </c>
    </row>
    <row r="261" spans="1:10" ht="114" x14ac:dyDescent="0.2">
      <c r="A261" s="21" t="s">
        <v>2825</v>
      </c>
      <c r="B261" s="21">
        <v>2025</v>
      </c>
      <c r="C261" s="21" t="s">
        <v>4133</v>
      </c>
      <c r="D261" s="21" t="s">
        <v>4134</v>
      </c>
      <c r="E261" s="21" t="s">
        <v>4135</v>
      </c>
      <c r="F261" s="21" t="s">
        <v>3351</v>
      </c>
      <c r="G261" s="21"/>
      <c r="H261" s="21" t="s">
        <v>4136</v>
      </c>
      <c r="I261" s="21" t="s">
        <v>3353</v>
      </c>
      <c r="J261" s="21" t="s">
        <v>3949</v>
      </c>
    </row>
    <row r="262" spans="1:10" ht="95" x14ac:dyDescent="0.2">
      <c r="A262" s="21" t="s">
        <v>2825</v>
      </c>
      <c r="B262" s="21">
        <v>2025</v>
      </c>
      <c r="C262" s="21" t="s">
        <v>4137</v>
      </c>
      <c r="D262" s="21" t="s">
        <v>4138</v>
      </c>
      <c r="E262" s="21" t="s">
        <v>4135</v>
      </c>
      <c r="F262" s="21" t="s">
        <v>3351</v>
      </c>
      <c r="G262" s="21"/>
      <c r="H262" s="21" t="s">
        <v>4139</v>
      </c>
      <c r="I262" s="21" t="s">
        <v>3353</v>
      </c>
      <c r="J262" s="21" t="s">
        <v>3949</v>
      </c>
    </row>
    <row r="263" spans="1:10" ht="114" x14ac:dyDescent="0.2">
      <c r="A263" s="21" t="s">
        <v>2833</v>
      </c>
      <c r="B263" s="21">
        <v>2026</v>
      </c>
      <c r="C263" s="21" t="s">
        <v>4140</v>
      </c>
      <c r="D263" s="21" t="s">
        <v>4141</v>
      </c>
      <c r="E263" s="21" t="s">
        <v>4135</v>
      </c>
      <c r="F263" s="21" t="s">
        <v>3351</v>
      </c>
      <c r="G263" s="21"/>
      <c r="H263" s="21" t="s">
        <v>4142</v>
      </c>
      <c r="I263" s="21" t="s">
        <v>3353</v>
      </c>
      <c r="J263" s="21" t="s">
        <v>3949</v>
      </c>
    </row>
    <row r="264" spans="1:10" ht="95" x14ac:dyDescent="0.2">
      <c r="A264" s="21" t="s">
        <v>2841</v>
      </c>
      <c r="B264" s="21">
        <v>2026</v>
      </c>
      <c r="C264" s="21" t="s">
        <v>4143</v>
      </c>
      <c r="D264" s="21" t="s">
        <v>4144</v>
      </c>
      <c r="E264" s="21" t="s">
        <v>4135</v>
      </c>
      <c r="F264" s="21" t="s">
        <v>3351</v>
      </c>
      <c r="G264" s="21"/>
      <c r="H264" s="21" t="s">
        <v>4145</v>
      </c>
      <c r="I264" s="21" t="s">
        <v>3353</v>
      </c>
      <c r="J264" s="21" t="s">
        <v>3949</v>
      </c>
    </row>
    <row r="265" spans="1:10" ht="57" x14ac:dyDescent="0.2">
      <c r="A265" s="21" t="s">
        <v>2841</v>
      </c>
      <c r="B265" s="21">
        <v>2026</v>
      </c>
      <c r="C265" s="21" t="s">
        <v>4146</v>
      </c>
      <c r="D265" s="21" t="s">
        <v>4147</v>
      </c>
      <c r="E265" s="21" t="s">
        <v>4135</v>
      </c>
      <c r="F265" s="21" t="s">
        <v>3351</v>
      </c>
      <c r="G265" s="21"/>
      <c r="H265" s="21" t="s">
        <v>4148</v>
      </c>
      <c r="I265" s="21" t="s">
        <v>3353</v>
      </c>
      <c r="J265" s="21" t="s">
        <v>3949</v>
      </c>
    </row>
    <row r="266" spans="1:10" ht="57" x14ac:dyDescent="0.2">
      <c r="A266" s="21" t="s">
        <v>2841</v>
      </c>
      <c r="B266" s="21">
        <v>2026</v>
      </c>
      <c r="C266" s="21" t="s">
        <v>4149</v>
      </c>
      <c r="D266" s="21" t="s">
        <v>4150</v>
      </c>
      <c r="E266" s="21" t="s">
        <v>4135</v>
      </c>
      <c r="F266" s="21" t="s">
        <v>3351</v>
      </c>
      <c r="G266" s="21"/>
      <c r="H266" s="21" t="s">
        <v>4151</v>
      </c>
      <c r="I266" s="21" t="s">
        <v>3353</v>
      </c>
      <c r="J266" s="21" t="s">
        <v>3949</v>
      </c>
    </row>
    <row r="267" spans="1:10" ht="95" x14ac:dyDescent="0.2">
      <c r="A267" s="21" t="s">
        <v>2849</v>
      </c>
      <c r="B267" s="21">
        <v>2026</v>
      </c>
      <c r="C267" s="21" t="s">
        <v>4152</v>
      </c>
      <c r="D267" s="21" t="s">
        <v>4153</v>
      </c>
      <c r="E267" s="21" t="s">
        <v>4135</v>
      </c>
      <c r="F267" s="21" t="s">
        <v>3351</v>
      </c>
      <c r="G267" s="21"/>
      <c r="H267" s="21" t="s">
        <v>4154</v>
      </c>
      <c r="I267" s="21" t="s">
        <v>3353</v>
      </c>
      <c r="J267" s="21" t="s">
        <v>3949</v>
      </c>
    </row>
    <row r="268" spans="1:10" ht="57" x14ac:dyDescent="0.2">
      <c r="A268" s="21" t="s">
        <v>2857</v>
      </c>
      <c r="B268" s="21">
        <v>2026</v>
      </c>
      <c r="C268" s="21" t="s">
        <v>4155</v>
      </c>
      <c r="D268" s="21" t="s">
        <v>4156</v>
      </c>
      <c r="E268" s="21" t="s">
        <v>4135</v>
      </c>
      <c r="F268" s="21" t="s">
        <v>3351</v>
      </c>
      <c r="G268" s="21"/>
      <c r="H268" s="21" t="s">
        <v>4157</v>
      </c>
      <c r="I268" s="21" t="s">
        <v>3353</v>
      </c>
      <c r="J268" s="21" t="s">
        <v>3949</v>
      </c>
    </row>
    <row r="269" spans="1:10" ht="76" x14ac:dyDescent="0.2">
      <c r="A269" s="21" t="s">
        <v>2865</v>
      </c>
      <c r="B269" s="21">
        <v>2025</v>
      </c>
      <c r="C269" s="21" t="s">
        <v>4158</v>
      </c>
      <c r="D269" s="21" t="s">
        <v>4159</v>
      </c>
      <c r="E269" s="21" t="s">
        <v>4135</v>
      </c>
      <c r="F269" s="21" t="s">
        <v>3351</v>
      </c>
      <c r="G269" s="21"/>
      <c r="H269" s="21" t="s">
        <v>4160</v>
      </c>
      <c r="I269" s="21" t="s">
        <v>3353</v>
      </c>
      <c r="J269" s="21" t="s">
        <v>3949</v>
      </c>
    </row>
    <row r="270" spans="1:10" ht="95" x14ac:dyDescent="0.2">
      <c r="A270" s="21" t="s">
        <v>2873</v>
      </c>
      <c r="B270" s="21">
        <v>2025</v>
      </c>
      <c r="C270" s="21" t="s">
        <v>4161</v>
      </c>
      <c r="D270" s="21" t="s">
        <v>4162</v>
      </c>
      <c r="E270" s="21" t="s">
        <v>4135</v>
      </c>
      <c r="F270" s="21" t="s">
        <v>3351</v>
      </c>
      <c r="G270" s="21"/>
      <c r="H270" s="21" t="s">
        <v>4163</v>
      </c>
      <c r="I270" s="21" t="s">
        <v>3353</v>
      </c>
      <c r="J270" s="21" t="s">
        <v>3949</v>
      </c>
    </row>
    <row r="271" spans="1:10" ht="114" x14ac:dyDescent="0.2">
      <c r="A271" s="21" t="s">
        <v>2881</v>
      </c>
      <c r="B271" s="21">
        <v>2026</v>
      </c>
      <c r="C271" s="21" t="s">
        <v>4164</v>
      </c>
      <c r="D271" s="21" t="s">
        <v>4165</v>
      </c>
      <c r="E271" s="21" t="s">
        <v>4135</v>
      </c>
      <c r="F271" s="21" t="s">
        <v>3351</v>
      </c>
      <c r="G271" s="21"/>
      <c r="H271" s="21" t="s">
        <v>4166</v>
      </c>
      <c r="I271" s="21" t="s">
        <v>3353</v>
      </c>
      <c r="J271" s="21" t="s">
        <v>3949</v>
      </c>
    </row>
    <row r="272" spans="1:10" ht="133" x14ac:dyDescent="0.2">
      <c r="A272" s="21" t="s">
        <v>2889</v>
      </c>
      <c r="B272" s="21">
        <v>2026</v>
      </c>
      <c r="C272" s="21" t="s">
        <v>4167</v>
      </c>
      <c r="D272" s="21" t="s">
        <v>4168</v>
      </c>
      <c r="E272" s="21" t="s">
        <v>4135</v>
      </c>
      <c r="F272" s="21" t="s">
        <v>3351</v>
      </c>
      <c r="G272" s="21"/>
      <c r="H272" s="21" t="s">
        <v>4169</v>
      </c>
      <c r="I272" s="21" t="s">
        <v>3353</v>
      </c>
      <c r="J272" s="21" t="s">
        <v>3949</v>
      </c>
    </row>
    <row r="273" spans="1:10" ht="114" x14ac:dyDescent="0.2">
      <c r="A273" s="21" t="s">
        <v>2889</v>
      </c>
      <c r="B273" s="21">
        <v>2026</v>
      </c>
      <c r="C273" s="21" t="s">
        <v>4170</v>
      </c>
      <c r="D273" s="21" t="s">
        <v>4171</v>
      </c>
      <c r="E273" s="21" t="s">
        <v>4135</v>
      </c>
      <c r="F273" s="21" t="s">
        <v>3351</v>
      </c>
      <c r="G273" s="21"/>
      <c r="H273" s="21" t="s">
        <v>4172</v>
      </c>
      <c r="I273" s="21" t="s">
        <v>3353</v>
      </c>
      <c r="J273" s="21" t="s">
        <v>3949</v>
      </c>
    </row>
    <row r="274" spans="1:10" ht="133" x14ac:dyDescent="0.2">
      <c r="A274" s="21" t="s">
        <v>2897</v>
      </c>
      <c r="B274" s="21">
        <v>2026</v>
      </c>
      <c r="C274" s="21" t="s">
        <v>4173</v>
      </c>
      <c r="D274" s="21" t="s">
        <v>4174</v>
      </c>
      <c r="E274" s="21" t="s">
        <v>4135</v>
      </c>
      <c r="F274" s="21" t="s">
        <v>3351</v>
      </c>
      <c r="G274" s="21"/>
      <c r="H274" s="21" t="s">
        <v>4175</v>
      </c>
      <c r="I274" s="21" t="s">
        <v>3353</v>
      </c>
      <c r="J274" s="21" t="s">
        <v>3949</v>
      </c>
    </row>
    <row r="275" spans="1:10" ht="57" x14ac:dyDescent="0.2">
      <c r="A275" s="21" t="s">
        <v>2912</v>
      </c>
      <c r="B275" s="21">
        <v>2026</v>
      </c>
      <c r="C275" s="21" t="s">
        <v>4176</v>
      </c>
      <c r="D275" s="21" t="s">
        <v>4177</v>
      </c>
      <c r="E275" s="21" t="s">
        <v>4135</v>
      </c>
      <c r="F275" s="21" t="s">
        <v>3351</v>
      </c>
      <c r="G275" s="21"/>
      <c r="H275" s="21" t="s">
        <v>4178</v>
      </c>
      <c r="I275" s="21" t="s">
        <v>3353</v>
      </c>
      <c r="J275" s="21" t="s">
        <v>3949</v>
      </c>
    </row>
    <row r="276" spans="1:10" ht="171" x14ac:dyDescent="0.2">
      <c r="A276" s="21" t="s">
        <v>2920</v>
      </c>
      <c r="B276" s="21">
        <v>2026</v>
      </c>
      <c r="C276" s="21" t="s">
        <v>4179</v>
      </c>
      <c r="D276" s="21" t="s">
        <v>4180</v>
      </c>
      <c r="E276" s="21" t="s">
        <v>4135</v>
      </c>
      <c r="F276" s="21" t="s">
        <v>3351</v>
      </c>
      <c r="G276" s="21"/>
      <c r="H276" s="21" t="s">
        <v>4181</v>
      </c>
      <c r="I276" s="21" t="s">
        <v>3353</v>
      </c>
      <c r="J276" s="21" t="s">
        <v>3949</v>
      </c>
    </row>
    <row r="277" spans="1:10" ht="95" x14ac:dyDescent="0.2">
      <c r="A277" s="21" t="s">
        <v>2928</v>
      </c>
      <c r="B277" s="21">
        <v>2025</v>
      </c>
      <c r="C277" s="21" t="s">
        <v>4182</v>
      </c>
      <c r="D277" s="21" t="s">
        <v>4183</v>
      </c>
      <c r="E277" s="21" t="s">
        <v>4135</v>
      </c>
      <c r="F277" s="21" t="s">
        <v>3351</v>
      </c>
      <c r="G277" s="21"/>
      <c r="H277" s="21" t="s">
        <v>4184</v>
      </c>
      <c r="I277" s="21" t="s">
        <v>3353</v>
      </c>
      <c r="J277" s="21" t="s">
        <v>3949</v>
      </c>
    </row>
    <row r="278" spans="1:10" ht="152" x14ac:dyDescent="0.2">
      <c r="A278" s="21" t="s">
        <v>2936</v>
      </c>
      <c r="B278" s="21">
        <v>2025</v>
      </c>
      <c r="C278" s="21" t="s">
        <v>4185</v>
      </c>
      <c r="D278" s="21" t="s">
        <v>4186</v>
      </c>
      <c r="E278" s="21" t="s">
        <v>4135</v>
      </c>
      <c r="F278" s="21" t="s">
        <v>3351</v>
      </c>
      <c r="G278" s="21"/>
      <c r="H278" s="21" t="s">
        <v>4187</v>
      </c>
      <c r="I278" s="21" t="s">
        <v>3353</v>
      </c>
      <c r="J278" s="21" t="s">
        <v>3949</v>
      </c>
    </row>
    <row r="279" spans="1:10" ht="152" x14ac:dyDescent="0.2">
      <c r="A279" s="21" t="s">
        <v>2944</v>
      </c>
      <c r="B279" s="21">
        <v>2026</v>
      </c>
      <c r="C279" s="21" t="s">
        <v>4188</v>
      </c>
      <c r="D279" s="21" t="s">
        <v>4189</v>
      </c>
      <c r="E279" s="21" t="s">
        <v>4135</v>
      </c>
      <c r="F279" s="21" t="s">
        <v>3351</v>
      </c>
      <c r="G279" s="21"/>
      <c r="H279" s="21" t="s">
        <v>4190</v>
      </c>
      <c r="I279" s="21" t="s">
        <v>3353</v>
      </c>
      <c r="J279" s="21" t="s">
        <v>3949</v>
      </c>
    </row>
    <row r="280" spans="1:10" ht="152" x14ac:dyDescent="0.2">
      <c r="A280" s="21" t="s">
        <v>2952</v>
      </c>
      <c r="B280" s="21">
        <v>2026</v>
      </c>
      <c r="C280" s="21" t="s">
        <v>4191</v>
      </c>
      <c r="D280" s="21" t="s">
        <v>4192</v>
      </c>
      <c r="E280" s="21" t="s">
        <v>4135</v>
      </c>
      <c r="F280" s="21" t="s">
        <v>3351</v>
      </c>
      <c r="G280" s="21"/>
      <c r="H280" s="21" t="s">
        <v>4193</v>
      </c>
      <c r="I280" s="21" t="s">
        <v>3353</v>
      </c>
      <c r="J280" s="21" t="s">
        <v>3949</v>
      </c>
    </row>
    <row r="281" spans="1:10" ht="114" x14ac:dyDescent="0.2">
      <c r="A281" s="21" t="s">
        <v>2959</v>
      </c>
      <c r="B281" s="21">
        <v>2025</v>
      </c>
      <c r="C281" s="21" t="s">
        <v>4194</v>
      </c>
      <c r="D281" s="21" t="s">
        <v>4195</v>
      </c>
      <c r="E281" s="21" t="s">
        <v>4135</v>
      </c>
      <c r="F281" s="21" t="s">
        <v>3351</v>
      </c>
      <c r="G281" s="21"/>
      <c r="H281" s="21" t="s">
        <v>4196</v>
      </c>
      <c r="I281" s="21" t="s">
        <v>3353</v>
      </c>
      <c r="J281" s="21" t="s">
        <v>3949</v>
      </c>
    </row>
    <row r="282" spans="1:10" ht="114" x14ac:dyDescent="0.2">
      <c r="A282" s="21" t="s">
        <v>2967</v>
      </c>
      <c r="B282" s="21">
        <v>2025</v>
      </c>
      <c r="C282" s="21" t="s">
        <v>4197</v>
      </c>
      <c r="D282" s="21" t="s">
        <v>4198</v>
      </c>
      <c r="E282" s="21" t="s">
        <v>4135</v>
      </c>
      <c r="F282" s="21" t="s">
        <v>3351</v>
      </c>
      <c r="G282" s="21"/>
      <c r="H282" s="21" t="s">
        <v>4199</v>
      </c>
      <c r="I282" s="21" t="s">
        <v>3353</v>
      </c>
      <c r="J282" s="21" t="s">
        <v>3949</v>
      </c>
    </row>
    <row r="283" spans="1:10" ht="95" x14ac:dyDescent="0.2">
      <c r="A283" s="21" t="s">
        <v>2975</v>
      </c>
      <c r="B283" s="21">
        <v>2025</v>
      </c>
      <c r="C283" s="21" t="s">
        <v>4200</v>
      </c>
      <c r="D283" s="21" t="s">
        <v>4201</v>
      </c>
      <c r="E283" s="21" t="s">
        <v>4135</v>
      </c>
      <c r="F283" s="21" t="s">
        <v>3351</v>
      </c>
      <c r="G283" s="21"/>
      <c r="H283" s="21" t="s">
        <v>4202</v>
      </c>
      <c r="I283" s="21" t="s">
        <v>3353</v>
      </c>
      <c r="J283" s="21" t="s">
        <v>3949</v>
      </c>
    </row>
    <row r="284" spans="1:10" ht="114" x14ac:dyDescent="0.2">
      <c r="A284" s="21" t="s">
        <v>2983</v>
      </c>
      <c r="B284" s="21">
        <v>2026</v>
      </c>
      <c r="C284" s="21" t="s">
        <v>4203</v>
      </c>
      <c r="D284" s="21" t="s">
        <v>4204</v>
      </c>
      <c r="E284" s="21" t="s">
        <v>4135</v>
      </c>
      <c r="F284" s="21" t="s">
        <v>3351</v>
      </c>
      <c r="G284" s="21"/>
      <c r="H284" s="21" t="s">
        <v>4205</v>
      </c>
      <c r="I284" s="21" t="s">
        <v>3353</v>
      </c>
      <c r="J284" s="21" t="s">
        <v>3949</v>
      </c>
    </row>
    <row r="285" spans="1:10" ht="76" x14ac:dyDescent="0.2">
      <c r="A285" s="21" t="s">
        <v>2996</v>
      </c>
      <c r="B285" s="21">
        <v>2026</v>
      </c>
      <c r="C285" s="21" t="s">
        <v>4206</v>
      </c>
      <c r="D285" s="21" t="s">
        <v>4207</v>
      </c>
      <c r="E285" s="21" t="s">
        <v>4135</v>
      </c>
      <c r="F285" s="21" t="s">
        <v>3351</v>
      </c>
      <c r="G285" s="21"/>
      <c r="H285" s="21" t="s">
        <v>4208</v>
      </c>
      <c r="I285" s="21" t="s">
        <v>3353</v>
      </c>
      <c r="J285" s="21" t="s">
        <v>3949</v>
      </c>
    </row>
    <row r="286" spans="1:10" ht="114" x14ac:dyDescent="0.2">
      <c r="A286" s="21" t="s">
        <v>3004</v>
      </c>
      <c r="B286" s="21">
        <v>2024</v>
      </c>
      <c r="C286" s="21" t="s">
        <v>4209</v>
      </c>
      <c r="D286" s="21" t="s">
        <v>4210</v>
      </c>
      <c r="E286" s="21" t="s">
        <v>4135</v>
      </c>
      <c r="F286" s="21" t="s">
        <v>3351</v>
      </c>
      <c r="G286" s="21"/>
      <c r="H286" s="21" t="s">
        <v>4211</v>
      </c>
      <c r="I286" s="21" t="s">
        <v>3353</v>
      </c>
      <c r="J286" s="21" t="s">
        <v>3949</v>
      </c>
    </row>
    <row r="287" spans="1:10" ht="95" x14ac:dyDescent="0.2">
      <c r="A287" s="21" t="s">
        <v>3012</v>
      </c>
      <c r="B287" s="21">
        <v>2025</v>
      </c>
      <c r="C287" s="21" t="s">
        <v>4212</v>
      </c>
      <c r="D287" s="21" t="s">
        <v>4213</v>
      </c>
      <c r="E287" s="21" t="s">
        <v>4135</v>
      </c>
      <c r="F287" s="21" t="s">
        <v>3351</v>
      </c>
      <c r="G287" s="21"/>
      <c r="H287" s="21" t="s">
        <v>4214</v>
      </c>
      <c r="I287" s="21" t="s">
        <v>3353</v>
      </c>
      <c r="J287" s="21" t="s">
        <v>3949</v>
      </c>
    </row>
    <row r="288" spans="1:10" ht="114" x14ac:dyDescent="0.2">
      <c r="A288" s="21" t="s">
        <v>3020</v>
      </c>
      <c r="B288" s="21">
        <v>2026</v>
      </c>
      <c r="C288" s="21" t="s">
        <v>4215</v>
      </c>
      <c r="D288" s="21" t="s">
        <v>4216</v>
      </c>
      <c r="E288" s="21" t="s">
        <v>4135</v>
      </c>
      <c r="F288" s="21" t="s">
        <v>3351</v>
      </c>
      <c r="G288" s="21"/>
      <c r="H288" s="21" t="s">
        <v>4217</v>
      </c>
      <c r="I288" s="21" t="s">
        <v>3353</v>
      </c>
      <c r="J288" s="21" t="s">
        <v>3949</v>
      </c>
    </row>
    <row r="289" spans="1:10" ht="95" x14ac:dyDescent="0.2">
      <c r="A289" s="21" t="s">
        <v>3028</v>
      </c>
      <c r="B289" s="21">
        <v>2026</v>
      </c>
      <c r="C289" s="21" t="s">
        <v>4218</v>
      </c>
      <c r="D289" s="21" t="s">
        <v>4219</v>
      </c>
      <c r="E289" s="21" t="s">
        <v>4135</v>
      </c>
      <c r="F289" s="21" t="s">
        <v>3351</v>
      </c>
      <c r="G289" s="21"/>
      <c r="H289" s="21" t="s">
        <v>4220</v>
      </c>
      <c r="I289" s="21" t="s">
        <v>3353</v>
      </c>
      <c r="J289" s="21" t="s">
        <v>3949</v>
      </c>
    </row>
    <row r="290" spans="1:10" ht="133" x14ac:dyDescent="0.2">
      <c r="A290" s="21" t="s">
        <v>3035</v>
      </c>
      <c r="B290" s="21">
        <v>2024</v>
      </c>
      <c r="C290" s="21" t="s">
        <v>4221</v>
      </c>
      <c r="D290" s="21" t="s">
        <v>4222</v>
      </c>
      <c r="E290" s="21" t="s">
        <v>4135</v>
      </c>
      <c r="F290" s="21" t="s">
        <v>3351</v>
      </c>
      <c r="G290" s="21"/>
      <c r="H290" s="21" t="s">
        <v>4223</v>
      </c>
      <c r="I290" s="21" t="s">
        <v>3353</v>
      </c>
      <c r="J290" s="21" t="s">
        <v>3949</v>
      </c>
    </row>
    <row r="291" spans="1:10" ht="76" x14ac:dyDescent="0.2">
      <c r="A291" s="21" t="s">
        <v>3043</v>
      </c>
      <c r="B291" s="21">
        <v>2026</v>
      </c>
      <c r="C291" s="21" t="s">
        <v>4224</v>
      </c>
      <c r="D291" s="21" t="s">
        <v>4225</v>
      </c>
      <c r="E291" s="21" t="s">
        <v>4135</v>
      </c>
      <c r="F291" s="21" t="s">
        <v>3351</v>
      </c>
      <c r="G291" s="21"/>
      <c r="H291" s="21" t="s">
        <v>4226</v>
      </c>
      <c r="I291" s="21" t="s">
        <v>3353</v>
      </c>
      <c r="J291" s="21" t="s">
        <v>3949</v>
      </c>
    </row>
    <row r="292" spans="1:10" ht="76" x14ac:dyDescent="0.2">
      <c r="A292" s="21" t="s">
        <v>3051</v>
      </c>
      <c r="B292" s="21">
        <v>2025</v>
      </c>
      <c r="C292" s="21" t="s">
        <v>4227</v>
      </c>
      <c r="D292" s="21" t="s">
        <v>4228</v>
      </c>
      <c r="E292" s="21" t="s">
        <v>4135</v>
      </c>
      <c r="F292" s="21" t="s">
        <v>3351</v>
      </c>
      <c r="G292" s="21"/>
      <c r="H292" s="21" t="s">
        <v>4229</v>
      </c>
      <c r="I292" s="21" t="s">
        <v>3353</v>
      </c>
      <c r="J292" s="21" t="s">
        <v>3949</v>
      </c>
    </row>
    <row r="293" spans="1:10" ht="95" x14ac:dyDescent="0.2">
      <c r="A293" s="21" t="s">
        <v>3058</v>
      </c>
      <c r="B293" s="21">
        <v>2025</v>
      </c>
      <c r="C293" s="21" t="s">
        <v>4230</v>
      </c>
      <c r="D293" s="21" t="s">
        <v>4231</v>
      </c>
      <c r="E293" s="21" t="s">
        <v>4135</v>
      </c>
      <c r="F293" s="21" t="s">
        <v>3351</v>
      </c>
      <c r="G293" s="21"/>
      <c r="H293" s="21" t="s">
        <v>4232</v>
      </c>
      <c r="I293" s="21" t="s">
        <v>3353</v>
      </c>
      <c r="J293" s="21" t="s">
        <v>3949</v>
      </c>
    </row>
    <row r="294" spans="1:10" ht="95" x14ac:dyDescent="0.2">
      <c r="A294" s="21" t="s">
        <v>3065</v>
      </c>
      <c r="B294" s="21">
        <v>2026</v>
      </c>
      <c r="C294" s="21" t="s">
        <v>4233</v>
      </c>
      <c r="D294" s="21" t="s">
        <v>4234</v>
      </c>
      <c r="E294" s="21" t="s">
        <v>4135</v>
      </c>
      <c r="F294" s="21" t="s">
        <v>3351</v>
      </c>
      <c r="G294" s="21"/>
      <c r="H294" s="21" t="s">
        <v>4235</v>
      </c>
      <c r="I294" s="21" t="s">
        <v>3353</v>
      </c>
      <c r="J294" s="21" t="s">
        <v>3949</v>
      </c>
    </row>
    <row r="295" spans="1:10" ht="76" x14ac:dyDescent="0.2">
      <c r="A295" s="21" t="s">
        <v>3072</v>
      </c>
      <c r="B295" s="21">
        <v>2026</v>
      </c>
      <c r="C295" s="21" t="s">
        <v>4236</v>
      </c>
      <c r="D295" s="21" t="s">
        <v>4237</v>
      </c>
      <c r="E295" s="21" t="s">
        <v>4135</v>
      </c>
      <c r="F295" s="21" t="s">
        <v>3351</v>
      </c>
      <c r="G295" s="21"/>
      <c r="H295" s="21" t="s">
        <v>4238</v>
      </c>
      <c r="I295" s="21" t="s">
        <v>3353</v>
      </c>
      <c r="J295" s="21" t="s">
        <v>3949</v>
      </c>
    </row>
    <row r="296" spans="1:10" ht="114" x14ac:dyDescent="0.2">
      <c r="A296" s="21" t="s">
        <v>3080</v>
      </c>
      <c r="B296" s="21">
        <v>2026</v>
      </c>
      <c r="C296" s="21" t="s">
        <v>4239</v>
      </c>
      <c r="D296" s="21" t="s">
        <v>4240</v>
      </c>
      <c r="E296" s="21" t="s">
        <v>4135</v>
      </c>
      <c r="F296" s="21" t="s">
        <v>3351</v>
      </c>
      <c r="G296" s="21"/>
      <c r="H296" s="21" t="s">
        <v>4241</v>
      </c>
      <c r="I296" s="21" t="s">
        <v>3353</v>
      </c>
      <c r="J296" s="21" t="s">
        <v>3949</v>
      </c>
    </row>
    <row r="297" spans="1:10" ht="114" x14ac:dyDescent="0.2">
      <c r="A297" s="21" t="s">
        <v>3087</v>
      </c>
      <c r="B297" s="21">
        <v>2026</v>
      </c>
      <c r="C297" s="21" t="s">
        <v>4242</v>
      </c>
      <c r="D297" s="21" t="s">
        <v>4243</v>
      </c>
      <c r="E297" s="21" t="s">
        <v>4135</v>
      </c>
      <c r="F297" s="21" t="s">
        <v>3351</v>
      </c>
      <c r="G297" s="21"/>
      <c r="H297" s="21" t="s">
        <v>4244</v>
      </c>
      <c r="I297" s="21" t="s">
        <v>3353</v>
      </c>
      <c r="J297" s="21" t="s">
        <v>3949</v>
      </c>
    </row>
    <row r="298" spans="1:10" ht="76" x14ac:dyDescent="0.2">
      <c r="A298" s="21" t="s">
        <v>3095</v>
      </c>
      <c r="B298" s="21">
        <v>2026</v>
      </c>
      <c r="C298" s="21" t="s">
        <v>4245</v>
      </c>
      <c r="D298" s="21" t="s">
        <v>4246</v>
      </c>
      <c r="E298" s="21" t="s">
        <v>4135</v>
      </c>
      <c r="F298" s="21" t="s">
        <v>3351</v>
      </c>
      <c r="G298" s="21"/>
      <c r="H298" s="21" t="s">
        <v>4247</v>
      </c>
      <c r="I298" s="21" t="s">
        <v>3353</v>
      </c>
      <c r="J298" s="21" t="s">
        <v>3949</v>
      </c>
    </row>
    <row r="299" spans="1:10" ht="95" x14ac:dyDescent="0.2">
      <c r="A299" s="21" t="s">
        <v>3102</v>
      </c>
      <c r="B299" s="21">
        <v>2026</v>
      </c>
      <c r="C299" s="21" t="s">
        <v>4248</v>
      </c>
      <c r="D299" s="21" t="s">
        <v>4249</v>
      </c>
      <c r="E299" s="21" t="s">
        <v>4135</v>
      </c>
      <c r="F299" s="21" t="s">
        <v>3351</v>
      </c>
      <c r="G299" s="21"/>
      <c r="H299" s="21" t="s">
        <v>4250</v>
      </c>
      <c r="I299" s="21" t="s">
        <v>3353</v>
      </c>
      <c r="J299" s="21" t="s">
        <v>3949</v>
      </c>
    </row>
    <row r="300" spans="1:10" ht="76" x14ac:dyDescent="0.2">
      <c r="A300" s="21" t="s">
        <v>3109</v>
      </c>
      <c r="B300" s="21">
        <v>2026</v>
      </c>
      <c r="C300" s="21" t="s">
        <v>4251</v>
      </c>
      <c r="D300" s="21" t="s">
        <v>4252</v>
      </c>
      <c r="E300" s="21" t="s">
        <v>4135</v>
      </c>
      <c r="F300" s="21" t="s">
        <v>3351</v>
      </c>
      <c r="G300" s="21"/>
      <c r="H300" s="21" t="s">
        <v>4253</v>
      </c>
      <c r="I300" s="21" t="s">
        <v>3510</v>
      </c>
      <c r="J300" s="21" t="s">
        <v>3949</v>
      </c>
    </row>
    <row r="301" spans="1:10" ht="95" x14ac:dyDescent="0.2">
      <c r="A301" s="21" t="s">
        <v>3117</v>
      </c>
      <c r="B301" s="21">
        <v>2026</v>
      </c>
      <c r="C301" s="21" t="s">
        <v>4254</v>
      </c>
      <c r="D301" s="21" t="s">
        <v>4255</v>
      </c>
      <c r="E301" s="21" t="s">
        <v>4135</v>
      </c>
      <c r="F301" s="21" t="s">
        <v>3351</v>
      </c>
      <c r="G301" s="21"/>
      <c r="H301" s="21" t="s">
        <v>4256</v>
      </c>
      <c r="I301" s="21" t="s">
        <v>3353</v>
      </c>
      <c r="J301" s="21" t="s">
        <v>3949</v>
      </c>
    </row>
    <row r="302" spans="1:10" ht="76" x14ac:dyDescent="0.2">
      <c r="A302" s="21" t="s">
        <v>3125</v>
      </c>
      <c r="B302" s="21">
        <v>2025</v>
      </c>
      <c r="C302" s="21" t="s">
        <v>4257</v>
      </c>
      <c r="D302" s="21" t="s">
        <v>4258</v>
      </c>
      <c r="E302" s="21" t="s">
        <v>4135</v>
      </c>
      <c r="F302" s="21" t="s">
        <v>3351</v>
      </c>
      <c r="G302" s="21"/>
      <c r="H302" s="21" t="s">
        <v>4259</v>
      </c>
      <c r="I302" s="21" t="s">
        <v>3353</v>
      </c>
      <c r="J302" s="21" t="s">
        <v>3949</v>
      </c>
    </row>
    <row r="303" spans="1:10" ht="57" x14ac:dyDescent="0.2">
      <c r="A303" s="21" t="s">
        <v>3132</v>
      </c>
      <c r="B303" s="21">
        <v>2026</v>
      </c>
      <c r="C303" s="21" t="s">
        <v>4260</v>
      </c>
      <c r="D303" s="21" t="s">
        <v>4261</v>
      </c>
      <c r="E303" s="21" t="s">
        <v>4135</v>
      </c>
      <c r="F303" s="21" t="s">
        <v>3351</v>
      </c>
      <c r="G303" s="21"/>
      <c r="H303" s="21" t="s">
        <v>4262</v>
      </c>
      <c r="I303" s="21" t="s">
        <v>3353</v>
      </c>
      <c r="J303" s="21" t="s">
        <v>3949</v>
      </c>
    </row>
    <row r="304" spans="1:10" ht="76" x14ac:dyDescent="0.2">
      <c r="A304" s="21" t="s">
        <v>3140</v>
      </c>
      <c r="B304" s="21">
        <v>2026</v>
      </c>
      <c r="C304" s="21" t="s">
        <v>4263</v>
      </c>
      <c r="D304" s="21" t="s">
        <v>4264</v>
      </c>
      <c r="E304" s="21" t="s">
        <v>4135</v>
      </c>
      <c r="F304" s="21" t="s">
        <v>3351</v>
      </c>
      <c r="G304" s="21"/>
      <c r="H304" s="21" t="s">
        <v>4265</v>
      </c>
      <c r="I304" s="21" t="s">
        <v>3353</v>
      </c>
      <c r="J304" s="21" t="s">
        <v>3949</v>
      </c>
    </row>
    <row r="305" spans="1:10" ht="95" x14ac:dyDescent="0.2">
      <c r="A305" s="21" t="s">
        <v>3147</v>
      </c>
      <c r="B305" s="21">
        <v>2026</v>
      </c>
      <c r="C305" s="21" t="s">
        <v>4266</v>
      </c>
      <c r="D305" s="21" t="s">
        <v>4267</v>
      </c>
      <c r="E305" s="21" t="s">
        <v>4135</v>
      </c>
      <c r="F305" s="21" t="s">
        <v>3351</v>
      </c>
      <c r="G305" s="21"/>
      <c r="H305" s="21" t="s">
        <v>4268</v>
      </c>
      <c r="I305" s="21" t="s">
        <v>3353</v>
      </c>
      <c r="J305" s="21" t="s">
        <v>3949</v>
      </c>
    </row>
    <row r="306" spans="1:10" ht="57" x14ac:dyDescent="0.2">
      <c r="A306" s="21" t="s">
        <v>3155</v>
      </c>
      <c r="B306" s="21">
        <v>2026</v>
      </c>
      <c r="C306" s="21" t="s">
        <v>4269</v>
      </c>
      <c r="D306" s="21" t="s">
        <v>4270</v>
      </c>
      <c r="E306" s="21" t="s">
        <v>4135</v>
      </c>
      <c r="F306" s="21" t="s">
        <v>3351</v>
      </c>
      <c r="G306" s="21"/>
      <c r="H306" s="21" t="s">
        <v>4271</v>
      </c>
      <c r="I306" s="21" t="s">
        <v>3510</v>
      </c>
      <c r="J306" s="21" t="s">
        <v>3949</v>
      </c>
    </row>
    <row r="307" spans="1:10" ht="95" x14ac:dyDescent="0.2">
      <c r="A307" s="21" t="s">
        <v>3163</v>
      </c>
      <c r="B307" s="21">
        <v>2025</v>
      </c>
      <c r="C307" s="21" t="s">
        <v>4272</v>
      </c>
      <c r="D307" s="21" t="s">
        <v>4273</v>
      </c>
      <c r="E307" s="21" t="s">
        <v>4135</v>
      </c>
      <c r="F307" s="21" t="s">
        <v>3351</v>
      </c>
      <c r="G307" s="21"/>
      <c r="H307" s="21" t="s">
        <v>4274</v>
      </c>
      <c r="I307" s="21" t="s">
        <v>3353</v>
      </c>
      <c r="J307" s="21" t="s">
        <v>3949</v>
      </c>
    </row>
    <row r="308" spans="1:10" ht="114" x14ac:dyDescent="0.2">
      <c r="A308" s="21" t="s">
        <v>3171</v>
      </c>
      <c r="B308" s="21">
        <v>2026</v>
      </c>
      <c r="C308" s="21" t="s">
        <v>4275</v>
      </c>
      <c r="D308" s="21" t="s">
        <v>4276</v>
      </c>
      <c r="E308" s="21" t="s">
        <v>4135</v>
      </c>
      <c r="F308" s="21" t="s">
        <v>3351</v>
      </c>
      <c r="G308" s="21"/>
      <c r="H308" s="21" t="s">
        <v>4078</v>
      </c>
      <c r="I308" s="21" t="s">
        <v>3353</v>
      </c>
      <c r="J308" s="21" t="s">
        <v>3949</v>
      </c>
    </row>
    <row r="309" spans="1:10" ht="76" x14ac:dyDescent="0.2">
      <c r="A309" s="21" t="s">
        <v>3179</v>
      </c>
      <c r="B309" s="21">
        <v>2026</v>
      </c>
      <c r="C309" s="21" t="s">
        <v>4277</v>
      </c>
      <c r="D309" s="21" t="s">
        <v>4278</v>
      </c>
      <c r="E309" s="21" t="s">
        <v>4135</v>
      </c>
      <c r="F309" s="21" t="s">
        <v>3351</v>
      </c>
      <c r="G309" s="21"/>
      <c r="H309" s="21" t="s">
        <v>4279</v>
      </c>
      <c r="I309" s="21" t="s">
        <v>3353</v>
      </c>
      <c r="J309" s="21" t="s">
        <v>3949</v>
      </c>
    </row>
    <row r="310" spans="1:10" ht="76" x14ac:dyDescent="0.2">
      <c r="A310" s="21" t="s">
        <v>3187</v>
      </c>
      <c r="B310" s="21">
        <v>2026</v>
      </c>
      <c r="C310" s="21" t="s">
        <v>4280</v>
      </c>
      <c r="D310" s="21" t="s">
        <v>4281</v>
      </c>
      <c r="E310" s="21" t="s">
        <v>4135</v>
      </c>
      <c r="F310" s="21" t="s">
        <v>3351</v>
      </c>
      <c r="G310" s="21"/>
      <c r="H310" s="21" t="s">
        <v>4282</v>
      </c>
      <c r="I310" s="21" t="s">
        <v>3353</v>
      </c>
      <c r="J310" s="21" t="s">
        <v>3949</v>
      </c>
    </row>
    <row r="311" spans="1:10" ht="95" x14ac:dyDescent="0.2">
      <c r="A311" s="21" t="s">
        <v>3201</v>
      </c>
      <c r="B311" s="21">
        <v>2026</v>
      </c>
      <c r="C311" s="21" t="s">
        <v>4283</v>
      </c>
      <c r="D311" s="21" t="s">
        <v>4284</v>
      </c>
      <c r="E311" s="21" t="s">
        <v>4135</v>
      </c>
      <c r="F311" s="21" t="s">
        <v>3351</v>
      </c>
      <c r="G311" s="21"/>
      <c r="H311" s="21" t="s">
        <v>4285</v>
      </c>
      <c r="I311" s="21" t="s">
        <v>3353</v>
      </c>
      <c r="J311" s="21" t="s">
        <v>3949</v>
      </c>
    </row>
    <row r="312" spans="1:10" ht="114" x14ac:dyDescent="0.2">
      <c r="A312" s="21" t="s">
        <v>3209</v>
      </c>
      <c r="B312" s="21">
        <v>2026</v>
      </c>
      <c r="C312" s="21" t="s">
        <v>4286</v>
      </c>
      <c r="D312" s="21" t="s">
        <v>4287</v>
      </c>
      <c r="E312" s="21" t="s">
        <v>4135</v>
      </c>
      <c r="F312" s="21" t="s">
        <v>3351</v>
      </c>
      <c r="G312" s="21"/>
      <c r="H312" s="21" t="s">
        <v>4288</v>
      </c>
      <c r="I312" s="21" t="s">
        <v>3353</v>
      </c>
      <c r="J312" s="21" t="s">
        <v>3949</v>
      </c>
    </row>
    <row r="313" spans="1:10" ht="133" x14ac:dyDescent="0.2">
      <c r="A313" s="21" t="s">
        <v>3223</v>
      </c>
      <c r="B313" s="21">
        <v>2026</v>
      </c>
      <c r="C313" s="21" t="s">
        <v>4289</v>
      </c>
      <c r="D313" s="21" t="s">
        <v>4290</v>
      </c>
      <c r="E313" s="21" t="s">
        <v>4135</v>
      </c>
      <c r="F313" s="21" t="s">
        <v>3351</v>
      </c>
      <c r="G313" s="21"/>
      <c r="H313" s="21" t="s">
        <v>4291</v>
      </c>
      <c r="I313" s="21" t="s">
        <v>3353</v>
      </c>
      <c r="J313" s="21" t="s">
        <v>3949</v>
      </c>
    </row>
    <row r="314" spans="1:10" ht="76" x14ac:dyDescent="0.2">
      <c r="A314" s="21" t="s">
        <v>3229</v>
      </c>
      <c r="B314" s="21">
        <v>2025</v>
      </c>
      <c r="C314" s="21" t="s">
        <v>4292</v>
      </c>
      <c r="D314" s="21" t="s">
        <v>4293</v>
      </c>
      <c r="E314" s="21" t="s">
        <v>4135</v>
      </c>
      <c r="F314" s="21" t="s">
        <v>3351</v>
      </c>
      <c r="G314" s="21"/>
      <c r="H314" s="21" t="s">
        <v>4294</v>
      </c>
      <c r="I314" s="21" t="s">
        <v>3353</v>
      </c>
      <c r="J314" s="21" t="s">
        <v>3949</v>
      </c>
    </row>
    <row r="315" spans="1:10" ht="114" x14ac:dyDescent="0.2">
      <c r="A315" s="21" t="s">
        <v>3236</v>
      </c>
      <c r="B315" s="21">
        <v>2025</v>
      </c>
      <c r="C315" s="21" t="s">
        <v>4295</v>
      </c>
      <c r="D315" s="21" t="s">
        <v>4296</v>
      </c>
      <c r="E315" s="21" t="s">
        <v>4135</v>
      </c>
      <c r="F315" s="21" t="s">
        <v>3351</v>
      </c>
      <c r="G315" s="21"/>
      <c r="H315" s="21" t="s">
        <v>4297</v>
      </c>
      <c r="I315" s="21" t="s">
        <v>3353</v>
      </c>
      <c r="J315" s="21" t="s">
        <v>3949</v>
      </c>
    </row>
    <row r="316" spans="1:10" ht="114" x14ac:dyDescent="0.2">
      <c r="A316" s="21" t="s">
        <v>3243</v>
      </c>
      <c r="B316" s="21">
        <v>2026</v>
      </c>
      <c r="C316" s="21" t="s">
        <v>4298</v>
      </c>
      <c r="D316" s="21" t="s">
        <v>4299</v>
      </c>
      <c r="E316" s="21" t="s">
        <v>4135</v>
      </c>
      <c r="F316" s="21" t="s">
        <v>3351</v>
      </c>
      <c r="G316" s="21"/>
      <c r="H316" s="21" t="s">
        <v>4300</v>
      </c>
      <c r="I316" s="21" t="s">
        <v>3353</v>
      </c>
      <c r="J316" s="21" t="s">
        <v>3949</v>
      </c>
    </row>
    <row r="317" spans="1:10" ht="76" x14ac:dyDescent="0.2">
      <c r="A317" s="21" t="s">
        <v>3248</v>
      </c>
      <c r="B317" s="21">
        <v>2024</v>
      </c>
      <c r="C317" s="21" t="s">
        <v>4301</v>
      </c>
      <c r="D317" s="21" t="s">
        <v>4302</v>
      </c>
      <c r="E317" s="21" t="s">
        <v>4135</v>
      </c>
      <c r="F317" s="21" t="s">
        <v>3351</v>
      </c>
      <c r="G317" s="21"/>
      <c r="H317" s="21" t="s">
        <v>4303</v>
      </c>
      <c r="I317" s="21" t="s">
        <v>3353</v>
      </c>
      <c r="J317" s="21" t="s">
        <v>3949</v>
      </c>
    </row>
    <row r="318" spans="1:10" ht="76" x14ac:dyDescent="0.2">
      <c r="A318" s="21" t="s">
        <v>3256</v>
      </c>
      <c r="B318" s="21">
        <v>2024</v>
      </c>
      <c r="C318" s="21" t="s">
        <v>4304</v>
      </c>
      <c r="D318" s="21" t="s">
        <v>4305</v>
      </c>
      <c r="E318" s="21" t="s">
        <v>4135</v>
      </c>
      <c r="F318" s="21" t="s">
        <v>3351</v>
      </c>
      <c r="G318" s="21"/>
      <c r="H318" s="21" t="s">
        <v>4306</v>
      </c>
      <c r="I318" s="21" t="s">
        <v>3353</v>
      </c>
      <c r="J318" s="21" t="s">
        <v>3949</v>
      </c>
    </row>
    <row r="319" spans="1:10" ht="95" x14ac:dyDescent="0.2">
      <c r="A319" s="21" t="s">
        <v>3264</v>
      </c>
      <c r="B319" s="21">
        <v>2024</v>
      </c>
      <c r="C319" s="21" t="s">
        <v>4307</v>
      </c>
      <c r="D319" s="21" t="s">
        <v>4308</v>
      </c>
      <c r="E319" s="21" t="s">
        <v>4135</v>
      </c>
      <c r="F319" s="21" t="s">
        <v>3351</v>
      </c>
      <c r="G319" s="21"/>
      <c r="H319" s="21" t="s">
        <v>4309</v>
      </c>
      <c r="I319" s="21" t="s">
        <v>3353</v>
      </c>
      <c r="J319" s="21" t="s">
        <v>3949</v>
      </c>
    </row>
    <row r="320" spans="1:10" ht="95" x14ac:dyDescent="0.2">
      <c r="A320" s="21" t="s">
        <v>3286</v>
      </c>
      <c r="B320" s="21">
        <v>2025</v>
      </c>
      <c r="C320" s="21" t="s">
        <v>4310</v>
      </c>
      <c r="D320" s="21" t="s">
        <v>4311</v>
      </c>
      <c r="E320" s="21" t="s">
        <v>4135</v>
      </c>
      <c r="F320" s="21" t="s">
        <v>3351</v>
      </c>
      <c r="G320" s="21"/>
      <c r="H320" s="21" t="s">
        <v>4312</v>
      </c>
      <c r="I320" s="21" t="s">
        <v>3353</v>
      </c>
      <c r="J320" s="21" t="s">
        <v>3949</v>
      </c>
    </row>
    <row r="321" spans="1:10" ht="76" x14ac:dyDescent="0.2">
      <c r="A321" s="21" t="s">
        <v>3290</v>
      </c>
      <c r="B321" s="21">
        <v>2024</v>
      </c>
      <c r="C321" s="21" t="s">
        <v>4313</v>
      </c>
      <c r="D321" s="21" t="s">
        <v>4314</v>
      </c>
      <c r="E321" s="21" t="s">
        <v>4135</v>
      </c>
      <c r="F321" s="21" t="s">
        <v>3351</v>
      </c>
      <c r="G321" s="21"/>
      <c r="H321" s="21" t="s">
        <v>4315</v>
      </c>
      <c r="I321" s="21" t="s">
        <v>3353</v>
      </c>
      <c r="J321" s="21" t="s">
        <v>3949</v>
      </c>
    </row>
    <row r="322" spans="1:10" ht="76" x14ac:dyDescent="0.2">
      <c r="A322" s="21" t="s">
        <v>3298</v>
      </c>
      <c r="B322" s="21">
        <v>2024</v>
      </c>
      <c r="C322" s="21" t="s">
        <v>4316</v>
      </c>
      <c r="D322" s="21" t="s">
        <v>4317</v>
      </c>
      <c r="E322" s="21" t="s">
        <v>4135</v>
      </c>
      <c r="F322" s="21" t="s">
        <v>3351</v>
      </c>
      <c r="G322" s="21"/>
      <c r="H322" s="21" t="s">
        <v>4318</v>
      </c>
      <c r="I322" s="21" t="s">
        <v>3353</v>
      </c>
      <c r="J322" s="21" t="s">
        <v>3949</v>
      </c>
    </row>
    <row r="323" spans="1:10" ht="95" x14ac:dyDescent="0.2">
      <c r="A323" s="21" t="s">
        <v>3313</v>
      </c>
      <c r="B323" s="21">
        <v>2026</v>
      </c>
      <c r="C323" s="21" t="s">
        <v>4319</v>
      </c>
      <c r="D323" s="21" t="s">
        <v>4320</v>
      </c>
      <c r="E323" s="21" t="s">
        <v>4135</v>
      </c>
      <c r="F323" s="21" t="s">
        <v>3351</v>
      </c>
      <c r="G323" s="21"/>
      <c r="H323" s="21" t="s">
        <v>4321</v>
      </c>
      <c r="I323" s="21" t="s">
        <v>3353</v>
      </c>
      <c r="J323" s="21" t="s">
        <v>3949</v>
      </c>
    </row>
    <row r="324" spans="1:10" ht="76" x14ac:dyDescent="0.2">
      <c r="A324" s="21" t="s">
        <v>3318</v>
      </c>
      <c r="B324" s="21">
        <v>2025</v>
      </c>
      <c r="C324" s="21" t="s">
        <v>4322</v>
      </c>
      <c r="D324" s="21" t="s">
        <v>4323</v>
      </c>
      <c r="E324" s="21" t="s">
        <v>4135</v>
      </c>
      <c r="F324" s="21" t="s">
        <v>3351</v>
      </c>
      <c r="G324" s="21"/>
      <c r="H324" s="21" t="s">
        <v>4324</v>
      </c>
      <c r="I324" s="21" t="s">
        <v>3353</v>
      </c>
      <c r="J324" s="21" t="s">
        <v>3949</v>
      </c>
    </row>
    <row r="325" spans="1:10" ht="152" x14ac:dyDescent="0.2">
      <c r="A325" s="21" t="s">
        <v>3325</v>
      </c>
      <c r="B325" s="21">
        <v>2026</v>
      </c>
      <c r="C325" s="21" t="s">
        <v>4325</v>
      </c>
      <c r="D325" s="21" t="s">
        <v>4326</v>
      </c>
      <c r="E325" s="21" t="s">
        <v>4135</v>
      </c>
      <c r="F325" s="21" t="s">
        <v>3351</v>
      </c>
      <c r="G325" s="21"/>
      <c r="H325" s="21" t="s">
        <v>4327</v>
      </c>
      <c r="I325" s="21" t="s">
        <v>3353</v>
      </c>
      <c r="J325" s="21" t="s">
        <v>3949</v>
      </c>
    </row>
    <row r="326" spans="1:10" ht="95" x14ac:dyDescent="0.2">
      <c r="A326" s="21" t="s">
        <v>3325</v>
      </c>
      <c r="B326" s="21">
        <v>2026</v>
      </c>
      <c r="C326" s="21" t="s">
        <v>4328</v>
      </c>
      <c r="D326" s="21" t="s">
        <v>4329</v>
      </c>
      <c r="E326" s="21" t="s">
        <v>4135</v>
      </c>
      <c r="F326" s="21" t="s">
        <v>3351</v>
      </c>
      <c r="G326" s="21"/>
      <c r="H326" s="21" t="s">
        <v>4330</v>
      </c>
      <c r="I326" s="21" t="s">
        <v>3353</v>
      </c>
      <c r="J326" s="21" t="s">
        <v>3949</v>
      </c>
    </row>
    <row r="327" spans="1:10" ht="133" x14ac:dyDescent="0.2">
      <c r="A327" s="21" t="s">
        <v>3332</v>
      </c>
      <c r="B327" s="21">
        <v>2026</v>
      </c>
      <c r="C327" s="21" t="s">
        <v>4331</v>
      </c>
      <c r="D327" s="21" t="s">
        <v>4332</v>
      </c>
      <c r="E327" s="21" t="s">
        <v>4135</v>
      </c>
      <c r="F327" s="21" t="s">
        <v>3351</v>
      </c>
      <c r="G327" s="21"/>
      <c r="H327" s="21" t="s">
        <v>4333</v>
      </c>
      <c r="I327" s="21" t="s">
        <v>3353</v>
      </c>
      <c r="J327" s="21" t="s">
        <v>3949</v>
      </c>
    </row>
    <row r="328" spans="1:10" ht="95" x14ac:dyDescent="0.2">
      <c r="A328" s="21" t="s">
        <v>2825</v>
      </c>
      <c r="B328" s="21">
        <v>2025</v>
      </c>
      <c r="C328" s="21" t="s">
        <v>4334</v>
      </c>
      <c r="D328" s="21" t="s">
        <v>4335</v>
      </c>
      <c r="E328" s="21" t="s">
        <v>4336</v>
      </c>
      <c r="F328" s="21" t="s">
        <v>4337</v>
      </c>
      <c r="G328" s="21"/>
      <c r="H328" s="21" t="s">
        <v>4338</v>
      </c>
      <c r="I328" s="21" t="s">
        <v>3353</v>
      </c>
      <c r="J328" s="21" t="s">
        <v>4339</v>
      </c>
    </row>
    <row r="329" spans="1:10" ht="76" x14ac:dyDescent="0.2">
      <c r="A329" s="21" t="s">
        <v>2833</v>
      </c>
      <c r="B329" s="21">
        <v>2026</v>
      </c>
      <c r="C329" s="21" t="s">
        <v>4340</v>
      </c>
      <c r="D329" s="21" t="s">
        <v>4341</v>
      </c>
      <c r="E329" s="21" t="s">
        <v>4336</v>
      </c>
      <c r="F329" s="21" t="s">
        <v>4337</v>
      </c>
      <c r="G329" s="21"/>
      <c r="H329" s="21" t="s">
        <v>4342</v>
      </c>
      <c r="I329" s="21" t="s">
        <v>3353</v>
      </c>
      <c r="J329" s="21" t="s">
        <v>4339</v>
      </c>
    </row>
    <row r="330" spans="1:10" ht="76" x14ac:dyDescent="0.2">
      <c r="A330" s="21" t="s">
        <v>2841</v>
      </c>
      <c r="B330" s="21">
        <v>2026</v>
      </c>
      <c r="C330" s="21" t="s">
        <v>4343</v>
      </c>
      <c r="D330" s="21" t="s">
        <v>4344</v>
      </c>
      <c r="E330" s="21" t="s">
        <v>4336</v>
      </c>
      <c r="F330" s="21" t="s">
        <v>4337</v>
      </c>
      <c r="G330" s="21"/>
      <c r="H330" s="21" t="s">
        <v>4345</v>
      </c>
      <c r="I330" s="21" t="s">
        <v>3353</v>
      </c>
      <c r="J330" s="21" t="s">
        <v>4339</v>
      </c>
    </row>
    <row r="331" spans="1:10" ht="57" x14ac:dyDescent="0.2">
      <c r="A331" s="21" t="s">
        <v>2841</v>
      </c>
      <c r="B331" s="21">
        <v>2026</v>
      </c>
      <c r="C331" s="21" t="s">
        <v>4346</v>
      </c>
      <c r="D331" s="21" t="s">
        <v>4347</v>
      </c>
      <c r="E331" s="21" t="s">
        <v>4336</v>
      </c>
      <c r="F331" s="21" t="s">
        <v>4337</v>
      </c>
      <c r="G331" s="21"/>
      <c r="H331" s="21" t="s">
        <v>4345</v>
      </c>
      <c r="I331" s="21" t="s">
        <v>3353</v>
      </c>
      <c r="J331" s="21" t="s">
        <v>4339</v>
      </c>
    </row>
    <row r="332" spans="1:10" ht="95" x14ac:dyDescent="0.2">
      <c r="A332" s="21" t="s">
        <v>2841</v>
      </c>
      <c r="B332" s="21">
        <v>2026</v>
      </c>
      <c r="C332" s="21" t="s">
        <v>4348</v>
      </c>
      <c r="D332" s="21" t="s">
        <v>4349</v>
      </c>
      <c r="E332" s="21" t="s">
        <v>4336</v>
      </c>
      <c r="F332" s="21" t="s">
        <v>4337</v>
      </c>
      <c r="G332" s="21"/>
      <c r="H332" s="21" t="s">
        <v>4350</v>
      </c>
      <c r="I332" s="21" t="s">
        <v>3353</v>
      </c>
      <c r="J332" s="21" t="s">
        <v>4339</v>
      </c>
    </row>
    <row r="333" spans="1:10" ht="76" x14ac:dyDescent="0.2">
      <c r="A333" s="21" t="s">
        <v>2849</v>
      </c>
      <c r="B333" s="21">
        <v>2026</v>
      </c>
      <c r="C333" s="21" t="s">
        <v>4351</v>
      </c>
      <c r="D333" s="21" t="s">
        <v>4352</v>
      </c>
      <c r="E333" s="21" t="s">
        <v>4336</v>
      </c>
      <c r="F333" s="21" t="s">
        <v>4337</v>
      </c>
      <c r="G333" s="21"/>
      <c r="H333" s="21" t="s">
        <v>4353</v>
      </c>
      <c r="I333" s="21" t="s">
        <v>3353</v>
      </c>
      <c r="J333" s="21" t="s">
        <v>4339</v>
      </c>
    </row>
    <row r="334" spans="1:10" ht="95" x14ac:dyDescent="0.2">
      <c r="A334" s="22" t="s">
        <v>2849</v>
      </c>
      <c r="B334" s="22">
        <v>2026</v>
      </c>
      <c r="C334" s="22" t="s">
        <v>4354</v>
      </c>
      <c r="D334" s="22" t="s">
        <v>4355</v>
      </c>
      <c r="E334" s="22" t="s">
        <v>4336</v>
      </c>
      <c r="F334" s="22" t="s">
        <v>4337</v>
      </c>
      <c r="G334" s="22"/>
      <c r="H334" s="22" t="s">
        <v>4356</v>
      </c>
      <c r="I334" s="22" t="s">
        <v>3353</v>
      </c>
      <c r="J334" s="22" t="s">
        <v>4339</v>
      </c>
    </row>
    <row r="335" spans="1:10" ht="57" x14ac:dyDescent="0.2">
      <c r="A335" s="22" t="s">
        <v>2857</v>
      </c>
      <c r="B335" s="22">
        <v>2026</v>
      </c>
      <c r="C335" s="22" t="s">
        <v>4357</v>
      </c>
      <c r="D335" s="22" t="s">
        <v>4352</v>
      </c>
      <c r="E335" s="22" t="s">
        <v>4336</v>
      </c>
      <c r="F335" s="22" t="s">
        <v>4337</v>
      </c>
      <c r="G335" s="22"/>
      <c r="H335" s="22" t="s">
        <v>4358</v>
      </c>
      <c r="I335" s="22" t="s">
        <v>3353</v>
      </c>
      <c r="J335" s="22" t="s">
        <v>4339</v>
      </c>
    </row>
    <row r="336" spans="1:10" ht="114" x14ac:dyDescent="0.2">
      <c r="A336" s="22" t="s">
        <v>2857</v>
      </c>
      <c r="B336" s="22">
        <v>2026</v>
      </c>
      <c r="C336" s="22" t="s">
        <v>4359</v>
      </c>
      <c r="D336" s="22" t="s">
        <v>4360</v>
      </c>
      <c r="E336" s="22" t="s">
        <v>4336</v>
      </c>
      <c r="F336" s="22" t="s">
        <v>4337</v>
      </c>
      <c r="G336" s="22"/>
      <c r="H336" s="22" t="s">
        <v>4361</v>
      </c>
      <c r="I336" s="22" t="s">
        <v>3353</v>
      </c>
      <c r="J336" s="22" t="s">
        <v>4339</v>
      </c>
    </row>
    <row r="337" spans="1:10" ht="114" x14ac:dyDescent="0.2">
      <c r="A337" s="22" t="s">
        <v>2865</v>
      </c>
      <c r="B337" s="22">
        <v>2025</v>
      </c>
      <c r="C337" s="22" t="s">
        <v>4362</v>
      </c>
      <c r="D337" s="22" t="s">
        <v>4363</v>
      </c>
      <c r="E337" s="22" t="s">
        <v>4336</v>
      </c>
      <c r="F337" s="22" t="s">
        <v>4337</v>
      </c>
      <c r="G337" s="22"/>
      <c r="H337" s="22" t="s">
        <v>4364</v>
      </c>
      <c r="I337" s="22" t="s">
        <v>3353</v>
      </c>
      <c r="J337" s="22" t="s">
        <v>4339</v>
      </c>
    </row>
    <row r="338" spans="1:10" ht="76" x14ac:dyDescent="0.2">
      <c r="A338" s="22" t="s">
        <v>2865</v>
      </c>
      <c r="B338" s="22">
        <v>2025</v>
      </c>
      <c r="C338" s="22" t="s">
        <v>4365</v>
      </c>
      <c r="D338" s="22" t="s">
        <v>4366</v>
      </c>
      <c r="E338" s="22" t="s">
        <v>4336</v>
      </c>
      <c r="F338" s="22" t="s">
        <v>4337</v>
      </c>
      <c r="G338" s="22"/>
      <c r="H338" s="22" t="s">
        <v>4367</v>
      </c>
      <c r="I338" s="22" t="s">
        <v>3353</v>
      </c>
      <c r="J338" s="22" t="s">
        <v>4339</v>
      </c>
    </row>
    <row r="339" spans="1:10" ht="76" x14ac:dyDescent="0.2">
      <c r="A339" s="22" t="s">
        <v>2873</v>
      </c>
      <c r="B339" s="22">
        <v>2025</v>
      </c>
      <c r="C339" s="22" t="s">
        <v>4368</v>
      </c>
      <c r="D339" s="22" t="s">
        <v>4369</v>
      </c>
      <c r="E339" s="22" t="s">
        <v>4336</v>
      </c>
      <c r="F339" s="22" t="s">
        <v>4337</v>
      </c>
      <c r="G339" s="22"/>
      <c r="H339" s="22" t="s">
        <v>4370</v>
      </c>
      <c r="I339" s="22" t="s">
        <v>3353</v>
      </c>
      <c r="J339" s="22" t="s">
        <v>4339</v>
      </c>
    </row>
    <row r="340" spans="1:10" ht="76" x14ac:dyDescent="0.2">
      <c r="A340" s="22" t="s">
        <v>2873</v>
      </c>
      <c r="B340" s="22">
        <v>2025</v>
      </c>
      <c r="C340" s="22" t="s">
        <v>4371</v>
      </c>
      <c r="D340" s="22" t="s">
        <v>4372</v>
      </c>
      <c r="E340" s="22" t="s">
        <v>4336</v>
      </c>
      <c r="F340" s="22" t="s">
        <v>4337</v>
      </c>
      <c r="G340" s="22"/>
      <c r="H340" s="22" t="s">
        <v>4373</v>
      </c>
      <c r="I340" s="22" t="s">
        <v>3353</v>
      </c>
      <c r="J340" s="22" t="s">
        <v>4339</v>
      </c>
    </row>
    <row r="341" spans="1:10" ht="95" x14ac:dyDescent="0.2">
      <c r="A341" s="22" t="s">
        <v>2881</v>
      </c>
      <c r="B341" s="22">
        <v>2026</v>
      </c>
      <c r="C341" s="22" t="s">
        <v>4374</v>
      </c>
      <c r="D341" s="22" t="s">
        <v>4375</v>
      </c>
      <c r="E341" s="22" t="s">
        <v>4336</v>
      </c>
      <c r="F341" s="22" t="s">
        <v>4337</v>
      </c>
      <c r="G341" s="22"/>
      <c r="H341" s="22" t="s">
        <v>4376</v>
      </c>
      <c r="I341" s="22" t="s">
        <v>3353</v>
      </c>
      <c r="J341" s="22" t="s">
        <v>4339</v>
      </c>
    </row>
    <row r="342" spans="1:10" ht="114" x14ac:dyDescent="0.2">
      <c r="A342" s="22" t="s">
        <v>2881</v>
      </c>
      <c r="B342" s="22">
        <v>2026</v>
      </c>
      <c r="C342" s="22" t="s">
        <v>4377</v>
      </c>
      <c r="D342" s="22" t="s">
        <v>4378</v>
      </c>
      <c r="E342" s="22" t="s">
        <v>4336</v>
      </c>
      <c r="F342" s="22" t="s">
        <v>4337</v>
      </c>
      <c r="G342" s="22"/>
      <c r="H342" s="22" t="s">
        <v>4379</v>
      </c>
      <c r="I342" s="22" t="s">
        <v>3353</v>
      </c>
      <c r="J342" s="22" t="s">
        <v>4339</v>
      </c>
    </row>
    <row r="343" spans="1:10" ht="95" x14ac:dyDescent="0.2">
      <c r="A343" s="22" t="s">
        <v>2889</v>
      </c>
      <c r="B343" s="22">
        <v>2026</v>
      </c>
      <c r="C343" s="22" t="s">
        <v>4380</v>
      </c>
      <c r="D343" s="22" t="s">
        <v>4381</v>
      </c>
      <c r="E343" s="22" t="s">
        <v>4336</v>
      </c>
      <c r="F343" s="22" t="s">
        <v>4337</v>
      </c>
      <c r="G343" s="22"/>
      <c r="H343" s="22" t="s">
        <v>4382</v>
      </c>
      <c r="I343" s="22" t="s">
        <v>3353</v>
      </c>
      <c r="J343" s="22" t="s">
        <v>4339</v>
      </c>
    </row>
    <row r="344" spans="1:10" ht="95" x14ac:dyDescent="0.2">
      <c r="A344" s="22" t="s">
        <v>2889</v>
      </c>
      <c r="B344" s="22">
        <v>2026</v>
      </c>
      <c r="C344" s="22" t="s">
        <v>4383</v>
      </c>
      <c r="D344" s="22" t="s">
        <v>4384</v>
      </c>
      <c r="E344" s="22" t="s">
        <v>4336</v>
      </c>
      <c r="F344" s="22" t="s">
        <v>4337</v>
      </c>
      <c r="G344" s="22"/>
      <c r="H344" s="22" t="s">
        <v>4385</v>
      </c>
      <c r="I344" s="22" t="s">
        <v>3353</v>
      </c>
      <c r="J344" s="22" t="s">
        <v>4339</v>
      </c>
    </row>
    <row r="345" spans="1:10" ht="57" x14ac:dyDescent="0.2">
      <c r="A345" s="22" t="s">
        <v>2897</v>
      </c>
      <c r="B345" s="22">
        <v>2026</v>
      </c>
      <c r="C345" s="22" t="s">
        <v>4386</v>
      </c>
      <c r="D345" s="22" t="s">
        <v>4387</v>
      </c>
      <c r="E345" s="22" t="s">
        <v>4336</v>
      </c>
      <c r="F345" s="22" t="s">
        <v>4337</v>
      </c>
      <c r="G345" s="22"/>
      <c r="H345" s="22" t="s">
        <v>4388</v>
      </c>
      <c r="I345" s="22" t="s">
        <v>3510</v>
      </c>
      <c r="J345" s="22" t="s">
        <v>4339</v>
      </c>
    </row>
    <row r="346" spans="1:10" ht="57" x14ac:dyDescent="0.2">
      <c r="A346" s="22" t="s">
        <v>2904</v>
      </c>
      <c r="B346" s="22">
        <v>2026</v>
      </c>
      <c r="C346" s="22" t="s">
        <v>4389</v>
      </c>
      <c r="D346" s="22" t="s">
        <v>4390</v>
      </c>
      <c r="E346" s="22" t="s">
        <v>4336</v>
      </c>
      <c r="F346" s="22" t="s">
        <v>4337</v>
      </c>
      <c r="G346" s="22"/>
      <c r="H346" s="22" t="s">
        <v>4391</v>
      </c>
      <c r="I346" s="22" t="s">
        <v>3510</v>
      </c>
      <c r="J346" s="22" t="s">
        <v>4339</v>
      </c>
    </row>
    <row r="347" spans="1:10" ht="114" x14ac:dyDescent="0.2">
      <c r="A347" s="22" t="s">
        <v>2912</v>
      </c>
      <c r="B347" s="22">
        <v>2026</v>
      </c>
      <c r="C347" s="22" t="s">
        <v>4392</v>
      </c>
      <c r="D347" s="22" t="s">
        <v>4393</v>
      </c>
      <c r="E347" s="22" t="s">
        <v>4336</v>
      </c>
      <c r="F347" s="22" t="s">
        <v>4337</v>
      </c>
      <c r="G347" s="22"/>
      <c r="H347" s="22" t="s">
        <v>3757</v>
      </c>
      <c r="I347" s="22" t="s">
        <v>3353</v>
      </c>
      <c r="J347" s="22" t="s">
        <v>4339</v>
      </c>
    </row>
    <row r="348" spans="1:10" ht="76" x14ac:dyDescent="0.2">
      <c r="A348" s="22" t="s">
        <v>2912</v>
      </c>
      <c r="B348" s="22">
        <v>2026</v>
      </c>
      <c r="C348" s="22" t="s">
        <v>4394</v>
      </c>
      <c r="D348" s="22" t="s">
        <v>4395</v>
      </c>
      <c r="E348" s="22" t="s">
        <v>4336</v>
      </c>
      <c r="F348" s="22" t="s">
        <v>4337</v>
      </c>
      <c r="G348" s="22"/>
      <c r="H348" s="22" t="s">
        <v>4396</v>
      </c>
      <c r="I348" s="22" t="s">
        <v>3353</v>
      </c>
      <c r="J348" s="22" t="s">
        <v>4339</v>
      </c>
    </row>
    <row r="349" spans="1:10" ht="190" x14ac:dyDescent="0.2">
      <c r="A349" s="22" t="s">
        <v>2920</v>
      </c>
      <c r="B349" s="22">
        <v>2026</v>
      </c>
      <c r="C349" s="22" t="s">
        <v>4397</v>
      </c>
      <c r="D349" s="22" t="s">
        <v>4398</v>
      </c>
      <c r="E349" s="22" t="s">
        <v>4336</v>
      </c>
      <c r="F349" s="22" t="s">
        <v>4337</v>
      </c>
      <c r="G349" s="22"/>
      <c r="H349" s="22" t="s">
        <v>4399</v>
      </c>
      <c r="I349" s="22" t="s">
        <v>3353</v>
      </c>
      <c r="J349" s="22" t="s">
        <v>4339</v>
      </c>
    </row>
    <row r="350" spans="1:10" ht="57" x14ac:dyDescent="0.2">
      <c r="A350" s="22" t="s">
        <v>2928</v>
      </c>
      <c r="B350" s="22">
        <v>2025</v>
      </c>
      <c r="C350" s="22" t="s">
        <v>4400</v>
      </c>
      <c r="D350" s="22" t="s">
        <v>4401</v>
      </c>
      <c r="E350" s="22" t="s">
        <v>4336</v>
      </c>
      <c r="F350" s="22" t="s">
        <v>4337</v>
      </c>
      <c r="G350" s="22"/>
      <c r="H350" s="22" t="s">
        <v>4402</v>
      </c>
      <c r="I350" s="22" t="s">
        <v>3510</v>
      </c>
      <c r="J350" s="22" t="s">
        <v>4339</v>
      </c>
    </row>
    <row r="351" spans="1:10" ht="171" x14ac:dyDescent="0.2">
      <c r="A351" s="22" t="s">
        <v>2936</v>
      </c>
      <c r="B351" s="22">
        <v>2025</v>
      </c>
      <c r="C351" s="22" t="s">
        <v>4403</v>
      </c>
      <c r="D351" s="22" t="s">
        <v>4404</v>
      </c>
      <c r="E351" s="22" t="s">
        <v>4336</v>
      </c>
      <c r="F351" s="22" t="s">
        <v>4337</v>
      </c>
      <c r="G351" s="22"/>
      <c r="H351" s="22" t="s">
        <v>4405</v>
      </c>
      <c r="I351" s="22" t="s">
        <v>3353</v>
      </c>
      <c r="J351" s="22" t="s">
        <v>4339</v>
      </c>
    </row>
    <row r="352" spans="1:10" ht="171" x14ac:dyDescent="0.2">
      <c r="A352" s="22" t="s">
        <v>2944</v>
      </c>
      <c r="B352" s="22">
        <v>2026</v>
      </c>
      <c r="C352" s="22" t="s">
        <v>4406</v>
      </c>
      <c r="D352" s="22" t="s">
        <v>4407</v>
      </c>
      <c r="E352" s="22" t="s">
        <v>4336</v>
      </c>
      <c r="F352" s="22" t="s">
        <v>4337</v>
      </c>
      <c r="G352" s="22"/>
      <c r="H352" s="22" t="s">
        <v>4408</v>
      </c>
      <c r="I352" s="22" t="s">
        <v>3353</v>
      </c>
      <c r="J352" s="22" t="s">
        <v>4339</v>
      </c>
    </row>
    <row r="353" spans="1:10" ht="133" x14ac:dyDescent="0.2">
      <c r="A353" s="22" t="s">
        <v>2952</v>
      </c>
      <c r="B353" s="22">
        <v>2026</v>
      </c>
      <c r="C353" s="22" t="s">
        <v>4409</v>
      </c>
      <c r="D353" s="22" t="s">
        <v>4410</v>
      </c>
      <c r="E353" s="22" t="s">
        <v>4336</v>
      </c>
      <c r="F353" s="22" t="s">
        <v>4337</v>
      </c>
      <c r="G353" s="22"/>
      <c r="H353" s="22" t="s">
        <v>4411</v>
      </c>
      <c r="I353" s="22" t="s">
        <v>3353</v>
      </c>
      <c r="J353" s="22" t="s">
        <v>4339</v>
      </c>
    </row>
    <row r="354" spans="1:10" ht="95" x14ac:dyDescent="0.2">
      <c r="A354" s="22" t="s">
        <v>2959</v>
      </c>
      <c r="B354" s="22">
        <v>2025</v>
      </c>
      <c r="C354" s="22" t="s">
        <v>4412</v>
      </c>
      <c r="D354" s="22" t="s">
        <v>4413</v>
      </c>
      <c r="E354" s="22" t="s">
        <v>4336</v>
      </c>
      <c r="F354" s="22" t="s">
        <v>4337</v>
      </c>
      <c r="G354" s="22"/>
      <c r="H354" s="22" t="s">
        <v>4414</v>
      </c>
      <c r="I354" s="22" t="s">
        <v>3353</v>
      </c>
      <c r="J354" s="22" t="s">
        <v>4339</v>
      </c>
    </row>
    <row r="355" spans="1:10" ht="133" x14ac:dyDescent="0.2">
      <c r="A355" s="22" t="s">
        <v>2967</v>
      </c>
      <c r="B355" s="22">
        <v>2025</v>
      </c>
      <c r="C355" s="22" t="s">
        <v>4415</v>
      </c>
      <c r="D355" s="22" t="s">
        <v>4416</v>
      </c>
      <c r="E355" s="22" t="s">
        <v>4336</v>
      </c>
      <c r="F355" s="22" t="s">
        <v>4337</v>
      </c>
      <c r="G355" s="22"/>
      <c r="H355" s="22" t="s">
        <v>4417</v>
      </c>
      <c r="I355" s="22" t="s">
        <v>3353</v>
      </c>
      <c r="J355" s="22" t="s">
        <v>4339</v>
      </c>
    </row>
    <row r="356" spans="1:10" ht="114" x14ac:dyDescent="0.2">
      <c r="A356" s="22" t="s">
        <v>2975</v>
      </c>
      <c r="B356" s="22">
        <v>2025</v>
      </c>
      <c r="C356" s="22" t="s">
        <v>4418</v>
      </c>
      <c r="D356" s="22" t="s">
        <v>4419</v>
      </c>
      <c r="E356" s="22" t="s">
        <v>4336</v>
      </c>
      <c r="F356" s="22" t="s">
        <v>4337</v>
      </c>
      <c r="G356" s="22"/>
      <c r="H356" s="22" t="s">
        <v>4420</v>
      </c>
      <c r="I356" s="22" t="s">
        <v>3353</v>
      </c>
      <c r="J356" s="22" t="s">
        <v>4339</v>
      </c>
    </row>
    <row r="357" spans="1:10" ht="114" x14ac:dyDescent="0.2">
      <c r="A357" s="22" t="s">
        <v>2983</v>
      </c>
      <c r="B357" s="22">
        <v>2026</v>
      </c>
      <c r="C357" s="22" t="s">
        <v>4421</v>
      </c>
      <c r="D357" s="22" t="s">
        <v>4422</v>
      </c>
      <c r="E357" s="22" t="s">
        <v>4336</v>
      </c>
      <c r="F357" s="22" t="s">
        <v>4337</v>
      </c>
      <c r="G357" s="22"/>
      <c r="H357" s="22" t="s">
        <v>4423</v>
      </c>
      <c r="I357" s="22" t="s">
        <v>3353</v>
      </c>
      <c r="J357" s="22" t="s">
        <v>4339</v>
      </c>
    </row>
    <row r="358" spans="1:10" ht="57" x14ac:dyDescent="0.2">
      <c r="A358" s="22" t="s">
        <v>2989</v>
      </c>
      <c r="B358" s="22">
        <v>2026</v>
      </c>
      <c r="C358" s="22" t="s">
        <v>4424</v>
      </c>
      <c r="D358" s="22" t="s">
        <v>4425</v>
      </c>
      <c r="E358" s="22" t="s">
        <v>4336</v>
      </c>
      <c r="F358" s="22" t="s">
        <v>4337</v>
      </c>
      <c r="G358" s="22"/>
      <c r="H358" s="22" t="s">
        <v>4426</v>
      </c>
      <c r="I358" s="22" t="s">
        <v>3361</v>
      </c>
      <c r="J358" s="22" t="s">
        <v>4339</v>
      </c>
    </row>
    <row r="359" spans="1:10" ht="114" x14ac:dyDescent="0.2">
      <c r="A359" s="22" t="s">
        <v>2996</v>
      </c>
      <c r="B359" s="22">
        <v>2026</v>
      </c>
      <c r="C359" s="22" t="s">
        <v>4427</v>
      </c>
      <c r="D359" s="22" t="s">
        <v>4428</v>
      </c>
      <c r="E359" s="22" t="s">
        <v>4336</v>
      </c>
      <c r="F359" s="22" t="s">
        <v>4337</v>
      </c>
      <c r="G359" s="22"/>
      <c r="H359" s="22" t="s">
        <v>4429</v>
      </c>
      <c r="I359" s="22" t="s">
        <v>3353</v>
      </c>
      <c r="J359" s="22" t="s">
        <v>4339</v>
      </c>
    </row>
    <row r="360" spans="1:10" ht="76" x14ac:dyDescent="0.2">
      <c r="A360" s="22" t="s">
        <v>3004</v>
      </c>
      <c r="B360" s="22">
        <v>2024</v>
      </c>
      <c r="C360" s="22" t="s">
        <v>4430</v>
      </c>
      <c r="D360" s="22" t="s">
        <v>4431</v>
      </c>
      <c r="E360" s="22" t="s">
        <v>4336</v>
      </c>
      <c r="F360" s="22" t="s">
        <v>4337</v>
      </c>
      <c r="G360" s="22"/>
      <c r="H360" s="22" t="s">
        <v>4432</v>
      </c>
      <c r="I360" s="22" t="s">
        <v>3353</v>
      </c>
      <c r="J360" s="22" t="s">
        <v>4339</v>
      </c>
    </row>
    <row r="361" spans="1:10" ht="133" x14ac:dyDescent="0.2">
      <c r="A361" s="22" t="s">
        <v>3012</v>
      </c>
      <c r="B361" s="22">
        <v>2025</v>
      </c>
      <c r="C361" s="22" t="s">
        <v>4433</v>
      </c>
      <c r="D361" s="22" t="s">
        <v>4434</v>
      </c>
      <c r="E361" s="22" t="s">
        <v>4336</v>
      </c>
      <c r="F361" s="22" t="s">
        <v>4337</v>
      </c>
      <c r="G361" s="22"/>
      <c r="H361" s="22" t="s">
        <v>4435</v>
      </c>
      <c r="I361" s="22" t="s">
        <v>3353</v>
      </c>
      <c r="J361" s="22" t="s">
        <v>4339</v>
      </c>
    </row>
    <row r="362" spans="1:10" ht="114" x14ac:dyDescent="0.2">
      <c r="A362" s="22" t="s">
        <v>3020</v>
      </c>
      <c r="B362" s="22">
        <v>2026</v>
      </c>
      <c r="C362" s="22" t="s">
        <v>4436</v>
      </c>
      <c r="D362" s="22" t="s">
        <v>4437</v>
      </c>
      <c r="E362" s="22" t="s">
        <v>4336</v>
      </c>
      <c r="F362" s="22" t="s">
        <v>4337</v>
      </c>
      <c r="G362" s="22"/>
      <c r="H362" s="22" t="s">
        <v>4438</v>
      </c>
      <c r="I362" s="22" t="s">
        <v>3353</v>
      </c>
      <c r="J362" s="22" t="s">
        <v>4339</v>
      </c>
    </row>
    <row r="363" spans="1:10" ht="114" x14ac:dyDescent="0.2">
      <c r="A363" s="22" t="s">
        <v>3028</v>
      </c>
      <c r="B363" s="22">
        <v>2026</v>
      </c>
      <c r="C363" s="22" t="s">
        <v>4439</v>
      </c>
      <c r="D363" s="22" t="s">
        <v>4440</v>
      </c>
      <c r="E363" s="22" t="s">
        <v>4336</v>
      </c>
      <c r="F363" s="22" t="s">
        <v>4337</v>
      </c>
      <c r="G363" s="22"/>
      <c r="H363" s="22" t="s">
        <v>4441</v>
      </c>
      <c r="I363" s="22" t="s">
        <v>3353</v>
      </c>
      <c r="J363" s="22" t="s">
        <v>4339</v>
      </c>
    </row>
    <row r="364" spans="1:10" ht="133" x14ac:dyDescent="0.2">
      <c r="A364" s="22" t="s">
        <v>3035</v>
      </c>
      <c r="B364" s="22">
        <v>2024</v>
      </c>
      <c r="C364" s="22" t="s">
        <v>4442</v>
      </c>
      <c r="D364" s="22" t="s">
        <v>4443</v>
      </c>
      <c r="E364" s="22" t="s">
        <v>4336</v>
      </c>
      <c r="F364" s="22" t="s">
        <v>4337</v>
      </c>
      <c r="G364" s="22"/>
      <c r="H364" s="22" t="s">
        <v>4444</v>
      </c>
      <c r="I364" s="22" t="s">
        <v>3353</v>
      </c>
      <c r="J364" s="22" t="s">
        <v>4339</v>
      </c>
    </row>
    <row r="365" spans="1:10" ht="95" x14ac:dyDescent="0.2">
      <c r="A365" s="22" t="s">
        <v>3043</v>
      </c>
      <c r="B365" s="22">
        <v>2026</v>
      </c>
      <c r="C365" s="22" t="s">
        <v>4445</v>
      </c>
      <c r="D365" s="22" t="s">
        <v>4446</v>
      </c>
      <c r="E365" s="22" t="s">
        <v>4336</v>
      </c>
      <c r="F365" s="22" t="s">
        <v>4337</v>
      </c>
      <c r="G365" s="22"/>
      <c r="H365" s="22" t="s">
        <v>4447</v>
      </c>
      <c r="I365" s="22" t="s">
        <v>3353</v>
      </c>
      <c r="J365" s="22" t="s">
        <v>4339</v>
      </c>
    </row>
    <row r="366" spans="1:10" ht="95" x14ac:dyDescent="0.2">
      <c r="A366" s="22" t="s">
        <v>3051</v>
      </c>
      <c r="B366" s="22">
        <v>2025</v>
      </c>
      <c r="C366" s="22" t="s">
        <v>4448</v>
      </c>
      <c r="D366" s="22" t="s">
        <v>4449</v>
      </c>
      <c r="E366" s="22" t="s">
        <v>4336</v>
      </c>
      <c r="F366" s="22" t="s">
        <v>4337</v>
      </c>
      <c r="G366" s="22"/>
      <c r="H366" s="22" t="s">
        <v>4450</v>
      </c>
      <c r="I366" s="22" t="s">
        <v>3353</v>
      </c>
      <c r="J366" s="22" t="s">
        <v>4339</v>
      </c>
    </row>
    <row r="367" spans="1:10" ht="95" x14ac:dyDescent="0.2">
      <c r="A367" s="22" t="s">
        <v>3051</v>
      </c>
      <c r="B367" s="22">
        <v>2025</v>
      </c>
      <c r="C367" s="22" t="s">
        <v>4451</v>
      </c>
      <c r="D367" s="22" t="s">
        <v>4452</v>
      </c>
      <c r="E367" s="22" t="s">
        <v>4336</v>
      </c>
      <c r="F367" s="22" t="s">
        <v>4337</v>
      </c>
      <c r="G367" s="22"/>
      <c r="H367" s="22" t="s">
        <v>4453</v>
      </c>
      <c r="I367" s="22" t="s">
        <v>3353</v>
      </c>
      <c r="J367" s="22" t="s">
        <v>4339</v>
      </c>
    </row>
    <row r="368" spans="1:10" ht="57" x14ac:dyDescent="0.2">
      <c r="A368" s="22" t="s">
        <v>3058</v>
      </c>
      <c r="B368" s="22">
        <v>2025</v>
      </c>
      <c r="C368" s="22" t="s">
        <v>4454</v>
      </c>
      <c r="D368" s="22" t="s">
        <v>4455</v>
      </c>
      <c r="E368" s="22" t="s">
        <v>4336</v>
      </c>
      <c r="F368" s="22" t="s">
        <v>4337</v>
      </c>
      <c r="G368" s="22"/>
      <c r="H368" s="22" t="s">
        <v>4456</v>
      </c>
      <c r="I368" s="22" t="s">
        <v>3510</v>
      </c>
      <c r="J368" s="22" t="s">
        <v>4339</v>
      </c>
    </row>
    <row r="369" spans="1:10" ht="76" x14ac:dyDescent="0.2">
      <c r="A369" s="22" t="s">
        <v>3065</v>
      </c>
      <c r="B369" s="22">
        <v>2026</v>
      </c>
      <c r="C369" s="22" t="s">
        <v>4457</v>
      </c>
      <c r="D369" s="22" t="s">
        <v>4458</v>
      </c>
      <c r="E369" s="22" t="s">
        <v>4336</v>
      </c>
      <c r="F369" s="22" t="s">
        <v>4337</v>
      </c>
      <c r="G369" s="22"/>
      <c r="H369" s="22" t="s">
        <v>4459</v>
      </c>
      <c r="I369" s="22" t="s">
        <v>3353</v>
      </c>
      <c r="J369" s="22" t="s">
        <v>4339</v>
      </c>
    </row>
    <row r="370" spans="1:10" ht="114" x14ac:dyDescent="0.2">
      <c r="A370" s="22" t="s">
        <v>3072</v>
      </c>
      <c r="B370" s="22">
        <v>2026</v>
      </c>
      <c r="C370" s="22" t="s">
        <v>4460</v>
      </c>
      <c r="D370" s="22" t="s">
        <v>4461</v>
      </c>
      <c r="E370" s="22" t="s">
        <v>4336</v>
      </c>
      <c r="F370" s="22" t="s">
        <v>4337</v>
      </c>
      <c r="G370" s="22"/>
      <c r="H370" s="22" t="s">
        <v>4462</v>
      </c>
      <c r="I370" s="22" t="s">
        <v>3353</v>
      </c>
      <c r="J370" s="22" t="s">
        <v>4339</v>
      </c>
    </row>
    <row r="371" spans="1:10" ht="76" x14ac:dyDescent="0.2">
      <c r="A371" s="22" t="s">
        <v>3072</v>
      </c>
      <c r="B371" s="22">
        <v>2026</v>
      </c>
      <c r="C371" s="22" t="s">
        <v>4463</v>
      </c>
      <c r="D371" s="22" t="s">
        <v>4464</v>
      </c>
      <c r="E371" s="22" t="s">
        <v>4336</v>
      </c>
      <c r="F371" s="22" t="s">
        <v>4337</v>
      </c>
      <c r="G371" s="22"/>
      <c r="H371" s="22" t="s">
        <v>4465</v>
      </c>
      <c r="I371" s="22" t="s">
        <v>3353</v>
      </c>
      <c r="J371" s="22" t="s">
        <v>4339</v>
      </c>
    </row>
    <row r="372" spans="1:10" ht="133" x14ac:dyDescent="0.2">
      <c r="A372" s="22" t="s">
        <v>3080</v>
      </c>
      <c r="B372" s="22">
        <v>2026</v>
      </c>
      <c r="C372" s="22" t="s">
        <v>4466</v>
      </c>
      <c r="D372" s="22" t="s">
        <v>4467</v>
      </c>
      <c r="E372" s="22" t="s">
        <v>4336</v>
      </c>
      <c r="F372" s="22" t="s">
        <v>4337</v>
      </c>
      <c r="G372" s="22"/>
      <c r="H372" s="22" t="s">
        <v>4468</v>
      </c>
      <c r="I372" s="22" t="s">
        <v>3353</v>
      </c>
      <c r="J372" s="22" t="s">
        <v>4339</v>
      </c>
    </row>
    <row r="373" spans="1:10" ht="114" x14ac:dyDescent="0.2">
      <c r="A373" s="22" t="s">
        <v>3080</v>
      </c>
      <c r="B373" s="22">
        <v>2026</v>
      </c>
      <c r="C373" s="22" t="s">
        <v>4469</v>
      </c>
      <c r="D373" s="22" t="s">
        <v>4470</v>
      </c>
      <c r="E373" s="22" t="s">
        <v>4336</v>
      </c>
      <c r="F373" s="22" t="s">
        <v>4337</v>
      </c>
      <c r="G373" s="22"/>
      <c r="H373" s="22" t="s">
        <v>4471</v>
      </c>
      <c r="I373" s="22" t="s">
        <v>3353</v>
      </c>
      <c r="J373" s="22" t="s">
        <v>4339</v>
      </c>
    </row>
    <row r="374" spans="1:10" ht="95" x14ac:dyDescent="0.2">
      <c r="A374" s="22" t="s">
        <v>3087</v>
      </c>
      <c r="B374" s="22">
        <v>2026</v>
      </c>
      <c r="C374" s="22" t="s">
        <v>4472</v>
      </c>
      <c r="D374" s="22" t="s">
        <v>4473</v>
      </c>
      <c r="E374" s="22" t="s">
        <v>4336</v>
      </c>
      <c r="F374" s="22" t="s">
        <v>4337</v>
      </c>
      <c r="G374" s="22"/>
      <c r="H374" s="22" t="s">
        <v>4474</v>
      </c>
      <c r="I374" s="22" t="s">
        <v>3353</v>
      </c>
      <c r="J374" s="22" t="s">
        <v>4339</v>
      </c>
    </row>
    <row r="375" spans="1:10" ht="114" x14ac:dyDescent="0.2">
      <c r="A375" s="22" t="s">
        <v>3095</v>
      </c>
      <c r="B375" s="22">
        <v>2026</v>
      </c>
      <c r="C375" s="22" t="s">
        <v>4475</v>
      </c>
      <c r="D375" s="22" t="s">
        <v>4476</v>
      </c>
      <c r="E375" s="22" t="s">
        <v>4336</v>
      </c>
      <c r="F375" s="22" t="s">
        <v>4337</v>
      </c>
      <c r="G375" s="22"/>
      <c r="H375" s="22" t="s">
        <v>4477</v>
      </c>
      <c r="I375" s="22" t="s">
        <v>3353</v>
      </c>
      <c r="J375" s="22" t="s">
        <v>4339</v>
      </c>
    </row>
    <row r="376" spans="1:10" ht="190" x14ac:dyDescent="0.2">
      <c r="A376" s="22" t="s">
        <v>3102</v>
      </c>
      <c r="B376" s="22">
        <v>2026</v>
      </c>
      <c r="C376" s="22" t="s">
        <v>4478</v>
      </c>
      <c r="D376" s="22" t="s">
        <v>4479</v>
      </c>
      <c r="E376" s="22" t="s">
        <v>4336</v>
      </c>
      <c r="F376" s="22" t="s">
        <v>4337</v>
      </c>
      <c r="G376" s="22"/>
      <c r="H376" s="22" t="s">
        <v>4480</v>
      </c>
      <c r="I376" s="22" t="s">
        <v>3353</v>
      </c>
      <c r="J376" s="22" t="s">
        <v>4339</v>
      </c>
    </row>
    <row r="377" spans="1:10" ht="152" x14ac:dyDescent="0.2">
      <c r="A377" s="22" t="s">
        <v>3117</v>
      </c>
      <c r="B377" s="22">
        <v>2026</v>
      </c>
      <c r="C377" s="22" t="s">
        <v>4481</v>
      </c>
      <c r="D377" s="22" t="s">
        <v>4482</v>
      </c>
      <c r="E377" s="22" t="s">
        <v>4336</v>
      </c>
      <c r="F377" s="22" t="s">
        <v>4337</v>
      </c>
      <c r="G377" s="22"/>
      <c r="H377" s="22" t="s">
        <v>4483</v>
      </c>
      <c r="I377" s="22" t="s">
        <v>3353</v>
      </c>
      <c r="J377" s="22" t="s">
        <v>4339</v>
      </c>
    </row>
    <row r="378" spans="1:10" ht="133" x14ac:dyDescent="0.2">
      <c r="A378" s="22" t="s">
        <v>3125</v>
      </c>
      <c r="B378" s="22">
        <v>2025</v>
      </c>
      <c r="C378" s="22" t="s">
        <v>4484</v>
      </c>
      <c r="D378" s="22" t="s">
        <v>4485</v>
      </c>
      <c r="E378" s="22" t="s">
        <v>4336</v>
      </c>
      <c r="F378" s="22" t="s">
        <v>4337</v>
      </c>
      <c r="G378" s="22"/>
      <c r="H378" s="22" t="s">
        <v>4486</v>
      </c>
      <c r="I378" s="22" t="s">
        <v>3353</v>
      </c>
      <c r="J378" s="22" t="s">
        <v>4339</v>
      </c>
    </row>
    <row r="379" spans="1:10" ht="95" x14ac:dyDescent="0.2">
      <c r="A379" s="22" t="s">
        <v>3132</v>
      </c>
      <c r="B379" s="22">
        <v>2026</v>
      </c>
      <c r="C379" s="22" t="s">
        <v>4487</v>
      </c>
      <c r="D379" s="22" t="s">
        <v>4488</v>
      </c>
      <c r="E379" s="22" t="s">
        <v>4336</v>
      </c>
      <c r="F379" s="22" t="s">
        <v>4337</v>
      </c>
      <c r="G379" s="22"/>
      <c r="H379" s="22" t="s">
        <v>4489</v>
      </c>
      <c r="I379" s="22" t="s">
        <v>3353</v>
      </c>
      <c r="J379" s="22" t="s">
        <v>4339</v>
      </c>
    </row>
    <row r="380" spans="1:10" ht="76" x14ac:dyDescent="0.2">
      <c r="A380" s="22" t="s">
        <v>3140</v>
      </c>
      <c r="B380" s="22">
        <v>2026</v>
      </c>
      <c r="C380" s="22" t="s">
        <v>4490</v>
      </c>
      <c r="D380" s="22" t="s">
        <v>4491</v>
      </c>
      <c r="E380" s="22" t="s">
        <v>4336</v>
      </c>
      <c r="F380" s="22" t="s">
        <v>4337</v>
      </c>
      <c r="G380" s="22"/>
      <c r="H380" s="22" t="s">
        <v>4492</v>
      </c>
      <c r="I380" s="22" t="s">
        <v>3353</v>
      </c>
      <c r="J380" s="22" t="s">
        <v>4339</v>
      </c>
    </row>
    <row r="381" spans="1:10" ht="95" x14ac:dyDescent="0.2">
      <c r="A381" s="22" t="s">
        <v>3147</v>
      </c>
      <c r="B381" s="22">
        <v>2026</v>
      </c>
      <c r="C381" s="22" t="s">
        <v>4493</v>
      </c>
      <c r="D381" s="22" t="s">
        <v>4494</v>
      </c>
      <c r="E381" s="22" t="s">
        <v>4336</v>
      </c>
      <c r="F381" s="22" t="s">
        <v>4337</v>
      </c>
      <c r="G381" s="22"/>
      <c r="H381" s="22" t="s">
        <v>4495</v>
      </c>
      <c r="I381" s="22" t="s">
        <v>3353</v>
      </c>
      <c r="J381" s="22" t="s">
        <v>4339</v>
      </c>
    </row>
    <row r="382" spans="1:10" ht="133" x14ac:dyDescent="0.2">
      <c r="A382" s="22" t="s">
        <v>3163</v>
      </c>
      <c r="B382" s="22">
        <v>2025</v>
      </c>
      <c r="C382" s="22" t="s">
        <v>4496</v>
      </c>
      <c r="D382" s="22" t="s">
        <v>4497</v>
      </c>
      <c r="E382" s="22" t="s">
        <v>4336</v>
      </c>
      <c r="F382" s="22" t="s">
        <v>4337</v>
      </c>
      <c r="G382" s="22"/>
      <c r="H382" s="22" t="s">
        <v>4498</v>
      </c>
      <c r="I382" s="22" t="s">
        <v>3353</v>
      </c>
      <c r="J382" s="22" t="s">
        <v>4339</v>
      </c>
    </row>
    <row r="383" spans="1:10" ht="114" x14ac:dyDescent="0.2">
      <c r="A383" s="22" t="s">
        <v>3171</v>
      </c>
      <c r="B383" s="22">
        <v>2026</v>
      </c>
      <c r="C383" s="22" t="s">
        <v>4499</v>
      </c>
      <c r="D383" s="22" t="s">
        <v>4500</v>
      </c>
      <c r="E383" s="22" t="s">
        <v>4336</v>
      </c>
      <c r="F383" s="22" t="s">
        <v>4337</v>
      </c>
      <c r="G383" s="22"/>
      <c r="H383" s="22" t="s">
        <v>4501</v>
      </c>
      <c r="I383" s="22" t="s">
        <v>3353</v>
      </c>
      <c r="J383" s="22" t="s">
        <v>4339</v>
      </c>
    </row>
    <row r="384" spans="1:10" ht="95" x14ac:dyDescent="0.2">
      <c r="A384" s="22" t="s">
        <v>3179</v>
      </c>
      <c r="B384" s="22">
        <v>2026</v>
      </c>
      <c r="C384" s="22" t="s">
        <v>4502</v>
      </c>
      <c r="D384" s="22" t="s">
        <v>4503</v>
      </c>
      <c r="E384" s="22" t="s">
        <v>4336</v>
      </c>
      <c r="F384" s="22" t="s">
        <v>4337</v>
      </c>
      <c r="G384" s="22"/>
      <c r="H384" s="22" t="s">
        <v>4504</v>
      </c>
      <c r="I384" s="22" t="s">
        <v>3353</v>
      </c>
      <c r="J384" s="22" t="s">
        <v>4339</v>
      </c>
    </row>
    <row r="385" spans="1:10" ht="95" x14ac:dyDescent="0.2">
      <c r="A385" s="22" t="s">
        <v>3187</v>
      </c>
      <c r="B385" s="22">
        <v>2026</v>
      </c>
      <c r="C385" s="22" t="s">
        <v>4505</v>
      </c>
      <c r="D385" s="22" t="s">
        <v>4506</v>
      </c>
      <c r="E385" s="22" t="s">
        <v>4336</v>
      </c>
      <c r="F385" s="22" t="s">
        <v>4337</v>
      </c>
      <c r="G385" s="22"/>
      <c r="H385" s="22" t="s">
        <v>4507</v>
      </c>
      <c r="I385" s="22" t="s">
        <v>3353</v>
      </c>
      <c r="J385" s="22" t="s">
        <v>4339</v>
      </c>
    </row>
    <row r="386" spans="1:10" ht="114" x14ac:dyDescent="0.2">
      <c r="A386" s="22" t="s">
        <v>3201</v>
      </c>
      <c r="B386" s="22">
        <v>2026</v>
      </c>
      <c r="C386" s="22" t="s">
        <v>4508</v>
      </c>
      <c r="D386" s="22" t="s">
        <v>4509</v>
      </c>
      <c r="E386" s="22" t="s">
        <v>4336</v>
      </c>
      <c r="F386" s="22" t="s">
        <v>4337</v>
      </c>
      <c r="G386" s="22"/>
      <c r="H386" s="22" t="s">
        <v>4510</v>
      </c>
      <c r="I386" s="22" t="s">
        <v>3353</v>
      </c>
      <c r="J386" s="22" t="s">
        <v>4339</v>
      </c>
    </row>
    <row r="387" spans="1:10" ht="171" x14ac:dyDescent="0.2">
      <c r="A387" s="22" t="s">
        <v>3209</v>
      </c>
      <c r="B387" s="22">
        <v>2026</v>
      </c>
      <c r="C387" s="22" t="s">
        <v>4511</v>
      </c>
      <c r="D387" s="22" t="s">
        <v>4512</v>
      </c>
      <c r="E387" s="22" t="s">
        <v>4336</v>
      </c>
      <c r="F387" s="22" t="s">
        <v>4337</v>
      </c>
      <c r="G387" s="22"/>
      <c r="H387" s="22" t="s">
        <v>4513</v>
      </c>
      <c r="I387" s="22" t="s">
        <v>3353</v>
      </c>
      <c r="J387" s="22" t="s">
        <v>4339</v>
      </c>
    </row>
    <row r="388" spans="1:10" ht="95" x14ac:dyDescent="0.2">
      <c r="A388" s="22" t="s">
        <v>3217</v>
      </c>
      <c r="B388" s="22">
        <v>2026</v>
      </c>
      <c r="C388" s="22" t="s">
        <v>4514</v>
      </c>
      <c r="D388" s="22" t="s">
        <v>4515</v>
      </c>
      <c r="E388" s="22" t="s">
        <v>4336</v>
      </c>
      <c r="F388" s="22" t="s">
        <v>4337</v>
      </c>
      <c r="G388" s="22"/>
      <c r="H388" s="22" t="s">
        <v>4516</v>
      </c>
      <c r="I388" s="22" t="s">
        <v>3353</v>
      </c>
      <c r="J388" s="22" t="s">
        <v>4339</v>
      </c>
    </row>
    <row r="389" spans="1:10" ht="133" x14ac:dyDescent="0.2">
      <c r="A389" s="22" t="s">
        <v>3223</v>
      </c>
      <c r="B389" s="22">
        <v>2026</v>
      </c>
      <c r="C389" s="22" t="s">
        <v>4517</v>
      </c>
      <c r="D389" s="22" t="s">
        <v>4518</v>
      </c>
      <c r="E389" s="22" t="s">
        <v>4336</v>
      </c>
      <c r="F389" s="22" t="s">
        <v>4337</v>
      </c>
      <c r="G389" s="22"/>
      <c r="H389" s="22" t="s">
        <v>4519</v>
      </c>
      <c r="I389" s="22" t="s">
        <v>3353</v>
      </c>
      <c r="J389" s="22" t="s">
        <v>4339</v>
      </c>
    </row>
    <row r="390" spans="1:10" ht="76" x14ac:dyDescent="0.2">
      <c r="A390" s="22" t="s">
        <v>3229</v>
      </c>
      <c r="B390" s="22">
        <v>2025</v>
      </c>
      <c r="C390" s="22" t="s">
        <v>4520</v>
      </c>
      <c r="D390" s="22" t="s">
        <v>4521</v>
      </c>
      <c r="E390" s="22" t="s">
        <v>4336</v>
      </c>
      <c r="F390" s="22" t="s">
        <v>4337</v>
      </c>
      <c r="G390" s="22"/>
      <c r="H390" s="22" t="s">
        <v>4522</v>
      </c>
      <c r="I390" s="22" t="s">
        <v>3353</v>
      </c>
      <c r="J390" s="22" t="s">
        <v>4339</v>
      </c>
    </row>
    <row r="391" spans="1:10" ht="95" x14ac:dyDescent="0.2">
      <c r="A391" s="22" t="s">
        <v>3236</v>
      </c>
      <c r="B391" s="22">
        <v>2025</v>
      </c>
      <c r="C391" s="22" t="s">
        <v>4523</v>
      </c>
      <c r="D391" s="22" t="s">
        <v>4524</v>
      </c>
      <c r="E391" s="22" t="s">
        <v>4336</v>
      </c>
      <c r="F391" s="22" t="s">
        <v>4337</v>
      </c>
      <c r="G391" s="22"/>
      <c r="H391" s="22" t="s">
        <v>4525</v>
      </c>
      <c r="I391" s="22" t="s">
        <v>3353</v>
      </c>
      <c r="J391" s="22" t="s">
        <v>4339</v>
      </c>
    </row>
    <row r="392" spans="1:10" ht="114" x14ac:dyDescent="0.2">
      <c r="A392" s="22" t="s">
        <v>3243</v>
      </c>
      <c r="B392" s="22">
        <v>2026</v>
      </c>
      <c r="C392" s="22" t="s">
        <v>4526</v>
      </c>
      <c r="D392" s="22" t="s">
        <v>4527</v>
      </c>
      <c r="E392" s="22" t="s">
        <v>4336</v>
      </c>
      <c r="F392" s="22" t="s">
        <v>4337</v>
      </c>
      <c r="G392" s="22"/>
      <c r="H392" s="22" t="s">
        <v>4528</v>
      </c>
      <c r="I392" s="22" t="s">
        <v>3353</v>
      </c>
      <c r="J392" s="22" t="s">
        <v>4339</v>
      </c>
    </row>
    <row r="393" spans="1:10" ht="95" x14ac:dyDescent="0.2">
      <c r="A393" s="22" t="s">
        <v>3248</v>
      </c>
      <c r="B393" s="22">
        <v>2024</v>
      </c>
      <c r="C393" s="22" t="s">
        <v>4529</v>
      </c>
      <c r="D393" s="22" t="s">
        <v>4530</v>
      </c>
      <c r="E393" s="22" t="s">
        <v>4336</v>
      </c>
      <c r="F393" s="22" t="s">
        <v>4337</v>
      </c>
      <c r="G393" s="22"/>
      <c r="H393" s="22" t="s">
        <v>4531</v>
      </c>
      <c r="I393" s="22" t="s">
        <v>3353</v>
      </c>
      <c r="J393" s="22" t="s">
        <v>4339</v>
      </c>
    </row>
    <row r="394" spans="1:10" ht="57" x14ac:dyDescent="0.2">
      <c r="A394" s="22" t="s">
        <v>3256</v>
      </c>
      <c r="B394" s="22">
        <v>2024</v>
      </c>
      <c r="C394" s="22" t="s">
        <v>4532</v>
      </c>
      <c r="D394" s="22" t="s">
        <v>4533</v>
      </c>
      <c r="E394" s="22" t="s">
        <v>4336</v>
      </c>
      <c r="F394" s="22" t="s">
        <v>4337</v>
      </c>
      <c r="G394" s="22"/>
      <c r="H394" s="22" t="s">
        <v>4534</v>
      </c>
      <c r="I394" s="22" t="s">
        <v>3510</v>
      </c>
      <c r="J394" s="22" t="s">
        <v>4339</v>
      </c>
    </row>
    <row r="395" spans="1:10" ht="76" x14ac:dyDescent="0.2">
      <c r="A395" s="22" t="s">
        <v>3264</v>
      </c>
      <c r="B395" s="22">
        <v>2024</v>
      </c>
      <c r="C395" s="22" t="s">
        <v>4535</v>
      </c>
      <c r="D395" s="22" t="s">
        <v>4536</v>
      </c>
      <c r="E395" s="22" t="s">
        <v>4336</v>
      </c>
      <c r="F395" s="22" t="s">
        <v>4337</v>
      </c>
      <c r="G395" s="22"/>
      <c r="H395" s="22" t="s">
        <v>4537</v>
      </c>
      <c r="I395" s="22" t="s">
        <v>3353</v>
      </c>
      <c r="J395" s="22" t="s">
        <v>4339</v>
      </c>
    </row>
    <row r="396" spans="1:10" ht="95" x14ac:dyDescent="0.2">
      <c r="A396" s="22" t="s">
        <v>3272</v>
      </c>
      <c r="B396" s="22">
        <v>2024</v>
      </c>
      <c r="C396" s="22" t="s">
        <v>4538</v>
      </c>
      <c r="D396" s="22" t="s">
        <v>4539</v>
      </c>
      <c r="E396" s="22" t="s">
        <v>4336</v>
      </c>
      <c r="F396" s="22" t="s">
        <v>4337</v>
      </c>
      <c r="G396" s="22"/>
      <c r="H396" s="22" t="s">
        <v>4540</v>
      </c>
      <c r="I396" s="22" t="s">
        <v>3353</v>
      </c>
      <c r="J396" s="22" t="s">
        <v>4339</v>
      </c>
    </row>
    <row r="397" spans="1:10" ht="152" x14ac:dyDescent="0.2">
      <c r="A397" s="22" t="s">
        <v>3278</v>
      </c>
      <c r="B397" s="22">
        <v>2025</v>
      </c>
      <c r="C397" s="22" t="s">
        <v>4541</v>
      </c>
      <c r="D397" s="22" t="s">
        <v>4542</v>
      </c>
      <c r="E397" s="22" t="s">
        <v>4336</v>
      </c>
      <c r="F397" s="22" t="s">
        <v>4337</v>
      </c>
      <c r="G397" s="22"/>
      <c r="H397" s="22" t="s">
        <v>4543</v>
      </c>
      <c r="I397" s="22" t="s">
        <v>3353</v>
      </c>
      <c r="J397" s="22" t="s">
        <v>4339</v>
      </c>
    </row>
    <row r="398" spans="1:10" ht="95" x14ac:dyDescent="0.2">
      <c r="A398" s="22" t="s">
        <v>3286</v>
      </c>
      <c r="B398" s="22">
        <v>2025</v>
      </c>
      <c r="C398" s="22" t="s">
        <v>4544</v>
      </c>
      <c r="D398" s="22" t="s">
        <v>4545</v>
      </c>
      <c r="E398" s="22" t="s">
        <v>4336</v>
      </c>
      <c r="F398" s="22" t="s">
        <v>4337</v>
      </c>
      <c r="G398" s="22"/>
      <c r="H398" s="22" t="s">
        <v>4546</v>
      </c>
      <c r="I398" s="22" t="s">
        <v>3353</v>
      </c>
      <c r="J398" s="22" t="s">
        <v>4339</v>
      </c>
    </row>
    <row r="399" spans="1:10" ht="114" x14ac:dyDescent="0.2">
      <c r="A399" s="22" t="s">
        <v>3290</v>
      </c>
      <c r="B399" s="22">
        <v>2024</v>
      </c>
      <c r="C399" s="22" t="s">
        <v>4547</v>
      </c>
      <c r="D399" s="22" t="s">
        <v>4548</v>
      </c>
      <c r="E399" s="22" t="s">
        <v>4336</v>
      </c>
      <c r="F399" s="22" t="s">
        <v>4337</v>
      </c>
      <c r="G399" s="22"/>
      <c r="H399" s="22" t="s">
        <v>4549</v>
      </c>
      <c r="I399" s="22" t="s">
        <v>3353</v>
      </c>
      <c r="J399" s="22" t="s">
        <v>4339</v>
      </c>
    </row>
    <row r="400" spans="1:10" ht="95" x14ac:dyDescent="0.2">
      <c r="A400" s="22" t="s">
        <v>3298</v>
      </c>
      <c r="B400" s="22">
        <v>2024</v>
      </c>
      <c r="C400" s="22" t="s">
        <v>4550</v>
      </c>
      <c r="D400" s="22" t="s">
        <v>4551</v>
      </c>
      <c r="E400" s="22" t="s">
        <v>4336</v>
      </c>
      <c r="F400" s="22" t="s">
        <v>4337</v>
      </c>
      <c r="G400" s="22"/>
      <c r="H400" s="22" t="s">
        <v>4552</v>
      </c>
      <c r="I400" s="22" t="s">
        <v>3353</v>
      </c>
      <c r="J400" s="22" t="s">
        <v>4339</v>
      </c>
    </row>
    <row r="401" spans="1:10" ht="95" x14ac:dyDescent="0.2">
      <c r="A401" s="22" t="s">
        <v>3306</v>
      </c>
      <c r="B401" s="22">
        <v>2024</v>
      </c>
      <c r="C401" s="22" t="s">
        <v>4553</v>
      </c>
      <c r="D401" s="22" t="s">
        <v>4554</v>
      </c>
      <c r="E401" s="22" t="s">
        <v>4336</v>
      </c>
      <c r="F401" s="22" t="s">
        <v>4337</v>
      </c>
      <c r="G401" s="22"/>
      <c r="H401" s="22" t="s">
        <v>3597</v>
      </c>
      <c r="I401" s="22" t="s">
        <v>3353</v>
      </c>
      <c r="J401" s="22" t="s">
        <v>4339</v>
      </c>
    </row>
    <row r="402" spans="1:10" ht="114" x14ac:dyDescent="0.2">
      <c r="A402" s="22" t="s">
        <v>3313</v>
      </c>
      <c r="B402" s="22">
        <v>2026</v>
      </c>
      <c r="C402" s="22" t="s">
        <v>4555</v>
      </c>
      <c r="D402" s="22" t="s">
        <v>4556</v>
      </c>
      <c r="E402" s="22" t="s">
        <v>4336</v>
      </c>
      <c r="F402" s="22" t="s">
        <v>4337</v>
      </c>
      <c r="G402" s="22"/>
      <c r="H402" s="22" t="s">
        <v>4557</v>
      </c>
      <c r="I402" s="22" t="s">
        <v>3353</v>
      </c>
      <c r="J402" s="22" t="s">
        <v>4339</v>
      </c>
    </row>
    <row r="403" spans="1:10" ht="133" x14ac:dyDescent="0.2">
      <c r="A403" s="22" t="s">
        <v>3318</v>
      </c>
      <c r="B403" s="22">
        <v>2025</v>
      </c>
      <c r="C403" s="22" t="s">
        <v>4558</v>
      </c>
      <c r="D403" s="22" t="s">
        <v>4559</v>
      </c>
      <c r="E403" s="22" t="s">
        <v>4336</v>
      </c>
      <c r="F403" s="22" t="s">
        <v>4337</v>
      </c>
      <c r="G403" s="22"/>
      <c r="H403" s="22" t="s">
        <v>4560</v>
      </c>
      <c r="I403" s="22" t="s">
        <v>3353</v>
      </c>
      <c r="J403" s="22" t="s">
        <v>4339</v>
      </c>
    </row>
    <row r="404" spans="1:10" ht="114" x14ac:dyDescent="0.2">
      <c r="A404" s="22" t="s">
        <v>3325</v>
      </c>
      <c r="B404" s="22">
        <v>2026</v>
      </c>
      <c r="C404" s="22" t="s">
        <v>4561</v>
      </c>
      <c r="D404" s="22" t="s">
        <v>4562</v>
      </c>
      <c r="E404" s="22" t="s">
        <v>4336</v>
      </c>
      <c r="F404" s="22" t="s">
        <v>4337</v>
      </c>
      <c r="G404" s="22"/>
      <c r="H404" s="22" t="s">
        <v>4563</v>
      </c>
      <c r="I404" s="22" t="s">
        <v>3353</v>
      </c>
      <c r="J404" s="22" t="s">
        <v>4339</v>
      </c>
    </row>
    <row r="405" spans="1:10" ht="57" x14ac:dyDescent="0.2">
      <c r="A405" s="22" t="s">
        <v>3332</v>
      </c>
      <c r="B405" s="22">
        <v>2026</v>
      </c>
      <c r="C405" s="22" t="s">
        <v>4564</v>
      </c>
      <c r="D405" s="22" t="s">
        <v>4565</v>
      </c>
      <c r="E405" s="22" t="s">
        <v>4336</v>
      </c>
      <c r="F405" s="22" t="s">
        <v>4337</v>
      </c>
      <c r="G405" s="22"/>
      <c r="H405" s="22" t="s">
        <v>4566</v>
      </c>
      <c r="I405" s="22" t="s">
        <v>3510</v>
      </c>
      <c r="J405" s="22" t="s">
        <v>4339</v>
      </c>
    </row>
    <row r="406" spans="1:10" ht="95" x14ac:dyDescent="0.2">
      <c r="A406" s="22" t="s">
        <v>2825</v>
      </c>
      <c r="B406" s="22">
        <v>2025</v>
      </c>
      <c r="C406" s="22" t="s">
        <v>4567</v>
      </c>
      <c r="D406" s="22" t="s">
        <v>4568</v>
      </c>
      <c r="E406" s="22" t="s">
        <v>4569</v>
      </c>
      <c r="F406" s="22" t="s">
        <v>4337</v>
      </c>
      <c r="G406" s="22"/>
      <c r="H406" s="22" t="s">
        <v>4570</v>
      </c>
      <c r="I406" s="22" t="s">
        <v>3353</v>
      </c>
      <c r="J406" s="22" t="s">
        <v>4339</v>
      </c>
    </row>
    <row r="407" spans="1:10" ht="76" x14ac:dyDescent="0.2">
      <c r="A407" s="22" t="s">
        <v>2833</v>
      </c>
      <c r="B407" s="22">
        <v>2026</v>
      </c>
      <c r="C407" s="22" t="s">
        <v>4571</v>
      </c>
      <c r="D407" s="22" t="s">
        <v>4572</v>
      </c>
      <c r="E407" s="22" t="s">
        <v>4569</v>
      </c>
      <c r="F407" s="22" t="s">
        <v>4337</v>
      </c>
      <c r="G407" s="22"/>
      <c r="H407" s="22" t="s">
        <v>4573</v>
      </c>
      <c r="I407" s="22" t="s">
        <v>3353</v>
      </c>
      <c r="J407" s="22" t="s">
        <v>4339</v>
      </c>
    </row>
    <row r="408" spans="1:10" ht="95" x14ac:dyDescent="0.2">
      <c r="A408" s="22" t="s">
        <v>2841</v>
      </c>
      <c r="B408" s="22">
        <v>2026</v>
      </c>
      <c r="C408" s="22" t="s">
        <v>4574</v>
      </c>
      <c r="D408" s="22" t="s">
        <v>4575</v>
      </c>
      <c r="E408" s="22" t="s">
        <v>4569</v>
      </c>
      <c r="F408" s="22" t="s">
        <v>4337</v>
      </c>
      <c r="G408" s="22"/>
      <c r="H408" s="22" t="s">
        <v>4576</v>
      </c>
      <c r="I408" s="22" t="s">
        <v>3353</v>
      </c>
      <c r="J408" s="22" t="s">
        <v>4339</v>
      </c>
    </row>
    <row r="409" spans="1:10" ht="76" x14ac:dyDescent="0.2">
      <c r="A409" s="22" t="s">
        <v>2841</v>
      </c>
      <c r="B409" s="22">
        <v>2026</v>
      </c>
      <c r="C409" s="22" t="s">
        <v>4577</v>
      </c>
      <c r="D409" s="22" t="s">
        <v>4578</v>
      </c>
      <c r="E409" s="22" t="s">
        <v>4569</v>
      </c>
      <c r="F409" s="22" t="s">
        <v>4337</v>
      </c>
      <c r="G409" s="22"/>
      <c r="H409" s="22" t="s">
        <v>4579</v>
      </c>
      <c r="I409" s="22" t="s">
        <v>3353</v>
      </c>
      <c r="J409" s="22" t="s">
        <v>4339</v>
      </c>
    </row>
    <row r="410" spans="1:10" ht="95" x14ac:dyDescent="0.2">
      <c r="A410" s="22" t="s">
        <v>2849</v>
      </c>
      <c r="B410" s="22">
        <v>2026</v>
      </c>
      <c r="C410" s="22" t="s">
        <v>4580</v>
      </c>
      <c r="D410" s="22" t="s">
        <v>4581</v>
      </c>
      <c r="E410" s="22" t="s">
        <v>4569</v>
      </c>
      <c r="F410" s="22" t="s">
        <v>4337</v>
      </c>
      <c r="G410" s="22"/>
      <c r="H410" s="22" t="s">
        <v>4582</v>
      </c>
      <c r="I410" s="22" t="s">
        <v>3353</v>
      </c>
      <c r="J410" s="22" t="s">
        <v>4339</v>
      </c>
    </row>
    <row r="411" spans="1:10" ht="95" x14ac:dyDescent="0.2">
      <c r="A411" s="22" t="s">
        <v>2857</v>
      </c>
      <c r="B411" s="22">
        <v>2026</v>
      </c>
      <c r="C411" s="22" t="s">
        <v>4583</v>
      </c>
      <c r="D411" s="22" t="s">
        <v>4584</v>
      </c>
      <c r="E411" s="22" t="s">
        <v>4569</v>
      </c>
      <c r="F411" s="22" t="s">
        <v>4337</v>
      </c>
      <c r="G411" s="22"/>
      <c r="H411" s="22" t="s">
        <v>4585</v>
      </c>
      <c r="I411" s="22" t="s">
        <v>3353</v>
      </c>
      <c r="J411" s="22" t="s">
        <v>4339</v>
      </c>
    </row>
    <row r="412" spans="1:10" ht="76" x14ac:dyDescent="0.2">
      <c r="A412" s="22" t="s">
        <v>2865</v>
      </c>
      <c r="B412" s="22">
        <v>2025</v>
      </c>
      <c r="C412" s="22" t="s">
        <v>4586</v>
      </c>
      <c r="D412" s="22" t="s">
        <v>4587</v>
      </c>
      <c r="E412" s="22" t="s">
        <v>4569</v>
      </c>
      <c r="F412" s="22" t="s">
        <v>4337</v>
      </c>
      <c r="G412" s="22"/>
      <c r="H412" s="22" t="s">
        <v>4588</v>
      </c>
      <c r="I412" s="22" t="s">
        <v>3353</v>
      </c>
      <c r="J412" s="22" t="s">
        <v>4339</v>
      </c>
    </row>
    <row r="413" spans="1:10" ht="95" x14ac:dyDescent="0.2">
      <c r="A413" s="22" t="s">
        <v>2873</v>
      </c>
      <c r="B413" s="22">
        <v>2025</v>
      </c>
      <c r="C413" s="22" t="s">
        <v>4589</v>
      </c>
      <c r="D413" s="22" t="s">
        <v>4590</v>
      </c>
      <c r="E413" s="22" t="s">
        <v>4569</v>
      </c>
      <c r="F413" s="22" t="s">
        <v>4337</v>
      </c>
      <c r="G413" s="22"/>
      <c r="H413" s="22" t="s">
        <v>4591</v>
      </c>
      <c r="I413" s="22" t="s">
        <v>3353</v>
      </c>
      <c r="J413" s="22" t="s">
        <v>4339</v>
      </c>
    </row>
    <row r="414" spans="1:10" ht="95" x14ac:dyDescent="0.2">
      <c r="A414" s="22" t="s">
        <v>2881</v>
      </c>
      <c r="B414" s="22">
        <v>2026</v>
      </c>
      <c r="C414" s="22" t="s">
        <v>4592</v>
      </c>
      <c r="D414" s="22" t="s">
        <v>4593</v>
      </c>
      <c r="E414" s="22" t="s">
        <v>4569</v>
      </c>
      <c r="F414" s="22" t="s">
        <v>4337</v>
      </c>
      <c r="G414" s="22"/>
      <c r="H414" s="22" t="s">
        <v>4594</v>
      </c>
      <c r="I414" s="22" t="s">
        <v>3353</v>
      </c>
      <c r="J414" s="22" t="s">
        <v>4339</v>
      </c>
    </row>
    <row r="415" spans="1:10" ht="95" x14ac:dyDescent="0.2">
      <c r="A415" s="22" t="s">
        <v>2889</v>
      </c>
      <c r="B415" s="22">
        <v>2026</v>
      </c>
      <c r="C415" s="22" t="s">
        <v>4595</v>
      </c>
      <c r="D415" s="22" t="s">
        <v>4596</v>
      </c>
      <c r="E415" s="22" t="s">
        <v>4569</v>
      </c>
      <c r="F415" s="22" t="s">
        <v>4337</v>
      </c>
      <c r="G415" s="22"/>
      <c r="H415" s="22" t="s">
        <v>4597</v>
      </c>
      <c r="I415" s="22" t="s">
        <v>3353</v>
      </c>
      <c r="J415" s="22" t="s">
        <v>4339</v>
      </c>
    </row>
    <row r="416" spans="1:10" ht="76" x14ac:dyDescent="0.2">
      <c r="A416" s="22" t="s">
        <v>2897</v>
      </c>
      <c r="B416" s="22">
        <v>2026</v>
      </c>
      <c r="C416" s="22" t="s">
        <v>4598</v>
      </c>
      <c r="D416" s="22" t="s">
        <v>4599</v>
      </c>
      <c r="E416" s="22" t="s">
        <v>4569</v>
      </c>
      <c r="F416" s="22" t="s">
        <v>4337</v>
      </c>
      <c r="G416" s="22"/>
      <c r="H416" s="22" t="s">
        <v>4600</v>
      </c>
      <c r="I416" s="22" t="s">
        <v>3353</v>
      </c>
      <c r="J416" s="22" t="s">
        <v>4339</v>
      </c>
    </row>
    <row r="417" spans="1:10" ht="95" x14ac:dyDescent="0.2">
      <c r="A417" s="22" t="s">
        <v>2897</v>
      </c>
      <c r="B417" s="22">
        <v>2026</v>
      </c>
      <c r="C417" s="22" t="s">
        <v>4601</v>
      </c>
      <c r="D417" s="22" t="s">
        <v>4602</v>
      </c>
      <c r="E417" s="22" t="s">
        <v>4569</v>
      </c>
      <c r="F417" s="22" t="s">
        <v>4337</v>
      </c>
      <c r="G417" s="22"/>
      <c r="H417" s="22" t="s">
        <v>4603</v>
      </c>
      <c r="I417" s="22" t="s">
        <v>3353</v>
      </c>
      <c r="J417" s="22" t="s">
        <v>4339</v>
      </c>
    </row>
    <row r="418" spans="1:10" ht="133" x14ac:dyDescent="0.2">
      <c r="A418" s="22" t="s">
        <v>2904</v>
      </c>
      <c r="B418" s="22">
        <v>2026</v>
      </c>
      <c r="C418" s="22" t="s">
        <v>4604</v>
      </c>
      <c r="D418" s="22" t="s">
        <v>4605</v>
      </c>
      <c r="E418" s="22" t="s">
        <v>4569</v>
      </c>
      <c r="F418" s="22" t="s">
        <v>4337</v>
      </c>
      <c r="G418" s="22"/>
      <c r="H418" s="22" t="s">
        <v>4606</v>
      </c>
      <c r="I418" s="22" t="s">
        <v>3353</v>
      </c>
      <c r="J418" s="22" t="s">
        <v>4339</v>
      </c>
    </row>
    <row r="419" spans="1:10" ht="114" x14ac:dyDescent="0.2">
      <c r="A419" s="22" t="s">
        <v>2912</v>
      </c>
      <c r="B419" s="22">
        <v>2026</v>
      </c>
      <c r="C419" s="22" t="s">
        <v>4607</v>
      </c>
      <c r="D419" s="22" t="s">
        <v>4608</v>
      </c>
      <c r="E419" s="22" t="s">
        <v>4569</v>
      </c>
      <c r="F419" s="22" t="s">
        <v>4337</v>
      </c>
      <c r="G419" s="22"/>
      <c r="H419" s="22" t="s">
        <v>4609</v>
      </c>
      <c r="I419" s="22" t="s">
        <v>3353</v>
      </c>
      <c r="J419" s="22" t="s">
        <v>4339</v>
      </c>
    </row>
    <row r="420" spans="1:10" ht="152" x14ac:dyDescent="0.2">
      <c r="A420" s="22" t="s">
        <v>2920</v>
      </c>
      <c r="B420" s="22">
        <v>2026</v>
      </c>
      <c r="C420" s="22" t="s">
        <v>4610</v>
      </c>
      <c r="D420" s="22" t="s">
        <v>4611</v>
      </c>
      <c r="E420" s="22" t="s">
        <v>4569</v>
      </c>
      <c r="F420" s="22" t="s">
        <v>4337</v>
      </c>
      <c r="G420" s="22"/>
      <c r="H420" s="22" t="s">
        <v>4612</v>
      </c>
      <c r="I420" s="22" t="s">
        <v>3353</v>
      </c>
      <c r="J420" s="22" t="s">
        <v>4339</v>
      </c>
    </row>
    <row r="421" spans="1:10" ht="171" x14ac:dyDescent="0.2">
      <c r="A421" s="22" t="s">
        <v>2920</v>
      </c>
      <c r="B421" s="22">
        <v>2026</v>
      </c>
      <c r="C421" s="22" t="s">
        <v>4613</v>
      </c>
      <c r="D421" s="22" t="s">
        <v>4614</v>
      </c>
      <c r="E421" s="22" t="s">
        <v>4569</v>
      </c>
      <c r="F421" s="22" t="s">
        <v>4337</v>
      </c>
      <c r="G421" s="22"/>
      <c r="H421" s="22" t="s">
        <v>4615</v>
      </c>
      <c r="I421" s="22" t="s">
        <v>3353</v>
      </c>
      <c r="J421" s="22" t="s">
        <v>4339</v>
      </c>
    </row>
    <row r="422" spans="1:10" ht="133" x14ac:dyDescent="0.2">
      <c r="A422" s="22" t="s">
        <v>2928</v>
      </c>
      <c r="B422" s="22">
        <v>2025</v>
      </c>
      <c r="C422" s="22" t="s">
        <v>4616</v>
      </c>
      <c r="D422" s="22" t="s">
        <v>4617</v>
      </c>
      <c r="E422" s="22" t="s">
        <v>4569</v>
      </c>
      <c r="F422" s="22" t="s">
        <v>4337</v>
      </c>
      <c r="G422" s="22"/>
      <c r="H422" s="22" t="s">
        <v>4618</v>
      </c>
      <c r="I422" s="22" t="s">
        <v>3353</v>
      </c>
      <c r="J422" s="22" t="s">
        <v>4339</v>
      </c>
    </row>
    <row r="423" spans="1:10" ht="114" x14ac:dyDescent="0.2">
      <c r="A423" s="22" t="s">
        <v>2928</v>
      </c>
      <c r="B423" s="22">
        <v>2025</v>
      </c>
      <c r="C423" s="22" t="s">
        <v>4619</v>
      </c>
      <c r="D423" s="22" t="s">
        <v>4620</v>
      </c>
      <c r="E423" s="22" t="s">
        <v>4569</v>
      </c>
      <c r="F423" s="22" t="s">
        <v>4337</v>
      </c>
      <c r="G423" s="22"/>
      <c r="H423" s="22" t="s">
        <v>4621</v>
      </c>
      <c r="I423" s="22" t="s">
        <v>3353</v>
      </c>
      <c r="J423" s="22" t="s">
        <v>4339</v>
      </c>
    </row>
    <row r="424" spans="1:10" ht="57" x14ac:dyDescent="0.2">
      <c r="A424" s="22" t="s">
        <v>2928</v>
      </c>
      <c r="B424" s="22">
        <v>2025</v>
      </c>
      <c r="C424" s="22" t="s">
        <v>4622</v>
      </c>
      <c r="D424" s="22" t="s">
        <v>4623</v>
      </c>
      <c r="E424" s="22" t="s">
        <v>4569</v>
      </c>
      <c r="F424" s="22" t="s">
        <v>4337</v>
      </c>
      <c r="G424" s="22"/>
      <c r="H424" s="22" t="s">
        <v>4624</v>
      </c>
      <c r="I424" s="22" t="s">
        <v>3353</v>
      </c>
      <c r="J424" s="22" t="s">
        <v>4339</v>
      </c>
    </row>
    <row r="425" spans="1:10" ht="95" x14ac:dyDescent="0.2">
      <c r="A425" s="22" t="s">
        <v>2936</v>
      </c>
      <c r="B425" s="22">
        <v>2025</v>
      </c>
      <c r="C425" s="22" t="s">
        <v>4625</v>
      </c>
      <c r="D425" s="22" t="s">
        <v>4626</v>
      </c>
      <c r="E425" s="22" t="s">
        <v>4569</v>
      </c>
      <c r="F425" s="22" t="s">
        <v>4337</v>
      </c>
      <c r="G425" s="22"/>
      <c r="H425" s="22" t="s">
        <v>4627</v>
      </c>
      <c r="I425" s="22" t="s">
        <v>3353</v>
      </c>
      <c r="J425" s="22" t="s">
        <v>4339</v>
      </c>
    </row>
    <row r="426" spans="1:10" ht="133" x14ac:dyDescent="0.2">
      <c r="A426" s="22" t="s">
        <v>2944</v>
      </c>
      <c r="B426" s="22">
        <v>2026</v>
      </c>
      <c r="C426" s="22" t="s">
        <v>4628</v>
      </c>
      <c r="D426" s="22" t="s">
        <v>4629</v>
      </c>
      <c r="E426" s="22" t="s">
        <v>4569</v>
      </c>
      <c r="F426" s="22" t="s">
        <v>4337</v>
      </c>
      <c r="G426" s="22"/>
      <c r="H426" s="22" t="s">
        <v>4630</v>
      </c>
      <c r="I426" s="22" t="s">
        <v>3353</v>
      </c>
      <c r="J426" s="22" t="s">
        <v>4339</v>
      </c>
    </row>
    <row r="427" spans="1:10" ht="114" x14ac:dyDescent="0.2">
      <c r="A427" s="22" t="s">
        <v>2952</v>
      </c>
      <c r="B427" s="22">
        <v>2026</v>
      </c>
      <c r="C427" s="22" t="s">
        <v>4631</v>
      </c>
      <c r="D427" s="22" t="s">
        <v>4632</v>
      </c>
      <c r="E427" s="22" t="s">
        <v>4569</v>
      </c>
      <c r="F427" s="22" t="s">
        <v>4337</v>
      </c>
      <c r="G427" s="22"/>
      <c r="H427" s="22" t="s">
        <v>4633</v>
      </c>
      <c r="I427" s="22" t="s">
        <v>3353</v>
      </c>
      <c r="J427" s="22" t="s">
        <v>4339</v>
      </c>
    </row>
    <row r="428" spans="1:10" ht="114" x14ac:dyDescent="0.2">
      <c r="A428" s="22" t="s">
        <v>2952</v>
      </c>
      <c r="B428" s="22">
        <v>2026</v>
      </c>
      <c r="C428" s="22" t="s">
        <v>4634</v>
      </c>
      <c r="D428" s="22" t="s">
        <v>4635</v>
      </c>
      <c r="E428" s="22" t="s">
        <v>4569</v>
      </c>
      <c r="F428" s="22" t="s">
        <v>4337</v>
      </c>
      <c r="G428" s="22"/>
      <c r="H428" s="22" t="s">
        <v>4636</v>
      </c>
      <c r="I428" s="22" t="s">
        <v>3353</v>
      </c>
      <c r="J428" s="22" t="s">
        <v>4339</v>
      </c>
    </row>
    <row r="429" spans="1:10" ht="57" x14ac:dyDescent="0.2">
      <c r="A429" s="22" t="s">
        <v>2959</v>
      </c>
      <c r="B429" s="22">
        <v>2025</v>
      </c>
      <c r="C429" s="22" t="s">
        <v>4637</v>
      </c>
      <c r="D429" s="22" t="s">
        <v>4638</v>
      </c>
      <c r="E429" s="22" t="s">
        <v>4569</v>
      </c>
      <c r="F429" s="22" t="s">
        <v>4337</v>
      </c>
      <c r="G429" s="22"/>
      <c r="H429" s="22" t="s">
        <v>4639</v>
      </c>
      <c r="I429" s="22" t="s">
        <v>3510</v>
      </c>
      <c r="J429" s="22" t="s">
        <v>4339</v>
      </c>
    </row>
    <row r="430" spans="1:10" ht="95" x14ac:dyDescent="0.2">
      <c r="A430" s="22" t="s">
        <v>2967</v>
      </c>
      <c r="B430" s="22">
        <v>2025</v>
      </c>
      <c r="C430" s="22" t="s">
        <v>4640</v>
      </c>
      <c r="D430" s="22" t="s">
        <v>4641</v>
      </c>
      <c r="E430" s="22" t="s">
        <v>4569</v>
      </c>
      <c r="F430" s="22" t="s">
        <v>4337</v>
      </c>
      <c r="G430" s="22"/>
      <c r="H430" s="22" t="s">
        <v>4642</v>
      </c>
      <c r="I430" s="22" t="s">
        <v>3510</v>
      </c>
      <c r="J430" s="22" t="s">
        <v>4339</v>
      </c>
    </row>
    <row r="431" spans="1:10" ht="95" x14ac:dyDescent="0.2">
      <c r="A431" s="22" t="s">
        <v>2975</v>
      </c>
      <c r="B431" s="22">
        <v>2025</v>
      </c>
      <c r="C431" s="22" t="s">
        <v>4643</v>
      </c>
      <c r="D431" s="22" t="s">
        <v>4644</v>
      </c>
      <c r="E431" s="22" t="s">
        <v>4569</v>
      </c>
      <c r="F431" s="22" t="s">
        <v>4337</v>
      </c>
      <c r="G431" s="22"/>
      <c r="H431" s="22" t="s">
        <v>4645</v>
      </c>
      <c r="I431" s="22" t="s">
        <v>3353</v>
      </c>
      <c r="J431" s="22" t="s">
        <v>4339</v>
      </c>
    </row>
    <row r="432" spans="1:10" ht="114" x14ac:dyDescent="0.2">
      <c r="A432" s="22" t="s">
        <v>2983</v>
      </c>
      <c r="B432" s="22">
        <v>2026</v>
      </c>
      <c r="C432" s="22" t="s">
        <v>4646</v>
      </c>
      <c r="D432" s="22" t="s">
        <v>4647</v>
      </c>
      <c r="E432" s="22" t="s">
        <v>4569</v>
      </c>
      <c r="F432" s="22" t="s">
        <v>4337</v>
      </c>
      <c r="G432" s="22"/>
      <c r="H432" s="22" t="s">
        <v>4648</v>
      </c>
      <c r="I432" s="22" t="s">
        <v>3353</v>
      </c>
      <c r="J432" s="22" t="s">
        <v>4339</v>
      </c>
    </row>
    <row r="433" spans="1:10" ht="114" x14ac:dyDescent="0.2">
      <c r="A433" s="22" t="s">
        <v>2996</v>
      </c>
      <c r="B433" s="22">
        <v>2026</v>
      </c>
      <c r="C433" s="22" t="s">
        <v>4649</v>
      </c>
      <c r="D433" s="22" t="s">
        <v>4650</v>
      </c>
      <c r="E433" s="22" t="s">
        <v>4569</v>
      </c>
      <c r="F433" s="22" t="s">
        <v>4337</v>
      </c>
      <c r="G433" s="22"/>
      <c r="H433" s="22" t="s">
        <v>4651</v>
      </c>
      <c r="I433" s="22" t="s">
        <v>3353</v>
      </c>
      <c r="J433" s="22" t="s">
        <v>4339</v>
      </c>
    </row>
    <row r="434" spans="1:10" ht="76" x14ac:dyDescent="0.2">
      <c r="A434" s="22" t="s">
        <v>3004</v>
      </c>
      <c r="B434" s="22">
        <v>2024</v>
      </c>
      <c r="C434" s="22" t="s">
        <v>4652</v>
      </c>
      <c r="D434" s="22" t="s">
        <v>4653</v>
      </c>
      <c r="E434" s="22" t="s">
        <v>4569</v>
      </c>
      <c r="F434" s="22" t="s">
        <v>4337</v>
      </c>
      <c r="G434" s="22"/>
      <c r="H434" s="22" t="s">
        <v>4654</v>
      </c>
      <c r="I434" s="22" t="s">
        <v>3510</v>
      </c>
      <c r="J434" s="22" t="s">
        <v>4339</v>
      </c>
    </row>
    <row r="435" spans="1:10" ht="76" x14ac:dyDescent="0.2">
      <c r="A435" s="22" t="s">
        <v>3012</v>
      </c>
      <c r="B435" s="22">
        <v>2025</v>
      </c>
      <c r="C435" s="22" t="s">
        <v>4655</v>
      </c>
      <c r="D435" s="22" t="s">
        <v>4656</v>
      </c>
      <c r="E435" s="22" t="s">
        <v>4569</v>
      </c>
      <c r="F435" s="22" t="s">
        <v>4337</v>
      </c>
      <c r="G435" s="22"/>
      <c r="H435" s="22" t="s">
        <v>4657</v>
      </c>
      <c r="I435" s="22" t="s">
        <v>3510</v>
      </c>
      <c r="J435" s="22" t="s">
        <v>4339</v>
      </c>
    </row>
    <row r="436" spans="1:10" ht="95" x14ac:dyDescent="0.2">
      <c r="A436" s="22" t="s">
        <v>3020</v>
      </c>
      <c r="B436" s="22">
        <v>2026</v>
      </c>
      <c r="C436" s="22" t="s">
        <v>4658</v>
      </c>
      <c r="D436" s="22" t="s">
        <v>4659</v>
      </c>
      <c r="E436" s="22" t="s">
        <v>4569</v>
      </c>
      <c r="F436" s="22" t="s">
        <v>4337</v>
      </c>
      <c r="G436" s="22"/>
      <c r="H436" s="22" t="s">
        <v>4660</v>
      </c>
      <c r="I436" s="22" t="s">
        <v>3353</v>
      </c>
      <c r="J436" s="22" t="s">
        <v>4339</v>
      </c>
    </row>
    <row r="437" spans="1:10" ht="76" x14ac:dyDescent="0.2">
      <c r="A437" s="22" t="s">
        <v>3028</v>
      </c>
      <c r="B437" s="22">
        <v>2026</v>
      </c>
      <c r="C437" s="22" t="s">
        <v>4661</v>
      </c>
      <c r="D437" s="22" t="s">
        <v>4662</v>
      </c>
      <c r="E437" s="22" t="s">
        <v>4569</v>
      </c>
      <c r="F437" s="22" t="s">
        <v>4337</v>
      </c>
      <c r="G437" s="22"/>
      <c r="H437" s="22" t="s">
        <v>4663</v>
      </c>
      <c r="I437" s="22" t="s">
        <v>3510</v>
      </c>
      <c r="J437" s="22" t="s">
        <v>4339</v>
      </c>
    </row>
    <row r="438" spans="1:10" ht="114" x14ac:dyDescent="0.2">
      <c r="A438" s="22" t="s">
        <v>3035</v>
      </c>
      <c r="B438" s="22">
        <v>2024</v>
      </c>
      <c r="C438" s="22" t="s">
        <v>4664</v>
      </c>
      <c r="D438" s="22" t="s">
        <v>4665</v>
      </c>
      <c r="E438" s="22" t="s">
        <v>4569</v>
      </c>
      <c r="F438" s="22" t="s">
        <v>4337</v>
      </c>
      <c r="G438" s="22"/>
      <c r="H438" s="22" t="s">
        <v>4666</v>
      </c>
      <c r="I438" s="22" t="s">
        <v>3353</v>
      </c>
      <c r="J438" s="22" t="s">
        <v>4339</v>
      </c>
    </row>
    <row r="439" spans="1:10" ht="133" x14ac:dyDescent="0.2">
      <c r="A439" s="22" t="s">
        <v>3043</v>
      </c>
      <c r="B439" s="22">
        <v>2026</v>
      </c>
      <c r="C439" s="22" t="s">
        <v>4667</v>
      </c>
      <c r="D439" s="22" t="s">
        <v>4668</v>
      </c>
      <c r="E439" s="22" t="s">
        <v>4569</v>
      </c>
      <c r="F439" s="22" t="s">
        <v>4337</v>
      </c>
      <c r="G439" s="22"/>
      <c r="H439" s="22" t="s">
        <v>4669</v>
      </c>
      <c r="I439" s="22" t="s">
        <v>3353</v>
      </c>
      <c r="J439" s="22" t="s">
        <v>4339</v>
      </c>
    </row>
    <row r="440" spans="1:10" ht="76" x14ac:dyDescent="0.2">
      <c r="A440" s="22" t="s">
        <v>3051</v>
      </c>
      <c r="B440" s="22">
        <v>2025</v>
      </c>
      <c r="C440" s="22" t="s">
        <v>4670</v>
      </c>
      <c r="D440" s="22" t="s">
        <v>4671</v>
      </c>
      <c r="E440" s="22" t="s">
        <v>4569</v>
      </c>
      <c r="F440" s="22" t="s">
        <v>4337</v>
      </c>
      <c r="G440" s="22"/>
      <c r="H440" s="22" t="s">
        <v>4672</v>
      </c>
      <c r="I440" s="22" t="s">
        <v>3510</v>
      </c>
      <c r="J440" s="22" t="s">
        <v>4339</v>
      </c>
    </row>
    <row r="441" spans="1:10" ht="95" x14ac:dyDescent="0.2">
      <c r="A441" s="22" t="s">
        <v>3058</v>
      </c>
      <c r="B441" s="22">
        <v>2025</v>
      </c>
      <c r="C441" s="22" t="s">
        <v>4673</v>
      </c>
      <c r="D441" s="22" t="s">
        <v>4674</v>
      </c>
      <c r="E441" s="22" t="s">
        <v>4569</v>
      </c>
      <c r="F441" s="22" t="s">
        <v>4337</v>
      </c>
      <c r="G441" s="22"/>
      <c r="H441" s="22" t="s">
        <v>4675</v>
      </c>
      <c r="I441" s="22" t="s">
        <v>3353</v>
      </c>
      <c r="J441" s="22" t="s">
        <v>4339</v>
      </c>
    </row>
    <row r="442" spans="1:10" ht="114" x14ac:dyDescent="0.2">
      <c r="A442" s="22" t="s">
        <v>3065</v>
      </c>
      <c r="B442" s="22">
        <v>2026</v>
      </c>
      <c r="C442" s="22" t="s">
        <v>4676</v>
      </c>
      <c r="D442" s="22" t="s">
        <v>4677</v>
      </c>
      <c r="E442" s="22" t="s">
        <v>4569</v>
      </c>
      <c r="F442" s="22" t="s">
        <v>4337</v>
      </c>
      <c r="G442" s="22"/>
      <c r="H442" s="22" t="s">
        <v>4678</v>
      </c>
      <c r="I442" s="22" t="s">
        <v>3353</v>
      </c>
      <c r="J442" s="22" t="s">
        <v>4339</v>
      </c>
    </row>
    <row r="443" spans="1:10" ht="152" x14ac:dyDescent="0.2">
      <c r="A443" s="22" t="s">
        <v>3072</v>
      </c>
      <c r="B443" s="22">
        <v>2026</v>
      </c>
      <c r="C443" s="22" t="s">
        <v>4679</v>
      </c>
      <c r="D443" s="22" t="s">
        <v>4680</v>
      </c>
      <c r="E443" s="22" t="s">
        <v>4569</v>
      </c>
      <c r="F443" s="22" t="s">
        <v>4337</v>
      </c>
      <c r="G443" s="22"/>
      <c r="H443" s="22" t="s">
        <v>4681</v>
      </c>
      <c r="I443" s="22" t="s">
        <v>3353</v>
      </c>
      <c r="J443" s="22" t="s">
        <v>4339</v>
      </c>
    </row>
    <row r="444" spans="1:10" ht="95" x14ac:dyDescent="0.2">
      <c r="A444" s="22" t="s">
        <v>3080</v>
      </c>
      <c r="B444" s="22">
        <v>2026</v>
      </c>
      <c r="C444" s="22" t="s">
        <v>4682</v>
      </c>
      <c r="D444" s="22" t="s">
        <v>4683</v>
      </c>
      <c r="E444" s="22" t="s">
        <v>4569</v>
      </c>
      <c r="F444" s="22" t="s">
        <v>4337</v>
      </c>
      <c r="G444" s="22"/>
      <c r="H444" s="22" t="s">
        <v>4468</v>
      </c>
      <c r="I444" s="22" t="s">
        <v>3353</v>
      </c>
      <c r="J444" s="22" t="s">
        <v>4339</v>
      </c>
    </row>
    <row r="445" spans="1:10" ht="133" x14ac:dyDescent="0.2">
      <c r="A445" s="22" t="s">
        <v>3087</v>
      </c>
      <c r="B445" s="22">
        <v>2026</v>
      </c>
      <c r="C445" s="22" t="s">
        <v>4684</v>
      </c>
      <c r="D445" s="22" t="s">
        <v>4685</v>
      </c>
      <c r="E445" s="22" t="s">
        <v>4569</v>
      </c>
      <c r="F445" s="22" t="s">
        <v>4337</v>
      </c>
      <c r="G445" s="22"/>
      <c r="H445" s="22" t="s">
        <v>4686</v>
      </c>
      <c r="I445" s="22" t="s">
        <v>3353</v>
      </c>
      <c r="J445" s="22" t="s">
        <v>4339</v>
      </c>
    </row>
    <row r="446" spans="1:10" ht="57" x14ac:dyDescent="0.2">
      <c r="A446" s="22" t="s">
        <v>3095</v>
      </c>
      <c r="B446" s="22">
        <v>2026</v>
      </c>
      <c r="C446" s="22" t="s">
        <v>4687</v>
      </c>
      <c r="D446" s="22" t="s">
        <v>4671</v>
      </c>
      <c r="E446" s="22" t="s">
        <v>4569</v>
      </c>
      <c r="F446" s="22" t="s">
        <v>4337</v>
      </c>
      <c r="G446" s="22"/>
      <c r="H446" s="22" t="s">
        <v>4688</v>
      </c>
      <c r="I446" s="22" t="s">
        <v>3510</v>
      </c>
      <c r="J446" s="22" t="s">
        <v>4339</v>
      </c>
    </row>
    <row r="447" spans="1:10" ht="95" x14ac:dyDescent="0.2">
      <c r="A447" s="22" t="s">
        <v>3102</v>
      </c>
      <c r="B447" s="22">
        <v>2026</v>
      </c>
      <c r="C447" s="22" t="s">
        <v>4689</v>
      </c>
      <c r="D447" s="22" t="s">
        <v>4641</v>
      </c>
      <c r="E447" s="22" t="s">
        <v>4569</v>
      </c>
      <c r="F447" s="22" t="s">
        <v>4337</v>
      </c>
      <c r="G447" s="22"/>
      <c r="H447" s="22" t="s">
        <v>4690</v>
      </c>
      <c r="I447" s="22" t="s">
        <v>3510</v>
      </c>
      <c r="J447" s="22" t="s">
        <v>4339</v>
      </c>
    </row>
    <row r="448" spans="1:10" ht="114" x14ac:dyDescent="0.2">
      <c r="A448" s="22" t="s">
        <v>3109</v>
      </c>
      <c r="B448" s="22">
        <v>2026</v>
      </c>
      <c r="C448" s="22" t="s">
        <v>4691</v>
      </c>
      <c r="D448" s="22" t="s">
        <v>4692</v>
      </c>
      <c r="E448" s="22" t="s">
        <v>4569</v>
      </c>
      <c r="F448" s="22" t="s">
        <v>4337</v>
      </c>
      <c r="G448" s="22"/>
      <c r="H448" s="22" t="s">
        <v>4693</v>
      </c>
      <c r="I448" s="22" t="s">
        <v>3353</v>
      </c>
      <c r="J448" s="22" t="s">
        <v>4339</v>
      </c>
    </row>
    <row r="449" spans="1:10" ht="133" x14ac:dyDescent="0.2">
      <c r="A449" s="22" t="s">
        <v>3117</v>
      </c>
      <c r="B449" s="22">
        <v>2026</v>
      </c>
      <c r="C449" s="22" t="s">
        <v>4694</v>
      </c>
      <c r="D449" s="22" t="s">
        <v>4695</v>
      </c>
      <c r="E449" s="22" t="s">
        <v>4569</v>
      </c>
      <c r="F449" s="22" t="s">
        <v>4337</v>
      </c>
      <c r="G449" s="22"/>
      <c r="H449" s="22" t="s">
        <v>4696</v>
      </c>
      <c r="I449" s="22" t="s">
        <v>3353</v>
      </c>
      <c r="J449" s="22" t="s">
        <v>4339</v>
      </c>
    </row>
    <row r="450" spans="1:10" ht="133" x14ac:dyDescent="0.2">
      <c r="A450" s="22" t="s">
        <v>3125</v>
      </c>
      <c r="B450" s="22">
        <v>2025</v>
      </c>
      <c r="C450" s="22" t="s">
        <v>4697</v>
      </c>
      <c r="D450" s="22" t="s">
        <v>4698</v>
      </c>
      <c r="E450" s="22" t="s">
        <v>4569</v>
      </c>
      <c r="F450" s="22" t="s">
        <v>4337</v>
      </c>
      <c r="G450" s="22"/>
      <c r="H450" s="22" t="s">
        <v>4699</v>
      </c>
      <c r="I450" s="22" t="s">
        <v>3353</v>
      </c>
      <c r="J450" s="22" t="s">
        <v>4339</v>
      </c>
    </row>
    <row r="451" spans="1:10" ht="114" x14ac:dyDescent="0.2">
      <c r="A451" s="22" t="s">
        <v>3132</v>
      </c>
      <c r="B451" s="22">
        <v>2026</v>
      </c>
      <c r="C451" s="22" t="s">
        <v>4700</v>
      </c>
      <c r="D451" s="22" t="s">
        <v>4701</v>
      </c>
      <c r="E451" s="22" t="s">
        <v>4569</v>
      </c>
      <c r="F451" s="22" t="s">
        <v>4337</v>
      </c>
      <c r="G451" s="22"/>
      <c r="H451" s="22" t="s">
        <v>4702</v>
      </c>
      <c r="I451" s="22" t="s">
        <v>3353</v>
      </c>
      <c r="J451" s="22" t="s">
        <v>4339</v>
      </c>
    </row>
    <row r="452" spans="1:10" ht="76" x14ac:dyDescent="0.2">
      <c r="A452" s="22" t="s">
        <v>3140</v>
      </c>
      <c r="B452" s="22">
        <v>2026</v>
      </c>
      <c r="C452" s="22" t="s">
        <v>4703</v>
      </c>
      <c r="D452" s="22" t="s">
        <v>4704</v>
      </c>
      <c r="E452" s="22" t="s">
        <v>4569</v>
      </c>
      <c r="F452" s="22" t="s">
        <v>4337</v>
      </c>
      <c r="G452" s="22"/>
      <c r="H452" s="22" t="s">
        <v>4705</v>
      </c>
      <c r="I452" s="22" t="s">
        <v>3510</v>
      </c>
      <c r="J452" s="22" t="s">
        <v>4339</v>
      </c>
    </row>
    <row r="453" spans="1:10" ht="95" x14ac:dyDescent="0.2">
      <c r="A453" s="22" t="s">
        <v>3147</v>
      </c>
      <c r="B453" s="22">
        <v>2026</v>
      </c>
      <c r="C453" s="22" t="s">
        <v>4706</v>
      </c>
      <c r="D453" s="22" t="s">
        <v>4707</v>
      </c>
      <c r="E453" s="22" t="s">
        <v>4569</v>
      </c>
      <c r="F453" s="22" t="s">
        <v>4337</v>
      </c>
      <c r="G453" s="22"/>
      <c r="H453" s="22" t="s">
        <v>4708</v>
      </c>
      <c r="I453" s="22" t="s">
        <v>3353</v>
      </c>
      <c r="J453" s="22" t="s">
        <v>4339</v>
      </c>
    </row>
    <row r="454" spans="1:10" ht="95" x14ac:dyDescent="0.2">
      <c r="A454" s="22" t="s">
        <v>3155</v>
      </c>
      <c r="B454" s="22">
        <v>2026</v>
      </c>
      <c r="C454" s="22" t="s">
        <v>4709</v>
      </c>
      <c r="D454" s="22" t="s">
        <v>4710</v>
      </c>
      <c r="E454" s="22" t="s">
        <v>4569</v>
      </c>
      <c r="F454" s="22" t="s">
        <v>4337</v>
      </c>
      <c r="G454" s="22"/>
      <c r="H454" s="22" t="s">
        <v>4711</v>
      </c>
      <c r="I454" s="22" t="s">
        <v>3353</v>
      </c>
      <c r="J454" s="22" t="s">
        <v>4339</v>
      </c>
    </row>
    <row r="455" spans="1:10" ht="76" x14ac:dyDescent="0.2">
      <c r="A455" s="22" t="s">
        <v>3163</v>
      </c>
      <c r="B455" s="22">
        <v>2025</v>
      </c>
      <c r="C455" s="22" t="s">
        <v>4712</v>
      </c>
      <c r="D455" s="22" t="s">
        <v>4713</v>
      </c>
      <c r="E455" s="22" t="s">
        <v>4569</v>
      </c>
      <c r="F455" s="22" t="s">
        <v>4337</v>
      </c>
      <c r="G455" s="22"/>
      <c r="H455" s="22" t="s">
        <v>4714</v>
      </c>
      <c r="I455" s="22" t="s">
        <v>3510</v>
      </c>
      <c r="J455" s="22" t="s">
        <v>4339</v>
      </c>
    </row>
    <row r="456" spans="1:10" ht="76" x14ac:dyDescent="0.2">
      <c r="A456" s="22" t="s">
        <v>3171</v>
      </c>
      <c r="B456" s="22">
        <v>2026</v>
      </c>
      <c r="C456" s="22" t="s">
        <v>4715</v>
      </c>
      <c r="D456" s="22" t="s">
        <v>4716</v>
      </c>
      <c r="E456" s="22" t="s">
        <v>4569</v>
      </c>
      <c r="F456" s="22" t="s">
        <v>4337</v>
      </c>
      <c r="G456" s="22"/>
      <c r="H456" s="22" t="s">
        <v>4717</v>
      </c>
      <c r="I456" s="22" t="s">
        <v>3510</v>
      </c>
      <c r="J456" s="22" t="s">
        <v>4339</v>
      </c>
    </row>
    <row r="457" spans="1:10" ht="114" x14ac:dyDescent="0.2">
      <c r="A457" s="22" t="s">
        <v>3179</v>
      </c>
      <c r="B457" s="22">
        <v>2026</v>
      </c>
      <c r="C457" s="22" t="s">
        <v>4718</v>
      </c>
      <c r="D457" s="22" t="s">
        <v>4719</v>
      </c>
      <c r="E457" s="22" t="s">
        <v>4569</v>
      </c>
      <c r="F457" s="22" t="s">
        <v>4337</v>
      </c>
      <c r="G457" s="22"/>
      <c r="H457" s="22" t="s">
        <v>4720</v>
      </c>
      <c r="I457" s="22" t="s">
        <v>3353</v>
      </c>
      <c r="J457" s="22" t="s">
        <v>4339</v>
      </c>
    </row>
    <row r="458" spans="1:10" ht="114" x14ac:dyDescent="0.2">
      <c r="A458" s="22" t="s">
        <v>3187</v>
      </c>
      <c r="B458" s="22">
        <v>2026</v>
      </c>
      <c r="C458" s="22" t="s">
        <v>4721</v>
      </c>
      <c r="D458" s="22" t="s">
        <v>4722</v>
      </c>
      <c r="E458" s="22" t="s">
        <v>4569</v>
      </c>
      <c r="F458" s="22" t="s">
        <v>4337</v>
      </c>
      <c r="G458" s="22"/>
      <c r="H458" s="22" t="s">
        <v>4723</v>
      </c>
      <c r="I458" s="22" t="s">
        <v>3353</v>
      </c>
      <c r="J458" s="22" t="s">
        <v>4339</v>
      </c>
    </row>
    <row r="459" spans="1:10" ht="133" x14ac:dyDescent="0.2">
      <c r="A459" s="22" t="s">
        <v>3194</v>
      </c>
      <c r="B459" s="22">
        <v>2025</v>
      </c>
      <c r="C459" s="22" t="s">
        <v>4724</v>
      </c>
      <c r="D459" s="22" t="s">
        <v>4725</v>
      </c>
      <c r="E459" s="22" t="s">
        <v>4569</v>
      </c>
      <c r="F459" s="22" t="s">
        <v>4337</v>
      </c>
      <c r="G459" s="22"/>
      <c r="H459" s="22" t="s">
        <v>4726</v>
      </c>
      <c r="I459" s="22" t="s">
        <v>3353</v>
      </c>
      <c r="J459" s="22" t="s">
        <v>4339</v>
      </c>
    </row>
    <row r="460" spans="1:10" ht="95" x14ac:dyDescent="0.2">
      <c r="A460" s="22" t="s">
        <v>3201</v>
      </c>
      <c r="B460" s="22">
        <v>2026</v>
      </c>
      <c r="C460" s="22" t="s">
        <v>4727</v>
      </c>
      <c r="D460" s="22" t="s">
        <v>4728</v>
      </c>
      <c r="E460" s="22" t="s">
        <v>4569</v>
      </c>
      <c r="F460" s="22" t="s">
        <v>4337</v>
      </c>
      <c r="G460" s="22"/>
      <c r="H460" s="22" t="s">
        <v>4729</v>
      </c>
      <c r="I460" s="22" t="s">
        <v>3353</v>
      </c>
      <c r="J460" s="22" t="s">
        <v>4339</v>
      </c>
    </row>
    <row r="461" spans="1:10" ht="95" x14ac:dyDescent="0.2">
      <c r="A461" s="22" t="s">
        <v>3209</v>
      </c>
      <c r="B461" s="22">
        <v>2026</v>
      </c>
      <c r="C461" s="22" t="s">
        <v>4730</v>
      </c>
      <c r="D461" s="22" t="s">
        <v>4731</v>
      </c>
      <c r="E461" s="22" t="s">
        <v>4569</v>
      </c>
      <c r="F461" s="22" t="s">
        <v>4337</v>
      </c>
      <c r="G461" s="22"/>
      <c r="H461" s="22" t="s">
        <v>4732</v>
      </c>
      <c r="I461" s="22" t="s">
        <v>3353</v>
      </c>
      <c r="J461" s="22" t="s">
        <v>4339</v>
      </c>
    </row>
    <row r="462" spans="1:10" ht="114" x14ac:dyDescent="0.2">
      <c r="A462" s="22" t="s">
        <v>3217</v>
      </c>
      <c r="B462" s="22">
        <v>2026</v>
      </c>
      <c r="C462" s="22" t="s">
        <v>4733</v>
      </c>
      <c r="D462" s="22" t="s">
        <v>4734</v>
      </c>
      <c r="E462" s="22" t="s">
        <v>4569</v>
      </c>
      <c r="F462" s="22" t="s">
        <v>4337</v>
      </c>
      <c r="G462" s="22"/>
      <c r="H462" s="22" t="s">
        <v>4735</v>
      </c>
      <c r="I462" s="22" t="s">
        <v>3353</v>
      </c>
      <c r="J462" s="22" t="s">
        <v>4339</v>
      </c>
    </row>
    <row r="463" spans="1:10" ht="133" x14ac:dyDescent="0.2">
      <c r="A463" s="22" t="s">
        <v>3223</v>
      </c>
      <c r="B463" s="22">
        <v>2026</v>
      </c>
      <c r="C463" s="22" t="s">
        <v>4736</v>
      </c>
      <c r="D463" s="22" t="s">
        <v>4737</v>
      </c>
      <c r="E463" s="22" t="s">
        <v>4569</v>
      </c>
      <c r="F463" s="22" t="s">
        <v>4337</v>
      </c>
      <c r="G463" s="22"/>
      <c r="H463" s="22" t="s">
        <v>4738</v>
      </c>
      <c r="I463" s="22" t="s">
        <v>3353</v>
      </c>
      <c r="J463" s="22" t="s">
        <v>4339</v>
      </c>
    </row>
    <row r="464" spans="1:10" ht="76" x14ac:dyDescent="0.2">
      <c r="A464" s="22" t="s">
        <v>3229</v>
      </c>
      <c r="B464" s="22">
        <v>2025</v>
      </c>
      <c r="C464" s="22" t="s">
        <v>4739</v>
      </c>
      <c r="D464" s="22" t="s">
        <v>4740</v>
      </c>
      <c r="E464" s="22" t="s">
        <v>4569</v>
      </c>
      <c r="F464" s="22" t="s">
        <v>4337</v>
      </c>
      <c r="G464" s="22"/>
      <c r="H464" s="22" t="s">
        <v>4741</v>
      </c>
      <c r="I464" s="22" t="s">
        <v>3353</v>
      </c>
      <c r="J464" s="22" t="s">
        <v>4339</v>
      </c>
    </row>
    <row r="465" spans="1:10" ht="95" x14ac:dyDescent="0.2">
      <c r="A465" s="22" t="s">
        <v>3236</v>
      </c>
      <c r="B465" s="22">
        <v>2025</v>
      </c>
      <c r="C465" s="22" t="s">
        <v>4742</v>
      </c>
      <c r="D465" s="22" t="s">
        <v>4743</v>
      </c>
      <c r="E465" s="22" t="s">
        <v>4569</v>
      </c>
      <c r="F465" s="22" t="s">
        <v>4337</v>
      </c>
      <c r="G465" s="22"/>
      <c r="H465" s="22" t="s">
        <v>4744</v>
      </c>
      <c r="I465" s="22" t="s">
        <v>3353</v>
      </c>
      <c r="J465" s="22" t="s">
        <v>4339</v>
      </c>
    </row>
    <row r="466" spans="1:10" ht="152" x14ac:dyDescent="0.2">
      <c r="A466" s="22" t="s">
        <v>3243</v>
      </c>
      <c r="B466" s="22">
        <v>2026</v>
      </c>
      <c r="C466" s="22" t="s">
        <v>4745</v>
      </c>
      <c r="D466" s="22" t="s">
        <v>4746</v>
      </c>
      <c r="E466" s="22" t="s">
        <v>4569</v>
      </c>
      <c r="F466" s="22" t="s">
        <v>4337</v>
      </c>
      <c r="G466" s="22"/>
      <c r="H466" s="22" t="s">
        <v>4747</v>
      </c>
      <c r="I466" s="22" t="s">
        <v>3353</v>
      </c>
      <c r="J466" s="22" t="s">
        <v>4339</v>
      </c>
    </row>
    <row r="467" spans="1:10" ht="76" x14ac:dyDescent="0.2">
      <c r="A467" s="22" t="s">
        <v>3248</v>
      </c>
      <c r="B467" s="22">
        <v>2024</v>
      </c>
      <c r="C467" s="22" t="s">
        <v>4748</v>
      </c>
      <c r="D467" s="22" t="s">
        <v>4749</v>
      </c>
      <c r="E467" s="22" t="s">
        <v>4569</v>
      </c>
      <c r="F467" s="22" t="s">
        <v>4337</v>
      </c>
      <c r="G467" s="22"/>
      <c r="H467" s="22" t="s">
        <v>4750</v>
      </c>
      <c r="I467" s="22" t="s">
        <v>3353</v>
      </c>
      <c r="J467" s="22" t="s">
        <v>4339</v>
      </c>
    </row>
    <row r="468" spans="1:10" ht="114" x14ac:dyDescent="0.2">
      <c r="A468" s="22" t="s">
        <v>3264</v>
      </c>
      <c r="B468" s="22">
        <v>2024</v>
      </c>
      <c r="C468" s="22" t="s">
        <v>4751</v>
      </c>
      <c r="D468" s="22" t="s">
        <v>4752</v>
      </c>
      <c r="E468" s="22" t="s">
        <v>4569</v>
      </c>
      <c r="F468" s="22" t="s">
        <v>4337</v>
      </c>
      <c r="G468" s="22"/>
      <c r="H468" s="22" t="s">
        <v>4753</v>
      </c>
      <c r="I468" s="22" t="s">
        <v>3353</v>
      </c>
      <c r="J468" s="22" t="s">
        <v>4339</v>
      </c>
    </row>
    <row r="469" spans="1:10" ht="76" x14ac:dyDescent="0.2">
      <c r="A469" s="22" t="s">
        <v>3272</v>
      </c>
      <c r="B469" s="22">
        <v>2024</v>
      </c>
      <c r="C469" s="22" t="s">
        <v>4754</v>
      </c>
      <c r="D469" s="22" t="s">
        <v>4755</v>
      </c>
      <c r="E469" s="22" t="s">
        <v>4569</v>
      </c>
      <c r="F469" s="22" t="s">
        <v>4337</v>
      </c>
      <c r="G469" s="22"/>
      <c r="H469" s="22" t="s">
        <v>4756</v>
      </c>
      <c r="I469" s="22" t="s">
        <v>3353</v>
      </c>
      <c r="J469" s="22" t="s">
        <v>4339</v>
      </c>
    </row>
    <row r="470" spans="1:10" ht="133" x14ac:dyDescent="0.2">
      <c r="A470" s="22" t="s">
        <v>3286</v>
      </c>
      <c r="B470" s="22">
        <v>2025</v>
      </c>
      <c r="C470" s="22" t="s">
        <v>4757</v>
      </c>
      <c r="D470" s="22" t="s">
        <v>4758</v>
      </c>
      <c r="E470" s="22" t="s">
        <v>4569</v>
      </c>
      <c r="F470" s="22" t="s">
        <v>4337</v>
      </c>
      <c r="G470" s="22"/>
      <c r="H470" s="22" t="s">
        <v>4759</v>
      </c>
      <c r="I470" s="22" t="s">
        <v>3353</v>
      </c>
      <c r="J470" s="22" t="s">
        <v>4339</v>
      </c>
    </row>
    <row r="471" spans="1:10" ht="114" x14ac:dyDescent="0.2">
      <c r="A471" s="22" t="s">
        <v>3290</v>
      </c>
      <c r="B471" s="22">
        <v>2024</v>
      </c>
      <c r="C471" s="22" t="s">
        <v>4760</v>
      </c>
      <c r="D471" s="22" t="s">
        <v>4761</v>
      </c>
      <c r="E471" s="22" t="s">
        <v>4569</v>
      </c>
      <c r="F471" s="22" t="s">
        <v>4337</v>
      </c>
      <c r="G471" s="22"/>
      <c r="H471" s="22" t="s">
        <v>4762</v>
      </c>
      <c r="I471" s="22" t="s">
        <v>3353</v>
      </c>
      <c r="J471" s="22" t="s">
        <v>4339</v>
      </c>
    </row>
    <row r="472" spans="1:10" ht="114" x14ac:dyDescent="0.2">
      <c r="A472" s="22" t="s">
        <v>3313</v>
      </c>
      <c r="B472" s="22">
        <v>2026</v>
      </c>
      <c r="C472" s="22" t="s">
        <v>4763</v>
      </c>
      <c r="D472" s="22" t="s">
        <v>4764</v>
      </c>
      <c r="E472" s="22" t="s">
        <v>4569</v>
      </c>
      <c r="F472" s="22" t="s">
        <v>4337</v>
      </c>
      <c r="G472" s="22"/>
      <c r="H472" s="22" t="s">
        <v>4765</v>
      </c>
      <c r="I472" s="22" t="s">
        <v>3353</v>
      </c>
      <c r="J472" s="22" t="s">
        <v>4339</v>
      </c>
    </row>
    <row r="473" spans="1:10" ht="76" x14ac:dyDescent="0.2">
      <c r="A473" s="22" t="s">
        <v>3318</v>
      </c>
      <c r="B473" s="22">
        <v>2025</v>
      </c>
      <c r="C473" s="22" t="s">
        <v>4766</v>
      </c>
      <c r="D473" s="22" t="s">
        <v>4767</v>
      </c>
      <c r="E473" s="22" t="s">
        <v>4569</v>
      </c>
      <c r="F473" s="22" t="s">
        <v>4337</v>
      </c>
      <c r="G473" s="22"/>
      <c r="H473" s="22" t="s">
        <v>4768</v>
      </c>
      <c r="I473" s="22" t="s">
        <v>3353</v>
      </c>
      <c r="J473" s="22" t="s">
        <v>4339</v>
      </c>
    </row>
    <row r="474" spans="1:10" ht="57" x14ac:dyDescent="0.2">
      <c r="A474" s="22" t="s">
        <v>3325</v>
      </c>
      <c r="B474" s="22">
        <v>2026</v>
      </c>
      <c r="C474" s="22" t="s">
        <v>4769</v>
      </c>
      <c r="D474" s="22" t="s">
        <v>4770</v>
      </c>
      <c r="E474" s="22" t="s">
        <v>4569</v>
      </c>
      <c r="F474" s="22" t="s">
        <v>4337</v>
      </c>
      <c r="G474" s="22"/>
      <c r="H474" s="22" t="s">
        <v>4563</v>
      </c>
      <c r="I474" s="22" t="s">
        <v>3510</v>
      </c>
      <c r="J474" s="22" t="s">
        <v>4339</v>
      </c>
    </row>
    <row r="475" spans="1:10" ht="133" x14ac:dyDescent="0.2">
      <c r="A475" s="22" t="s">
        <v>3332</v>
      </c>
      <c r="B475" s="22">
        <v>2026</v>
      </c>
      <c r="C475" s="22" t="s">
        <v>4771</v>
      </c>
      <c r="D475" s="22" t="s">
        <v>4772</v>
      </c>
      <c r="E475" s="22" t="s">
        <v>4569</v>
      </c>
      <c r="F475" s="22" t="s">
        <v>4337</v>
      </c>
      <c r="G475" s="22"/>
      <c r="H475" s="22" t="s">
        <v>4773</v>
      </c>
      <c r="I475" s="22" t="s">
        <v>3353</v>
      </c>
      <c r="J475" s="22" t="s">
        <v>4339</v>
      </c>
    </row>
    <row r="476" spans="1:10" ht="133" x14ac:dyDescent="0.2">
      <c r="A476" s="22" t="s">
        <v>2825</v>
      </c>
      <c r="B476" s="22">
        <v>2025</v>
      </c>
      <c r="C476" s="22" t="s">
        <v>4774</v>
      </c>
      <c r="D476" s="22" t="s">
        <v>4775</v>
      </c>
      <c r="E476" s="22" t="s">
        <v>4776</v>
      </c>
      <c r="F476" s="22" t="s">
        <v>4337</v>
      </c>
      <c r="G476" s="22"/>
      <c r="H476" s="22" t="s">
        <v>4777</v>
      </c>
      <c r="I476" s="22" t="s">
        <v>3353</v>
      </c>
      <c r="J476" s="22" t="s">
        <v>4339</v>
      </c>
    </row>
    <row r="477" spans="1:10" ht="114" x14ac:dyDescent="0.2">
      <c r="A477" s="22" t="s">
        <v>2825</v>
      </c>
      <c r="B477" s="22">
        <v>2025</v>
      </c>
      <c r="C477" s="22" t="s">
        <v>4778</v>
      </c>
      <c r="D477" s="22" t="s">
        <v>4779</v>
      </c>
      <c r="E477" s="22" t="s">
        <v>4776</v>
      </c>
      <c r="F477" s="22" t="s">
        <v>4337</v>
      </c>
      <c r="G477" s="22"/>
      <c r="H477" s="22" t="s">
        <v>4780</v>
      </c>
      <c r="I477" s="22" t="s">
        <v>3353</v>
      </c>
      <c r="J477" s="22" t="s">
        <v>4339</v>
      </c>
    </row>
    <row r="478" spans="1:10" ht="76" x14ac:dyDescent="0.2">
      <c r="A478" s="22" t="s">
        <v>2833</v>
      </c>
      <c r="B478" s="22">
        <v>2026</v>
      </c>
      <c r="C478" s="22" t="s">
        <v>4781</v>
      </c>
      <c r="D478" s="22" t="s">
        <v>4782</v>
      </c>
      <c r="E478" s="22" t="s">
        <v>4776</v>
      </c>
      <c r="F478" s="22" t="s">
        <v>4337</v>
      </c>
      <c r="G478" s="22"/>
      <c r="H478" s="22" t="s">
        <v>4342</v>
      </c>
      <c r="I478" s="22" t="s">
        <v>3353</v>
      </c>
      <c r="J478" s="22" t="s">
        <v>4339</v>
      </c>
    </row>
    <row r="479" spans="1:10" ht="95" x14ac:dyDescent="0.2">
      <c r="A479" s="22" t="s">
        <v>2833</v>
      </c>
      <c r="B479" s="22">
        <v>2026</v>
      </c>
      <c r="C479" s="22" t="s">
        <v>4783</v>
      </c>
      <c r="D479" s="22" t="s">
        <v>4784</v>
      </c>
      <c r="E479" s="22" t="s">
        <v>4776</v>
      </c>
      <c r="F479" s="22" t="s">
        <v>4337</v>
      </c>
      <c r="G479" s="22"/>
      <c r="H479" s="22" t="s">
        <v>4785</v>
      </c>
      <c r="I479" s="22" t="s">
        <v>3353</v>
      </c>
      <c r="J479" s="22" t="s">
        <v>4339</v>
      </c>
    </row>
    <row r="480" spans="1:10" ht="57" x14ac:dyDescent="0.2">
      <c r="A480" s="22" t="s">
        <v>2841</v>
      </c>
      <c r="B480" s="22">
        <v>2026</v>
      </c>
      <c r="C480" s="22" t="s">
        <v>4786</v>
      </c>
      <c r="D480" s="22" t="s">
        <v>4787</v>
      </c>
      <c r="E480" s="22" t="s">
        <v>4776</v>
      </c>
      <c r="F480" s="22" t="s">
        <v>4337</v>
      </c>
      <c r="G480" s="22"/>
      <c r="H480" s="22" t="s">
        <v>4788</v>
      </c>
      <c r="I480" s="22" t="s">
        <v>3510</v>
      </c>
      <c r="J480" s="22" t="s">
        <v>4339</v>
      </c>
    </row>
    <row r="481" spans="1:10" ht="95" x14ac:dyDescent="0.2">
      <c r="A481" s="22" t="s">
        <v>2841</v>
      </c>
      <c r="B481" s="22">
        <v>2026</v>
      </c>
      <c r="C481" s="22" t="s">
        <v>4789</v>
      </c>
      <c r="D481" s="22" t="s">
        <v>4790</v>
      </c>
      <c r="E481" s="22" t="s">
        <v>4776</v>
      </c>
      <c r="F481" s="22" t="s">
        <v>4337</v>
      </c>
      <c r="G481" s="22"/>
      <c r="H481" s="22" t="s">
        <v>4791</v>
      </c>
      <c r="I481" s="22" t="s">
        <v>3353</v>
      </c>
      <c r="J481" s="22" t="s">
        <v>4339</v>
      </c>
    </row>
    <row r="482" spans="1:10" ht="57" x14ac:dyDescent="0.2">
      <c r="A482" s="22" t="s">
        <v>2849</v>
      </c>
      <c r="B482" s="22">
        <v>2026</v>
      </c>
      <c r="C482" s="22" t="s">
        <v>4792</v>
      </c>
      <c r="D482" s="22" t="s">
        <v>4793</v>
      </c>
      <c r="E482" s="22" t="s">
        <v>4776</v>
      </c>
      <c r="F482" s="22" t="s">
        <v>4337</v>
      </c>
      <c r="G482" s="22"/>
      <c r="H482" s="22" t="s">
        <v>4353</v>
      </c>
      <c r="I482" s="22" t="s">
        <v>3510</v>
      </c>
      <c r="J482" s="22" t="s">
        <v>4339</v>
      </c>
    </row>
    <row r="483" spans="1:10" ht="57" x14ac:dyDescent="0.2">
      <c r="A483" s="22" t="s">
        <v>2857</v>
      </c>
      <c r="B483" s="22">
        <v>2026</v>
      </c>
      <c r="C483" s="22" t="s">
        <v>4794</v>
      </c>
      <c r="D483" s="22" t="s">
        <v>4795</v>
      </c>
      <c r="E483" s="22" t="s">
        <v>4776</v>
      </c>
      <c r="F483" s="22" t="s">
        <v>4337</v>
      </c>
      <c r="G483" s="22"/>
      <c r="H483" s="22" t="s">
        <v>4796</v>
      </c>
      <c r="I483" s="22" t="s">
        <v>3510</v>
      </c>
      <c r="J483" s="22" t="s">
        <v>4339</v>
      </c>
    </row>
    <row r="484" spans="1:10" ht="57" x14ac:dyDescent="0.2">
      <c r="A484" s="22" t="s">
        <v>2865</v>
      </c>
      <c r="B484" s="22">
        <v>2025</v>
      </c>
      <c r="C484" s="22" t="s">
        <v>4797</v>
      </c>
      <c r="D484" s="22" t="s">
        <v>4795</v>
      </c>
      <c r="E484" s="22" t="s">
        <v>4776</v>
      </c>
      <c r="F484" s="22" t="s">
        <v>4337</v>
      </c>
      <c r="G484" s="22"/>
      <c r="H484" s="22" t="s">
        <v>4798</v>
      </c>
      <c r="I484" s="22" t="s">
        <v>3510</v>
      </c>
      <c r="J484" s="22" t="s">
        <v>4339</v>
      </c>
    </row>
    <row r="485" spans="1:10" ht="57" x14ac:dyDescent="0.2">
      <c r="A485" s="22" t="s">
        <v>2873</v>
      </c>
      <c r="B485" s="22">
        <v>2025</v>
      </c>
      <c r="C485" s="22" t="s">
        <v>4799</v>
      </c>
      <c r="D485" s="22" t="s">
        <v>4800</v>
      </c>
      <c r="E485" s="22" t="s">
        <v>4776</v>
      </c>
      <c r="F485" s="22" t="s">
        <v>4337</v>
      </c>
      <c r="G485" s="22"/>
      <c r="H485" s="22" t="s">
        <v>4801</v>
      </c>
      <c r="I485" s="22" t="s">
        <v>3510</v>
      </c>
      <c r="J485" s="22" t="s">
        <v>4339</v>
      </c>
    </row>
    <row r="486" spans="1:10" ht="95" x14ac:dyDescent="0.2">
      <c r="A486" s="22" t="s">
        <v>2881</v>
      </c>
      <c r="B486" s="22">
        <v>2026</v>
      </c>
      <c r="C486" s="22" t="s">
        <v>4802</v>
      </c>
      <c r="D486" s="22" t="s">
        <v>4803</v>
      </c>
      <c r="E486" s="22" t="s">
        <v>4776</v>
      </c>
      <c r="F486" s="22" t="s">
        <v>4337</v>
      </c>
      <c r="G486" s="22"/>
      <c r="H486" s="22" t="s">
        <v>4804</v>
      </c>
      <c r="I486" s="22" t="s">
        <v>3510</v>
      </c>
      <c r="J486" s="22" t="s">
        <v>4339</v>
      </c>
    </row>
    <row r="487" spans="1:10" ht="133" x14ac:dyDescent="0.2">
      <c r="A487" s="22" t="s">
        <v>2889</v>
      </c>
      <c r="B487" s="22">
        <v>2026</v>
      </c>
      <c r="C487" s="22" t="s">
        <v>4805</v>
      </c>
      <c r="D487" s="22" t="s">
        <v>4806</v>
      </c>
      <c r="E487" s="22" t="s">
        <v>4776</v>
      </c>
      <c r="F487" s="22" t="s">
        <v>4337</v>
      </c>
      <c r="G487" s="22"/>
      <c r="H487" s="22" t="s">
        <v>4807</v>
      </c>
      <c r="I487" s="22" t="s">
        <v>3353</v>
      </c>
      <c r="J487" s="22" t="s">
        <v>4339</v>
      </c>
    </row>
    <row r="488" spans="1:10" ht="114" x14ac:dyDescent="0.2">
      <c r="A488" s="22" t="s">
        <v>2889</v>
      </c>
      <c r="B488" s="22">
        <v>2026</v>
      </c>
      <c r="C488" s="22" t="s">
        <v>4808</v>
      </c>
      <c r="D488" s="22" t="s">
        <v>4809</v>
      </c>
      <c r="E488" s="22" t="s">
        <v>4776</v>
      </c>
      <c r="F488" s="22" t="s">
        <v>4337</v>
      </c>
      <c r="G488" s="22"/>
      <c r="H488" s="22" t="s">
        <v>4810</v>
      </c>
      <c r="I488" s="22" t="s">
        <v>3353</v>
      </c>
      <c r="J488" s="22" t="s">
        <v>4339</v>
      </c>
    </row>
    <row r="489" spans="1:10" ht="114" x14ac:dyDescent="0.2">
      <c r="A489" s="22" t="s">
        <v>2889</v>
      </c>
      <c r="B489" s="22">
        <v>2026</v>
      </c>
      <c r="C489" s="22" t="s">
        <v>4811</v>
      </c>
      <c r="D489" s="22" t="s">
        <v>4812</v>
      </c>
      <c r="E489" s="22" t="s">
        <v>4776</v>
      </c>
      <c r="F489" s="22" t="s">
        <v>4337</v>
      </c>
      <c r="G489" s="22"/>
      <c r="H489" s="22" t="s">
        <v>4813</v>
      </c>
      <c r="I489" s="22" t="s">
        <v>3353</v>
      </c>
      <c r="J489" s="22" t="s">
        <v>4339</v>
      </c>
    </row>
    <row r="490" spans="1:10" ht="114" x14ac:dyDescent="0.2">
      <c r="A490" s="22" t="s">
        <v>2897</v>
      </c>
      <c r="B490" s="22">
        <v>2026</v>
      </c>
      <c r="C490" s="22" t="s">
        <v>4814</v>
      </c>
      <c r="D490" s="22" t="s">
        <v>4815</v>
      </c>
      <c r="E490" s="22" t="s">
        <v>4776</v>
      </c>
      <c r="F490" s="22" t="s">
        <v>4337</v>
      </c>
      <c r="G490" s="22"/>
      <c r="H490" s="22" t="s">
        <v>4816</v>
      </c>
      <c r="I490" s="22" t="s">
        <v>3353</v>
      </c>
      <c r="J490" s="22" t="s">
        <v>4339</v>
      </c>
    </row>
    <row r="491" spans="1:10" ht="57" x14ac:dyDescent="0.2">
      <c r="A491" s="22" t="s">
        <v>2897</v>
      </c>
      <c r="B491" s="22">
        <v>2026</v>
      </c>
      <c r="C491" s="22" t="s">
        <v>4817</v>
      </c>
      <c r="D491" s="22" t="s">
        <v>4818</v>
      </c>
      <c r="E491" s="22" t="s">
        <v>4776</v>
      </c>
      <c r="F491" s="22" t="s">
        <v>4337</v>
      </c>
      <c r="G491" s="22"/>
      <c r="H491" s="22" t="s">
        <v>4819</v>
      </c>
      <c r="I491" s="22" t="s">
        <v>3353</v>
      </c>
      <c r="J491" s="22" t="s">
        <v>4339</v>
      </c>
    </row>
    <row r="492" spans="1:10" ht="133" x14ac:dyDescent="0.2">
      <c r="A492" s="22" t="s">
        <v>2904</v>
      </c>
      <c r="B492" s="22">
        <v>2026</v>
      </c>
      <c r="C492" s="22" t="s">
        <v>4820</v>
      </c>
      <c r="D492" s="22" t="s">
        <v>4821</v>
      </c>
      <c r="E492" s="22" t="s">
        <v>4776</v>
      </c>
      <c r="F492" s="22" t="s">
        <v>4337</v>
      </c>
      <c r="G492" s="22"/>
      <c r="H492" s="22" t="s">
        <v>4822</v>
      </c>
      <c r="I492" s="22" t="s">
        <v>3353</v>
      </c>
      <c r="J492" s="22" t="s">
        <v>4339</v>
      </c>
    </row>
    <row r="493" spans="1:10" ht="95" x14ac:dyDescent="0.2">
      <c r="A493" s="22" t="s">
        <v>2912</v>
      </c>
      <c r="B493" s="22">
        <v>2026</v>
      </c>
      <c r="C493" s="22" t="s">
        <v>4823</v>
      </c>
      <c r="D493" s="22" t="s">
        <v>4824</v>
      </c>
      <c r="E493" s="22" t="s">
        <v>4776</v>
      </c>
      <c r="F493" s="22" t="s">
        <v>4337</v>
      </c>
      <c r="G493" s="22"/>
      <c r="H493" s="22" t="s">
        <v>4825</v>
      </c>
      <c r="I493" s="22" t="s">
        <v>3361</v>
      </c>
      <c r="J493" s="22" t="s">
        <v>4339</v>
      </c>
    </row>
    <row r="494" spans="1:10" ht="209" x14ac:dyDescent="0.2">
      <c r="A494" s="22" t="s">
        <v>2920</v>
      </c>
      <c r="B494" s="22">
        <v>2026</v>
      </c>
      <c r="C494" s="22" t="s">
        <v>4826</v>
      </c>
      <c r="D494" s="22" t="s">
        <v>4827</v>
      </c>
      <c r="E494" s="22" t="s">
        <v>4776</v>
      </c>
      <c r="F494" s="22" t="s">
        <v>4337</v>
      </c>
      <c r="G494" s="22"/>
      <c r="H494" s="22" t="s">
        <v>4828</v>
      </c>
      <c r="I494" s="22" t="s">
        <v>3353</v>
      </c>
      <c r="J494" s="22" t="s">
        <v>4339</v>
      </c>
    </row>
    <row r="495" spans="1:10" ht="133" x14ac:dyDescent="0.2">
      <c r="A495" s="22" t="s">
        <v>2928</v>
      </c>
      <c r="B495" s="22">
        <v>2025</v>
      </c>
      <c r="C495" s="22" t="s">
        <v>4829</v>
      </c>
      <c r="D495" s="22" t="s">
        <v>4830</v>
      </c>
      <c r="E495" s="22" t="s">
        <v>4776</v>
      </c>
      <c r="F495" s="22" t="s">
        <v>4337</v>
      </c>
      <c r="G495" s="22"/>
      <c r="H495" s="22" t="s">
        <v>4831</v>
      </c>
      <c r="I495" s="22" t="s">
        <v>3353</v>
      </c>
      <c r="J495" s="22" t="s">
        <v>4339</v>
      </c>
    </row>
    <row r="496" spans="1:10" ht="76" x14ac:dyDescent="0.2">
      <c r="A496" s="22" t="s">
        <v>2928</v>
      </c>
      <c r="B496" s="22">
        <v>2025</v>
      </c>
      <c r="C496" s="22" t="s">
        <v>4832</v>
      </c>
      <c r="D496" s="22" t="s">
        <v>4833</v>
      </c>
      <c r="E496" s="22" t="s">
        <v>4776</v>
      </c>
      <c r="F496" s="22" t="s">
        <v>4337</v>
      </c>
      <c r="G496" s="22"/>
      <c r="H496" s="22" t="s">
        <v>4624</v>
      </c>
      <c r="I496" s="22" t="s">
        <v>3353</v>
      </c>
      <c r="J496" s="22" t="s">
        <v>4339</v>
      </c>
    </row>
    <row r="497" spans="1:10" ht="114" x14ac:dyDescent="0.2">
      <c r="A497" s="22" t="s">
        <v>2936</v>
      </c>
      <c r="B497" s="22">
        <v>2025</v>
      </c>
      <c r="C497" s="22" t="s">
        <v>4834</v>
      </c>
      <c r="D497" s="22" t="s">
        <v>4835</v>
      </c>
      <c r="E497" s="22" t="s">
        <v>4776</v>
      </c>
      <c r="F497" s="22" t="s">
        <v>4337</v>
      </c>
      <c r="G497" s="22"/>
      <c r="H497" s="22" t="s">
        <v>4836</v>
      </c>
      <c r="I497" s="22" t="s">
        <v>3353</v>
      </c>
      <c r="J497" s="22" t="s">
        <v>4339</v>
      </c>
    </row>
    <row r="498" spans="1:10" ht="114" x14ac:dyDescent="0.2">
      <c r="A498" s="22" t="s">
        <v>2944</v>
      </c>
      <c r="B498" s="22">
        <v>2026</v>
      </c>
      <c r="C498" s="22" t="s">
        <v>4837</v>
      </c>
      <c r="D498" s="22" t="s">
        <v>4838</v>
      </c>
      <c r="E498" s="22" t="s">
        <v>4776</v>
      </c>
      <c r="F498" s="22" t="s">
        <v>4337</v>
      </c>
      <c r="G498" s="22"/>
      <c r="H498" s="22" t="s">
        <v>4839</v>
      </c>
      <c r="I498" s="22" t="s">
        <v>3353</v>
      </c>
      <c r="J498" s="22" t="s">
        <v>4339</v>
      </c>
    </row>
    <row r="499" spans="1:10" ht="95" x14ac:dyDescent="0.2">
      <c r="A499" s="22" t="s">
        <v>2952</v>
      </c>
      <c r="B499" s="22">
        <v>2026</v>
      </c>
      <c r="C499" s="22" t="s">
        <v>4840</v>
      </c>
      <c r="D499" s="22" t="s">
        <v>4841</v>
      </c>
      <c r="E499" s="22" t="s">
        <v>4776</v>
      </c>
      <c r="F499" s="22" t="s">
        <v>4337</v>
      </c>
      <c r="G499" s="22"/>
      <c r="H499" s="22" t="s">
        <v>4842</v>
      </c>
      <c r="I499" s="22" t="s">
        <v>3353</v>
      </c>
      <c r="J499" s="22" t="s">
        <v>4339</v>
      </c>
    </row>
    <row r="500" spans="1:10" ht="152" x14ac:dyDescent="0.2">
      <c r="A500" s="22" t="s">
        <v>2959</v>
      </c>
      <c r="B500" s="22">
        <v>2025</v>
      </c>
      <c r="C500" s="22" t="s">
        <v>4843</v>
      </c>
      <c r="D500" s="22" t="s">
        <v>4844</v>
      </c>
      <c r="E500" s="22" t="s">
        <v>4776</v>
      </c>
      <c r="F500" s="22" t="s">
        <v>4337</v>
      </c>
      <c r="G500" s="22"/>
      <c r="H500" s="22" t="s">
        <v>4845</v>
      </c>
      <c r="I500" s="22" t="s">
        <v>3353</v>
      </c>
      <c r="J500" s="22" t="s">
        <v>4339</v>
      </c>
    </row>
    <row r="501" spans="1:10" ht="76" x14ac:dyDescent="0.2">
      <c r="A501" s="22" t="s">
        <v>2967</v>
      </c>
      <c r="B501" s="22">
        <v>2025</v>
      </c>
      <c r="C501" s="22" t="s">
        <v>4846</v>
      </c>
      <c r="D501" s="22" t="s">
        <v>4847</v>
      </c>
      <c r="E501" s="22" t="s">
        <v>4776</v>
      </c>
      <c r="F501" s="22" t="s">
        <v>4337</v>
      </c>
      <c r="G501" s="22"/>
      <c r="H501" s="22" t="s">
        <v>4848</v>
      </c>
      <c r="I501" s="22" t="s">
        <v>3353</v>
      </c>
      <c r="J501" s="22" t="s">
        <v>4339</v>
      </c>
    </row>
    <row r="502" spans="1:10" ht="95" x14ac:dyDescent="0.2">
      <c r="A502" s="22" t="s">
        <v>2975</v>
      </c>
      <c r="B502" s="22">
        <v>2025</v>
      </c>
      <c r="C502" s="22" t="s">
        <v>4849</v>
      </c>
      <c r="D502" s="22" t="s">
        <v>4850</v>
      </c>
      <c r="E502" s="22" t="s">
        <v>4776</v>
      </c>
      <c r="F502" s="22" t="s">
        <v>4337</v>
      </c>
      <c r="G502" s="22"/>
      <c r="H502" s="22" t="s">
        <v>4851</v>
      </c>
      <c r="I502" s="22" t="s">
        <v>3353</v>
      </c>
      <c r="J502" s="22" t="s">
        <v>4339</v>
      </c>
    </row>
    <row r="503" spans="1:10" ht="133" x14ac:dyDescent="0.2">
      <c r="A503" s="22" t="s">
        <v>2983</v>
      </c>
      <c r="B503" s="22">
        <v>2026</v>
      </c>
      <c r="C503" s="22" t="s">
        <v>4852</v>
      </c>
      <c r="D503" s="22" t="s">
        <v>4853</v>
      </c>
      <c r="E503" s="22" t="s">
        <v>4776</v>
      </c>
      <c r="F503" s="22" t="s">
        <v>4337</v>
      </c>
      <c r="G503" s="22"/>
      <c r="H503" s="22" t="s">
        <v>4854</v>
      </c>
      <c r="I503" s="22" t="s">
        <v>3353</v>
      </c>
      <c r="J503" s="22" t="s">
        <v>4339</v>
      </c>
    </row>
    <row r="504" spans="1:10" ht="95" x14ac:dyDescent="0.2">
      <c r="A504" s="22" t="s">
        <v>2989</v>
      </c>
      <c r="B504" s="22">
        <v>2026</v>
      </c>
      <c r="C504" s="22" t="s">
        <v>4855</v>
      </c>
      <c r="D504" s="22" t="s">
        <v>4856</v>
      </c>
      <c r="E504" s="22" t="s">
        <v>4776</v>
      </c>
      <c r="F504" s="22" t="s">
        <v>4337</v>
      </c>
      <c r="G504" s="22"/>
      <c r="H504" s="22" t="s">
        <v>4857</v>
      </c>
      <c r="I504" s="22" t="s">
        <v>3353</v>
      </c>
      <c r="J504" s="22" t="s">
        <v>4339</v>
      </c>
    </row>
    <row r="505" spans="1:10" ht="76" x14ac:dyDescent="0.2">
      <c r="A505" s="22" t="s">
        <v>2996</v>
      </c>
      <c r="B505" s="22">
        <v>2026</v>
      </c>
      <c r="C505" s="22" t="s">
        <v>4858</v>
      </c>
      <c r="D505" s="22" t="s">
        <v>4859</v>
      </c>
      <c r="E505" s="22" t="s">
        <v>4776</v>
      </c>
      <c r="F505" s="22" t="s">
        <v>4337</v>
      </c>
      <c r="G505" s="22"/>
      <c r="H505" s="22" t="s">
        <v>4860</v>
      </c>
      <c r="I505" s="22" t="s">
        <v>3353</v>
      </c>
      <c r="J505" s="22" t="s">
        <v>4339</v>
      </c>
    </row>
    <row r="506" spans="1:10" ht="95" x14ac:dyDescent="0.2">
      <c r="A506" s="22" t="s">
        <v>3004</v>
      </c>
      <c r="B506" s="22">
        <v>2024</v>
      </c>
      <c r="C506" s="22" t="s">
        <v>4861</v>
      </c>
      <c r="D506" s="22" t="s">
        <v>4862</v>
      </c>
      <c r="E506" s="22" t="s">
        <v>4776</v>
      </c>
      <c r="F506" s="22" t="s">
        <v>4337</v>
      </c>
      <c r="G506" s="22"/>
      <c r="H506" s="22" t="s">
        <v>4863</v>
      </c>
      <c r="I506" s="22" t="s">
        <v>3353</v>
      </c>
      <c r="J506" s="22" t="s">
        <v>4339</v>
      </c>
    </row>
    <row r="507" spans="1:10" ht="133" x14ac:dyDescent="0.2">
      <c r="A507" s="22" t="s">
        <v>3012</v>
      </c>
      <c r="B507" s="22">
        <v>2025</v>
      </c>
      <c r="C507" s="22" t="s">
        <v>4864</v>
      </c>
      <c r="D507" s="22" t="s">
        <v>4865</v>
      </c>
      <c r="E507" s="22" t="s">
        <v>4776</v>
      </c>
      <c r="F507" s="22" t="s">
        <v>4337</v>
      </c>
      <c r="G507" s="22"/>
      <c r="H507" s="22" t="s">
        <v>4866</v>
      </c>
      <c r="I507" s="22" t="s">
        <v>3353</v>
      </c>
      <c r="J507" s="22" t="s">
        <v>4339</v>
      </c>
    </row>
    <row r="508" spans="1:10" ht="76" x14ac:dyDescent="0.2">
      <c r="A508" s="22" t="s">
        <v>3020</v>
      </c>
      <c r="B508" s="22">
        <v>2026</v>
      </c>
      <c r="C508" s="22" t="s">
        <v>4867</v>
      </c>
      <c r="D508" s="22" t="s">
        <v>4868</v>
      </c>
      <c r="E508" s="22" t="s">
        <v>4776</v>
      </c>
      <c r="F508" s="22" t="s">
        <v>4337</v>
      </c>
      <c r="G508" s="22"/>
      <c r="H508" s="22" t="s">
        <v>4869</v>
      </c>
      <c r="I508" s="22" t="s">
        <v>3353</v>
      </c>
      <c r="J508" s="22" t="s">
        <v>4339</v>
      </c>
    </row>
    <row r="509" spans="1:10" ht="95" x14ac:dyDescent="0.2">
      <c r="A509" s="22" t="s">
        <v>3028</v>
      </c>
      <c r="B509" s="22">
        <v>2026</v>
      </c>
      <c r="C509" s="22" t="s">
        <v>4870</v>
      </c>
      <c r="D509" s="22" t="s">
        <v>4871</v>
      </c>
      <c r="E509" s="22" t="s">
        <v>4776</v>
      </c>
      <c r="F509" s="22" t="s">
        <v>4337</v>
      </c>
      <c r="G509" s="22"/>
      <c r="H509" s="22" t="s">
        <v>4872</v>
      </c>
      <c r="I509" s="22" t="s">
        <v>3353</v>
      </c>
      <c r="J509" s="22" t="s">
        <v>4339</v>
      </c>
    </row>
    <row r="510" spans="1:10" ht="57" x14ac:dyDescent="0.2">
      <c r="A510" s="22" t="s">
        <v>3035</v>
      </c>
      <c r="B510" s="22">
        <v>2024</v>
      </c>
      <c r="C510" s="22" t="s">
        <v>4873</v>
      </c>
      <c r="D510" s="22" t="s">
        <v>4874</v>
      </c>
      <c r="E510" s="22" t="s">
        <v>4776</v>
      </c>
      <c r="F510" s="22" t="s">
        <v>4337</v>
      </c>
      <c r="G510" s="22"/>
      <c r="H510" s="22" t="s">
        <v>4875</v>
      </c>
      <c r="I510" s="22" t="s">
        <v>3353</v>
      </c>
      <c r="J510" s="22" t="s">
        <v>4339</v>
      </c>
    </row>
    <row r="511" spans="1:10" ht="95" x14ac:dyDescent="0.2">
      <c r="A511" s="22" t="s">
        <v>3043</v>
      </c>
      <c r="B511" s="22">
        <v>2026</v>
      </c>
      <c r="C511" s="22" t="s">
        <v>4876</v>
      </c>
      <c r="D511" s="22" t="s">
        <v>4877</v>
      </c>
      <c r="E511" s="22" t="s">
        <v>4776</v>
      </c>
      <c r="F511" s="22" t="s">
        <v>4337</v>
      </c>
      <c r="G511" s="22"/>
      <c r="H511" s="22" t="s">
        <v>4878</v>
      </c>
      <c r="I511" s="22" t="s">
        <v>3353</v>
      </c>
      <c r="J511" s="22" t="s">
        <v>4339</v>
      </c>
    </row>
    <row r="512" spans="1:10" ht="57" x14ac:dyDescent="0.2">
      <c r="A512" s="22" t="s">
        <v>3051</v>
      </c>
      <c r="B512" s="22">
        <v>2025</v>
      </c>
      <c r="C512" s="22" t="s">
        <v>4879</v>
      </c>
      <c r="D512" s="22" t="s">
        <v>4880</v>
      </c>
      <c r="E512" s="22" t="s">
        <v>4776</v>
      </c>
      <c r="F512" s="22" t="s">
        <v>4337</v>
      </c>
      <c r="G512" s="22"/>
      <c r="H512" s="22" t="s">
        <v>4881</v>
      </c>
      <c r="I512" s="22" t="s">
        <v>3510</v>
      </c>
      <c r="J512" s="22" t="s">
        <v>4339</v>
      </c>
    </row>
    <row r="513" spans="1:10" ht="57" x14ac:dyDescent="0.2">
      <c r="A513" s="22" t="s">
        <v>3058</v>
      </c>
      <c r="B513" s="22">
        <v>2025</v>
      </c>
      <c r="C513" s="22" t="s">
        <v>4882</v>
      </c>
      <c r="D513" s="22" t="s">
        <v>4883</v>
      </c>
      <c r="E513" s="22" t="s">
        <v>4776</v>
      </c>
      <c r="F513" s="22" t="s">
        <v>4337</v>
      </c>
      <c r="G513" s="22"/>
      <c r="H513" s="22" t="s">
        <v>4884</v>
      </c>
      <c r="I513" s="22" t="s">
        <v>3510</v>
      </c>
      <c r="J513" s="22" t="s">
        <v>4339</v>
      </c>
    </row>
    <row r="514" spans="1:10" ht="57" x14ac:dyDescent="0.2">
      <c r="A514" s="22" t="s">
        <v>3065</v>
      </c>
      <c r="B514" s="22">
        <v>2026</v>
      </c>
      <c r="C514" s="22" t="s">
        <v>4885</v>
      </c>
      <c r="D514" s="22" t="s">
        <v>4886</v>
      </c>
      <c r="E514" s="22" t="s">
        <v>4776</v>
      </c>
      <c r="F514" s="22" t="s">
        <v>4337</v>
      </c>
      <c r="G514" s="22"/>
      <c r="H514" s="22" t="s">
        <v>4887</v>
      </c>
      <c r="I514" s="22" t="s">
        <v>3353</v>
      </c>
      <c r="J514" s="22" t="s">
        <v>4339</v>
      </c>
    </row>
    <row r="515" spans="1:10" ht="76" x14ac:dyDescent="0.2">
      <c r="A515" s="22" t="s">
        <v>3072</v>
      </c>
      <c r="B515" s="22">
        <v>2026</v>
      </c>
      <c r="C515" s="22" t="s">
        <v>4888</v>
      </c>
      <c r="D515" s="22" t="s">
        <v>4889</v>
      </c>
      <c r="E515" s="22" t="s">
        <v>4776</v>
      </c>
      <c r="F515" s="22" t="s">
        <v>4337</v>
      </c>
      <c r="G515" s="22"/>
      <c r="H515" s="22" t="s">
        <v>4890</v>
      </c>
      <c r="I515" s="22" t="s">
        <v>3353</v>
      </c>
      <c r="J515" s="22" t="s">
        <v>4339</v>
      </c>
    </row>
    <row r="516" spans="1:10" ht="76" x14ac:dyDescent="0.2">
      <c r="A516" s="22" t="s">
        <v>3080</v>
      </c>
      <c r="B516" s="22">
        <v>2026</v>
      </c>
      <c r="C516" s="22" t="s">
        <v>4891</v>
      </c>
      <c r="D516" s="22" t="s">
        <v>4892</v>
      </c>
      <c r="E516" s="22" t="s">
        <v>4776</v>
      </c>
      <c r="F516" s="22" t="s">
        <v>4337</v>
      </c>
      <c r="G516" s="22"/>
      <c r="H516" s="22" t="s">
        <v>4893</v>
      </c>
      <c r="I516" s="22" t="s">
        <v>3353</v>
      </c>
      <c r="J516" s="22" t="s">
        <v>4339</v>
      </c>
    </row>
    <row r="517" spans="1:10" ht="57" x14ac:dyDescent="0.2">
      <c r="A517" s="22" t="s">
        <v>3087</v>
      </c>
      <c r="B517" s="22">
        <v>2026</v>
      </c>
      <c r="C517" s="22" t="s">
        <v>4894</v>
      </c>
      <c r="D517" s="22" t="s">
        <v>4895</v>
      </c>
      <c r="E517" s="22" t="s">
        <v>4776</v>
      </c>
      <c r="F517" s="22" t="s">
        <v>4337</v>
      </c>
      <c r="G517" s="22"/>
      <c r="H517" s="22" t="s">
        <v>4896</v>
      </c>
      <c r="I517" s="22" t="s">
        <v>3353</v>
      </c>
      <c r="J517" s="22" t="s">
        <v>4339</v>
      </c>
    </row>
    <row r="518" spans="1:10" ht="95" x14ac:dyDescent="0.2">
      <c r="A518" s="22" t="s">
        <v>3095</v>
      </c>
      <c r="B518" s="22">
        <v>2026</v>
      </c>
      <c r="C518" s="22" t="s">
        <v>4897</v>
      </c>
      <c r="D518" s="22" t="s">
        <v>4898</v>
      </c>
      <c r="E518" s="22" t="s">
        <v>4776</v>
      </c>
      <c r="F518" s="22" t="s">
        <v>4337</v>
      </c>
      <c r="G518" s="22"/>
      <c r="H518" s="22" t="s">
        <v>4899</v>
      </c>
      <c r="I518" s="22" t="s">
        <v>3353</v>
      </c>
      <c r="J518" s="22" t="s">
        <v>4339</v>
      </c>
    </row>
    <row r="519" spans="1:10" ht="95" x14ac:dyDescent="0.2">
      <c r="A519" s="22" t="s">
        <v>3102</v>
      </c>
      <c r="B519" s="22">
        <v>2026</v>
      </c>
      <c r="C519" s="22" t="s">
        <v>4900</v>
      </c>
      <c r="D519" s="22" t="s">
        <v>4901</v>
      </c>
      <c r="E519" s="22" t="s">
        <v>4776</v>
      </c>
      <c r="F519" s="22" t="s">
        <v>4337</v>
      </c>
      <c r="G519" s="22"/>
      <c r="H519" s="22" t="s">
        <v>4902</v>
      </c>
      <c r="I519" s="22" t="s">
        <v>3353</v>
      </c>
      <c r="J519" s="22" t="s">
        <v>4339</v>
      </c>
    </row>
    <row r="520" spans="1:10" ht="114" x14ac:dyDescent="0.2">
      <c r="A520" s="22" t="s">
        <v>3109</v>
      </c>
      <c r="B520" s="22">
        <v>2026</v>
      </c>
      <c r="C520" s="22" t="s">
        <v>4903</v>
      </c>
      <c r="D520" s="22" t="s">
        <v>4904</v>
      </c>
      <c r="E520" s="22" t="s">
        <v>4776</v>
      </c>
      <c r="F520" s="22" t="s">
        <v>4337</v>
      </c>
      <c r="G520" s="22"/>
      <c r="H520" s="22" t="s">
        <v>4905</v>
      </c>
      <c r="I520" s="22" t="s">
        <v>3353</v>
      </c>
      <c r="J520" s="22" t="s">
        <v>4339</v>
      </c>
    </row>
    <row r="521" spans="1:10" ht="76" x14ac:dyDescent="0.2">
      <c r="A521" s="22" t="s">
        <v>3117</v>
      </c>
      <c r="B521" s="22">
        <v>2026</v>
      </c>
      <c r="C521" s="22" t="s">
        <v>4906</v>
      </c>
      <c r="D521" s="22" t="s">
        <v>4907</v>
      </c>
      <c r="E521" s="22" t="s">
        <v>4776</v>
      </c>
      <c r="F521" s="22" t="s">
        <v>4337</v>
      </c>
      <c r="G521" s="22"/>
      <c r="H521" s="22" t="s">
        <v>4908</v>
      </c>
      <c r="I521" s="22" t="s">
        <v>3510</v>
      </c>
      <c r="J521" s="22" t="s">
        <v>4339</v>
      </c>
    </row>
    <row r="522" spans="1:10" ht="76" x14ac:dyDescent="0.2">
      <c r="A522" s="22" t="s">
        <v>3125</v>
      </c>
      <c r="B522" s="22">
        <v>2025</v>
      </c>
      <c r="C522" s="22" t="s">
        <v>4909</v>
      </c>
      <c r="D522" s="22" t="s">
        <v>4910</v>
      </c>
      <c r="E522" s="22" t="s">
        <v>4776</v>
      </c>
      <c r="F522" s="22" t="s">
        <v>4337</v>
      </c>
      <c r="G522" s="22"/>
      <c r="H522" s="22" t="s">
        <v>4911</v>
      </c>
      <c r="I522" s="22" t="s">
        <v>3353</v>
      </c>
      <c r="J522" s="22" t="s">
        <v>4339</v>
      </c>
    </row>
    <row r="523" spans="1:10" ht="95" x14ac:dyDescent="0.2">
      <c r="A523" s="22" t="s">
        <v>3132</v>
      </c>
      <c r="B523" s="22">
        <v>2026</v>
      </c>
      <c r="C523" s="22" t="s">
        <v>4912</v>
      </c>
      <c r="D523" s="22" t="s">
        <v>4913</v>
      </c>
      <c r="E523" s="22" t="s">
        <v>4776</v>
      </c>
      <c r="F523" s="22" t="s">
        <v>4337</v>
      </c>
      <c r="G523" s="22"/>
      <c r="H523" s="22" t="s">
        <v>4914</v>
      </c>
      <c r="I523" s="22" t="s">
        <v>3353</v>
      </c>
      <c r="J523" s="22" t="s">
        <v>4339</v>
      </c>
    </row>
    <row r="524" spans="1:10" ht="133" x14ac:dyDescent="0.2">
      <c r="A524" s="22" t="s">
        <v>3140</v>
      </c>
      <c r="B524" s="22">
        <v>2026</v>
      </c>
      <c r="C524" s="22" t="s">
        <v>4915</v>
      </c>
      <c r="D524" s="22" t="s">
        <v>4916</v>
      </c>
      <c r="E524" s="22" t="s">
        <v>4776</v>
      </c>
      <c r="F524" s="22" t="s">
        <v>4337</v>
      </c>
      <c r="G524" s="22"/>
      <c r="H524" s="22" t="s">
        <v>3424</v>
      </c>
      <c r="I524" s="22" t="s">
        <v>3353</v>
      </c>
      <c r="J524" s="22" t="s">
        <v>4339</v>
      </c>
    </row>
    <row r="525" spans="1:10" ht="57" x14ac:dyDescent="0.2">
      <c r="A525" s="22" t="s">
        <v>3147</v>
      </c>
      <c r="B525" s="22">
        <v>2026</v>
      </c>
      <c r="C525" s="22" t="s">
        <v>4917</v>
      </c>
      <c r="D525" s="22" t="s">
        <v>4918</v>
      </c>
      <c r="E525" s="22" t="s">
        <v>4776</v>
      </c>
      <c r="F525" s="22" t="s">
        <v>4337</v>
      </c>
      <c r="G525" s="22"/>
      <c r="H525" s="22" t="s">
        <v>4919</v>
      </c>
      <c r="I525" s="22" t="s">
        <v>3353</v>
      </c>
      <c r="J525" s="22" t="s">
        <v>4339</v>
      </c>
    </row>
    <row r="526" spans="1:10" ht="95" x14ac:dyDescent="0.2">
      <c r="A526" s="22" t="s">
        <v>3163</v>
      </c>
      <c r="B526" s="22">
        <v>2025</v>
      </c>
      <c r="C526" s="22" t="s">
        <v>4920</v>
      </c>
      <c r="D526" s="22" t="s">
        <v>4921</v>
      </c>
      <c r="E526" s="22" t="s">
        <v>4776</v>
      </c>
      <c r="F526" s="22" t="s">
        <v>4337</v>
      </c>
      <c r="G526" s="22"/>
      <c r="H526" s="22" t="s">
        <v>4922</v>
      </c>
      <c r="I526" s="22" t="s">
        <v>3353</v>
      </c>
      <c r="J526" s="22" t="s">
        <v>4339</v>
      </c>
    </row>
    <row r="527" spans="1:10" ht="95" x14ac:dyDescent="0.2">
      <c r="A527" s="22" t="s">
        <v>3171</v>
      </c>
      <c r="B527" s="22">
        <v>2026</v>
      </c>
      <c r="C527" s="22" t="s">
        <v>4923</v>
      </c>
      <c r="D527" s="22" t="s">
        <v>4924</v>
      </c>
      <c r="E527" s="22" t="s">
        <v>4776</v>
      </c>
      <c r="F527" s="22" t="s">
        <v>4337</v>
      </c>
      <c r="G527" s="22"/>
      <c r="H527" s="22" t="s">
        <v>4925</v>
      </c>
      <c r="I527" s="22" t="s">
        <v>3353</v>
      </c>
      <c r="J527" s="22" t="s">
        <v>4339</v>
      </c>
    </row>
    <row r="528" spans="1:10" ht="57" x14ac:dyDescent="0.2">
      <c r="A528" s="22" t="s">
        <v>3179</v>
      </c>
      <c r="B528" s="22">
        <v>2026</v>
      </c>
      <c r="C528" s="22" t="s">
        <v>4926</v>
      </c>
      <c r="D528" s="22" t="s">
        <v>4927</v>
      </c>
      <c r="E528" s="22" t="s">
        <v>4776</v>
      </c>
      <c r="F528" s="22" t="s">
        <v>4337</v>
      </c>
      <c r="G528" s="22"/>
      <c r="H528" s="22" t="s">
        <v>4928</v>
      </c>
      <c r="I528" s="22" t="s">
        <v>3353</v>
      </c>
      <c r="J528" s="22" t="s">
        <v>4339</v>
      </c>
    </row>
    <row r="529" spans="1:10" ht="95" x14ac:dyDescent="0.2">
      <c r="A529" s="22" t="s">
        <v>3187</v>
      </c>
      <c r="B529" s="22">
        <v>2026</v>
      </c>
      <c r="C529" s="22" t="s">
        <v>4929</v>
      </c>
      <c r="D529" s="22" t="s">
        <v>4930</v>
      </c>
      <c r="E529" s="22" t="s">
        <v>4776</v>
      </c>
      <c r="F529" s="22" t="s">
        <v>4337</v>
      </c>
      <c r="G529" s="22"/>
      <c r="H529" s="22" t="s">
        <v>4931</v>
      </c>
      <c r="I529" s="22" t="s">
        <v>3353</v>
      </c>
      <c r="J529" s="22" t="s">
        <v>4339</v>
      </c>
    </row>
    <row r="530" spans="1:10" ht="57" x14ac:dyDescent="0.2">
      <c r="A530" s="22" t="s">
        <v>3194</v>
      </c>
      <c r="B530" s="22">
        <v>2025</v>
      </c>
      <c r="C530" s="22" t="s">
        <v>4932</v>
      </c>
      <c r="D530" s="22" t="s">
        <v>4933</v>
      </c>
      <c r="E530" s="22" t="s">
        <v>4776</v>
      </c>
      <c r="F530" s="22" t="s">
        <v>4337</v>
      </c>
      <c r="G530" s="22"/>
      <c r="H530" s="22" t="s">
        <v>4934</v>
      </c>
      <c r="I530" s="22" t="s">
        <v>3353</v>
      </c>
      <c r="J530" s="22" t="s">
        <v>4339</v>
      </c>
    </row>
    <row r="531" spans="1:10" ht="95" x14ac:dyDescent="0.2">
      <c r="A531" s="22" t="s">
        <v>3201</v>
      </c>
      <c r="B531" s="22">
        <v>2026</v>
      </c>
      <c r="C531" s="22" t="s">
        <v>4935</v>
      </c>
      <c r="D531" s="22" t="s">
        <v>4936</v>
      </c>
      <c r="E531" s="22" t="s">
        <v>4776</v>
      </c>
      <c r="F531" s="22" t="s">
        <v>4337</v>
      </c>
      <c r="G531" s="22"/>
      <c r="H531" s="22" t="s">
        <v>4937</v>
      </c>
      <c r="I531" s="22" t="s">
        <v>3353</v>
      </c>
      <c r="J531" s="22" t="s">
        <v>4339</v>
      </c>
    </row>
    <row r="532" spans="1:10" ht="95" x14ac:dyDescent="0.2">
      <c r="A532" s="22" t="s">
        <v>3209</v>
      </c>
      <c r="B532" s="22">
        <v>2026</v>
      </c>
      <c r="C532" s="22" t="s">
        <v>4938</v>
      </c>
      <c r="D532" s="22" t="s">
        <v>4939</v>
      </c>
      <c r="E532" s="22" t="s">
        <v>4776</v>
      </c>
      <c r="F532" s="22" t="s">
        <v>4337</v>
      </c>
      <c r="G532" s="22"/>
      <c r="H532" s="22" t="s">
        <v>4940</v>
      </c>
      <c r="I532" s="22" t="s">
        <v>3353</v>
      </c>
      <c r="J532" s="22" t="s">
        <v>4339</v>
      </c>
    </row>
    <row r="533" spans="1:10" ht="95" x14ac:dyDescent="0.2">
      <c r="A533" s="22" t="s">
        <v>3217</v>
      </c>
      <c r="B533" s="22">
        <v>2026</v>
      </c>
      <c r="C533" s="22" t="s">
        <v>4941</v>
      </c>
      <c r="D533" s="22" t="s">
        <v>4942</v>
      </c>
      <c r="E533" s="22" t="s">
        <v>4776</v>
      </c>
      <c r="F533" s="22" t="s">
        <v>4337</v>
      </c>
      <c r="G533" s="22"/>
      <c r="H533" s="22" t="s">
        <v>4516</v>
      </c>
      <c r="I533" s="22" t="s">
        <v>3353</v>
      </c>
      <c r="J533" s="22" t="s">
        <v>4339</v>
      </c>
    </row>
    <row r="534" spans="1:10" ht="114" x14ac:dyDescent="0.2">
      <c r="A534" s="22" t="s">
        <v>3223</v>
      </c>
      <c r="B534" s="22">
        <v>2026</v>
      </c>
      <c r="C534" s="22" t="s">
        <v>4943</v>
      </c>
      <c r="D534" s="22" t="s">
        <v>4944</v>
      </c>
      <c r="E534" s="22" t="s">
        <v>4776</v>
      </c>
      <c r="F534" s="22" t="s">
        <v>4337</v>
      </c>
      <c r="G534" s="22"/>
      <c r="H534" s="22" t="s">
        <v>4945</v>
      </c>
      <c r="I534" s="22" t="s">
        <v>3353</v>
      </c>
      <c r="J534" s="22" t="s">
        <v>4339</v>
      </c>
    </row>
    <row r="535" spans="1:10" ht="57" x14ac:dyDescent="0.2">
      <c r="A535" s="22" t="s">
        <v>3229</v>
      </c>
      <c r="B535" s="22">
        <v>2025</v>
      </c>
      <c r="C535" s="22" t="s">
        <v>4946</v>
      </c>
      <c r="D535" s="22" t="s">
        <v>4947</v>
      </c>
      <c r="E535" s="22" t="s">
        <v>4776</v>
      </c>
      <c r="F535" s="22" t="s">
        <v>4337</v>
      </c>
      <c r="G535" s="22"/>
      <c r="H535" s="22" t="s">
        <v>4948</v>
      </c>
      <c r="I535" s="22" t="s">
        <v>3353</v>
      </c>
      <c r="J535" s="22" t="s">
        <v>4339</v>
      </c>
    </row>
    <row r="536" spans="1:10" ht="76" x14ac:dyDescent="0.2">
      <c r="A536" s="22" t="s">
        <v>3236</v>
      </c>
      <c r="B536" s="22">
        <v>2025</v>
      </c>
      <c r="C536" s="22" t="s">
        <v>4949</v>
      </c>
      <c r="D536" s="22" t="s">
        <v>4950</v>
      </c>
      <c r="E536" s="22" t="s">
        <v>4776</v>
      </c>
      <c r="F536" s="22" t="s">
        <v>4337</v>
      </c>
      <c r="G536" s="22"/>
      <c r="H536" s="22" t="s">
        <v>4951</v>
      </c>
      <c r="I536" s="22" t="s">
        <v>3353</v>
      </c>
      <c r="J536" s="22" t="s">
        <v>4339</v>
      </c>
    </row>
    <row r="537" spans="1:10" ht="133" x14ac:dyDescent="0.2">
      <c r="A537" s="22" t="s">
        <v>3243</v>
      </c>
      <c r="B537" s="22">
        <v>2026</v>
      </c>
      <c r="C537" s="22" t="s">
        <v>4952</v>
      </c>
      <c r="D537" s="22" t="s">
        <v>4953</v>
      </c>
      <c r="E537" s="22" t="s">
        <v>4776</v>
      </c>
      <c r="F537" s="22" t="s">
        <v>4337</v>
      </c>
      <c r="G537" s="22"/>
      <c r="H537" s="22" t="s">
        <v>4954</v>
      </c>
      <c r="I537" s="22" t="s">
        <v>3353</v>
      </c>
      <c r="J537" s="22" t="s">
        <v>4339</v>
      </c>
    </row>
    <row r="538" spans="1:10" ht="76" x14ac:dyDescent="0.2">
      <c r="A538" s="22" t="s">
        <v>3248</v>
      </c>
      <c r="B538" s="22">
        <v>2024</v>
      </c>
      <c r="C538" s="22" t="s">
        <v>4955</v>
      </c>
      <c r="D538" s="22" t="s">
        <v>4956</v>
      </c>
      <c r="E538" s="22" t="s">
        <v>4776</v>
      </c>
      <c r="F538" s="22" t="s">
        <v>4337</v>
      </c>
      <c r="G538" s="22"/>
      <c r="H538" s="22" t="s">
        <v>4957</v>
      </c>
      <c r="I538" s="22" t="s">
        <v>3353</v>
      </c>
      <c r="J538" s="22" t="s">
        <v>4339</v>
      </c>
    </row>
    <row r="539" spans="1:10" ht="38" x14ac:dyDescent="0.2">
      <c r="A539" s="22" t="s">
        <v>3256</v>
      </c>
      <c r="B539" s="22">
        <v>2024</v>
      </c>
      <c r="C539" s="22" t="s">
        <v>4958</v>
      </c>
      <c r="D539" s="22" t="s">
        <v>4959</v>
      </c>
      <c r="E539" s="22" t="s">
        <v>4776</v>
      </c>
      <c r="F539" s="22" t="s">
        <v>4337</v>
      </c>
      <c r="G539" s="22"/>
      <c r="H539" s="22" t="s">
        <v>4960</v>
      </c>
      <c r="I539" s="22" t="s">
        <v>3353</v>
      </c>
      <c r="J539" s="22" t="s">
        <v>4339</v>
      </c>
    </row>
    <row r="540" spans="1:10" ht="38" x14ac:dyDescent="0.2">
      <c r="A540" s="22" t="s">
        <v>3264</v>
      </c>
      <c r="B540" s="22">
        <v>2024</v>
      </c>
      <c r="C540" s="22" t="s">
        <v>4961</v>
      </c>
      <c r="D540" s="22" t="s">
        <v>4962</v>
      </c>
      <c r="E540" s="22" t="s">
        <v>4776</v>
      </c>
      <c r="F540" s="22" t="s">
        <v>4337</v>
      </c>
      <c r="G540" s="22"/>
      <c r="H540" s="22" t="s">
        <v>4963</v>
      </c>
      <c r="I540" s="22" t="s">
        <v>3353</v>
      </c>
      <c r="J540" s="22" t="s">
        <v>4339</v>
      </c>
    </row>
    <row r="541" spans="1:10" ht="76" x14ac:dyDescent="0.2">
      <c r="A541" s="22" t="s">
        <v>3272</v>
      </c>
      <c r="B541" s="22">
        <v>2024</v>
      </c>
      <c r="C541" s="22" t="s">
        <v>4964</v>
      </c>
      <c r="D541" s="22" t="s">
        <v>4965</v>
      </c>
      <c r="E541" s="22" t="s">
        <v>4776</v>
      </c>
      <c r="F541" s="22" t="s">
        <v>4337</v>
      </c>
      <c r="G541" s="22"/>
      <c r="H541" s="22" t="s">
        <v>4966</v>
      </c>
      <c r="I541" s="22" t="s">
        <v>3353</v>
      </c>
      <c r="J541" s="22" t="s">
        <v>4339</v>
      </c>
    </row>
    <row r="542" spans="1:10" ht="76" x14ac:dyDescent="0.2">
      <c r="A542" s="22" t="s">
        <v>3278</v>
      </c>
      <c r="B542" s="22">
        <v>2025</v>
      </c>
      <c r="C542" s="22" t="s">
        <v>4967</v>
      </c>
      <c r="D542" s="22" t="s">
        <v>4968</v>
      </c>
      <c r="E542" s="22" t="s">
        <v>4776</v>
      </c>
      <c r="F542" s="22" t="s">
        <v>4337</v>
      </c>
      <c r="G542" s="22"/>
      <c r="H542" s="22" t="s">
        <v>4969</v>
      </c>
      <c r="I542" s="22" t="s">
        <v>3353</v>
      </c>
      <c r="J542" s="22" t="s">
        <v>4339</v>
      </c>
    </row>
    <row r="543" spans="1:10" ht="57" x14ac:dyDescent="0.2">
      <c r="A543" s="22" t="s">
        <v>3286</v>
      </c>
      <c r="B543" s="22">
        <v>2025</v>
      </c>
      <c r="C543" s="22" t="s">
        <v>4970</v>
      </c>
      <c r="D543" s="22" t="s">
        <v>4971</v>
      </c>
      <c r="E543" s="22" t="s">
        <v>4776</v>
      </c>
      <c r="F543" s="22" t="s">
        <v>4337</v>
      </c>
      <c r="G543" s="22"/>
      <c r="H543" s="22" t="s">
        <v>4972</v>
      </c>
      <c r="I543" s="22" t="s">
        <v>3353</v>
      </c>
      <c r="J543" s="22" t="s">
        <v>4339</v>
      </c>
    </row>
    <row r="544" spans="1:10" ht="38" x14ac:dyDescent="0.2">
      <c r="A544" s="22" t="s">
        <v>3290</v>
      </c>
      <c r="B544" s="22">
        <v>2024</v>
      </c>
      <c r="C544" s="22" t="s">
        <v>4973</v>
      </c>
      <c r="D544" s="22" t="s">
        <v>4974</v>
      </c>
      <c r="E544" s="22" t="s">
        <v>4776</v>
      </c>
      <c r="F544" s="22" t="s">
        <v>4337</v>
      </c>
      <c r="G544" s="22"/>
      <c r="H544" s="22" t="s">
        <v>4975</v>
      </c>
      <c r="I544" s="22" t="s">
        <v>3353</v>
      </c>
      <c r="J544" s="22" t="s">
        <v>4339</v>
      </c>
    </row>
    <row r="545" spans="1:10" ht="38" x14ac:dyDescent="0.2">
      <c r="A545" s="22" t="s">
        <v>3298</v>
      </c>
      <c r="B545" s="22">
        <v>2024</v>
      </c>
      <c r="C545" s="22" t="s">
        <v>4976</v>
      </c>
      <c r="D545" s="22" t="s">
        <v>4977</v>
      </c>
      <c r="E545" s="22" t="s">
        <v>4776</v>
      </c>
      <c r="F545" s="22" t="s">
        <v>4337</v>
      </c>
      <c r="G545" s="22"/>
      <c r="H545" s="22" t="s">
        <v>4978</v>
      </c>
      <c r="I545" s="22" t="s">
        <v>3353</v>
      </c>
      <c r="J545" s="22" t="s">
        <v>4339</v>
      </c>
    </row>
    <row r="546" spans="1:10" ht="38" x14ac:dyDescent="0.2">
      <c r="A546" s="22" t="s">
        <v>3306</v>
      </c>
      <c r="B546" s="22">
        <v>2024</v>
      </c>
      <c r="C546" s="22" t="s">
        <v>4979</v>
      </c>
      <c r="D546" s="22" t="s">
        <v>4980</v>
      </c>
      <c r="E546" s="22" t="s">
        <v>4776</v>
      </c>
      <c r="F546" s="22" t="s">
        <v>4337</v>
      </c>
      <c r="G546" s="22"/>
      <c r="H546" s="22" t="s">
        <v>3597</v>
      </c>
      <c r="I546" s="22" t="s">
        <v>3353</v>
      </c>
      <c r="J546" s="22" t="s">
        <v>4339</v>
      </c>
    </row>
    <row r="547" spans="1:10" ht="76" x14ac:dyDescent="0.2">
      <c r="A547" s="22" t="s">
        <v>3313</v>
      </c>
      <c r="B547" s="22">
        <v>2026</v>
      </c>
      <c r="C547" s="22" t="s">
        <v>4981</v>
      </c>
      <c r="D547" s="22" t="s">
        <v>4982</v>
      </c>
      <c r="E547" s="22" t="s">
        <v>4776</v>
      </c>
      <c r="F547" s="22" t="s">
        <v>4337</v>
      </c>
      <c r="G547" s="22"/>
      <c r="H547" s="22" t="s">
        <v>4983</v>
      </c>
      <c r="I547" s="22" t="s">
        <v>3353</v>
      </c>
      <c r="J547" s="22" t="s">
        <v>4339</v>
      </c>
    </row>
    <row r="548" spans="1:10" ht="76" x14ac:dyDescent="0.2">
      <c r="A548" s="22" t="s">
        <v>3318</v>
      </c>
      <c r="B548" s="22">
        <v>2025</v>
      </c>
      <c r="C548" s="22" t="s">
        <v>4984</v>
      </c>
      <c r="D548" s="22" t="s">
        <v>4985</v>
      </c>
      <c r="E548" s="22" t="s">
        <v>4776</v>
      </c>
      <c r="F548" s="22" t="s">
        <v>4337</v>
      </c>
      <c r="G548" s="22"/>
      <c r="H548" s="22" t="s">
        <v>4986</v>
      </c>
      <c r="I548" s="22" t="s">
        <v>3353</v>
      </c>
      <c r="J548" s="22" t="s">
        <v>4339</v>
      </c>
    </row>
    <row r="549" spans="1:10" ht="152" x14ac:dyDescent="0.2">
      <c r="A549" s="22" t="s">
        <v>3325</v>
      </c>
      <c r="B549" s="22">
        <v>2026</v>
      </c>
      <c r="C549" s="22" t="s">
        <v>4987</v>
      </c>
      <c r="D549" s="22" t="s">
        <v>4988</v>
      </c>
      <c r="E549" s="22" t="s">
        <v>4776</v>
      </c>
      <c r="F549" s="22" t="s">
        <v>4337</v>
      </c>
      <c r="G549" s="22"/>
      <c r="H549" s="22" t="s">
        <v>4989</v>
      </c>
      <c r="I549" s="22" t="s">
        <v>3353</v>
      </c>
      <c r="J549" s="22" t="s">
        <v>4339</v>
      </c>
    </row>
    <row r="550" spans="1:10" ht="95" x14ac:dyDescent="0.2">
      <c r="A550" s="22" t="s">
        <v>3332</v>
      </c>
      <c r="B550" s="22">
        <v>2026</v>
      </c>
      <c r="C550" s="22" t="s">
        <v>4990</v>
      </c>
      <c r="D550" s="22" t="s">
        <v>4991</v>
      </c>
      <c r="E550" s="22" t="s">
        <v>4776</v>
      </c>
      <c r="F550" s="22" t="s">
        <v>4337</v>
      </c>
      <c r="G550" s="22"/>
      <c r="H550" s="22" t="s">
        <v>4992</v>
      </c>
      <c r="I550" s="22" t="s">
        <v>3353</v>
      </c>
      <c r="J550" s="22" t="s">
        <v>4339</v>
      </c>
    </row>
    <row r="551" spans="1:10" ht="114" x14ac:dyDescent="0.2">
      <c r="A551" s="22" t="s">
        <v>2825</v>
      </c>
      <c r="B551" s="22">
        <v>2025</v>
      </c>
      <c r="C551" s="22" t="s">
        <v>4993</v>
      </c>
      <c r="D551" s="22" t="s">
        <v>4994</v>
      </c>
      <c r="E551" s="22" t="s">
        <v>4995</v>
      </c>
      <c r="F551" s="22" t="s">
        <v>4996</v>
      </c>
      <c r="G551" s="22"/>
      <c r="H551" s="22" t="s">
        <v>4997</v>
      </c>
      <c r="I551" s="22" t="s">
        <v>3353</v>
      </c>
      <c r="J551" s="22" t="s">
        <v>4998</v>
      </c>
    </row>
    <row r="552" spans="1:10" ht="76" x14ac:dyDescent="0.2">
      <c r="A552" s="22" t="s">
        <v>2825</v>
      </c>
      <c r="B552" s="22">
        <v>2025</v>
      </c>
      <c r="C552" s="22" t="s">
        <v>4999</v>
      </c>
      <c r="D552" s="22" t="s">
        <v>5000</v>
      </c>
      <c r="E552" s="22" t="s">
        <v>4995</v>
      </c>
      <c r="F552" s="22" t="s">
        <v>4996</v>
      </c>
      <c r="G552" s="22"/>
      <c r="H552" s="22" t="s">
        <v>5001</v>
      </c>
      <c r="I552" s="22" t="s">
        <v>3353</v>
      </c>
      <c r="J552" s="22" t="s">
        <v>4998</v>
      </c>
    </row>
    <row r="553" spans="1:10" ht="133" x14ac:dyDescent="0.2">
      <c r="A553" s="22" t="s">
        <v>2833</v>
      </c>
      <c r="B553" s="22">
        <v>2026</v>
      </c>
      <c r="C553" s="22" t="s">
        <v>5002</v>
      </c>
      <c r="D553" s="22" t="s">
        <v>5003</v>
      </c>
      <c r="E553" s="22" t="s">
        <v>4995</v>
      </c>
      <c r="F553" s="22" t="s">
        <v>4996</v>
      </c>
      <c r="G553" s="22"/>
      <c r="H553" s="22" t="s">
        <v>5004</v>
      </c>
      <c r="I553" s="22" t="s">
        <v>3353</v>
      </c>
      <c r="J553" s="22" t="s">
        <v>4998</v>
      </c>
    </row>
    <row r="554" spans="1:10" ht="95" x14ac:dyDescent="0.2">
      <c r="A554" s="22" t="s">
        <v>2833</v>
      </c>
      <c r="B554" s="22">
        <v>2026</v>
      </c>
      <c r="C554" s="22" t="s">
        <v>5005</v>
      </c>
      <c r="D554" s="22" t="s">
        <v>5006</v>
      </c>
      <c r="E554" s="22" t="s">
        <v>4995</v>
      </c>
      <c r="F554" s="22" t="s">
        <v>4996</v>
      </c>
      <c r="G554" s="22"/>
      <c r="H554" s="22" t="s">
        <v>5007</v>
      </c>
      <c r="I554" s="22" t="s">
        <v>3353</v>
      </c>
      <c r="J554" s="22" t="s">
        <v>4998</v>
      </c>
    </row>
    <row r="555" spans="1:10" ht="76" x14ac:dyDescent="0.2">
      <c r="A555" s="22" t="s">
        <v>2833</v>
      </c>
      <c r="B555" s="22">
        <v>2026</v>
      </c>
      <c r="C555" s="22" t="s">
        <v>5008</v>
      </c>
      <c r="D555" s="22" t="s">
        <v>5009</v>
      </c>
      <c r="E555" s="22" t="s">
        <v>4995</v>
      </c>
      <c r="F555" s="22" t="s">
        <v>4996</v>
      </c>
      <c r="G555" s="22"/>
      <c r="H555" s="22" t="s">
        <v>5010</v>
      </c>
      <c r="I555" s="22" t="s">
        <v>3353</v>
      </c>
      <c r="J555" s="22" t="s">
        <v>4998</v>
      </c>
    </row>
    <row r="556" spans="1:10" ht="95" x14ac:dyDescent="0.2">
      <c r="A556" s="22" t="s">
        <v>2841</v>
      </c>
      <c r="B556" s="22">
        <v>2026</v>
      </c>
      <c r="C556" s="22" t="s">
        <v>5011</v>
      </c>
      <c r="D556" s="22" t="s">
        <v>5012</v>
      </c>
      <c r="E556" s="22" t="s">
        <v>4995</v>
      </c>
      <c r="F556" s="22" t="s">
        <v>4996</v>
      </c>
      <c r="G556" s="22"/>
      <c r="H556" s="22" t="s">
        <v>5013</v>
      </c>
      <c r="I556" s="22" t="s">
        <v>3353</v>
      </c>
      <c r="J556" s="22" t="s">
        <v>4998</v>
      </c>
    </row>
    <row r="557" spans="1:10" ht="95" x14ac:dyDescent="0.2">
      <c r="A557" s="22" t="s">
        <v>2841</v>
      </c>
      <c r="B557" s="22">
        <v>2026</v>
      </c>
      <c r="C557" s="22" t="s">
        <v>5014</v>
      </c>
      <c r="D557" s="22" t="s">
        <v>5015</v>
      </c>
      <c r="E557" s="22" t="s">
        <v>4995</v>
      </c>
      <c r="F557" s="22" t="s">
        <v>4996</v>
      </c>
      <c r="G557" s="22"/>
      <c r="H557" s="22" t="s">
        <v>5016</v>
      </c>
      <c r="I557" s="22" t="s">
        <v>3353</v>
      </c>
      <c r="J557" s="22" t="s">
        <v>4998</v>
      </c>
    </row>
    <row r="558" spans="1:10" ht="95" x14ac:dyDescent="0.2">
      <c r="A558" s="22" t="s">
        <v>2841</v>
      </c>
      <c r="B558" s="22">
        <v>2026</v>
      </c>
      <c r="C558" s="22" t="s">
        <v>5017</v>
      </c>
      <c r="D558" s="22" t="s">
        <v>5018</v>
      </c>
      <c r="E558" s="22" t="s">
        <v>4995</v>
      </c>
      <c r="F558" s="22" t="s">
        <v>4996</v>
      </c>
      <c r="G558" s="22"/>
      <c r="H558" s="22" t="s">
        <v>5019</v>
      </c>
      <c r="I558" s="22" t="s">
        <v>3353</v>
      </c>
      <c r="J558" s="22" t="s">
        <v>4998</v>
      </c>
    </row>
    <row r="559" spans="1:10" ht="76" x14ac:dyDescent="0.2">
      <c r="A559" s="22" t="s">
        <v>2841</v>
      </c>
      <c r="B559" s="22">
        <v>2026</v>
      </c>
      <c r="C559" s="22" t="s">
        <v>5020</v>
      </c>
      <c r="D559" s="22" t="s">
        <v>5021</v>
      </c>
      <c r="E559" s="22" t="s">
        <v>4995</v>
      </c>
      <c r="F559" s="22" t="s">
        <v>4996</v>
      </c>
      <c r="G559" s="22"/>
      <c r="H559" s="22" t="s">
        <v>5022</v>
      </c>
      <c r="I559" s="22" t="s">
        <v>3353</v>
      </c>
      <c r="J559" s="22" t="s">
        <v>4998</v>
      </c>
    </row>
    <row r="560" spans="1:10" ht="76" x14ac:dyDescent="0.2">
      <c r="A560" s="22" t="s">
        <v>2849</v>
      </c>
      <c r="B560" s="22">
        <v>2026</v>
      </c>
      <c r="C560" s="22" t="s">
        <v>5023</v>
      </c>
      <c r="D560" s="22" t="s">
        <v>5024</v>
      </c>
      <c r="E560" s="22" t="s">
        <v>4995</v>
      </c>
      <c r="F560" s="22" t="s">
        <v>4996</v>
      </c>
      <c r="G560" s="22"/>
      <c r="H560" s="22" t="s">
        <v>5025</v>
      </c>
      <c r="I560" s="22" t="s">
        <v>3353</v>
      </c>
      <c r="J560" s="22" t="s">
        <v>4998</v>
      </c>
    </row>
    <row r="561" spans="1:10" ht="57" x14ac:dyDescent="0.2">
      <c r="A561" s="23" t="s">
        <v>2849</v>
      </c>
      <c r="B561" s="23">
        <v>2026</v>
      </c>
      <c r="C561" s="23" t="s">
        <v>5026</v>
      </c>
      <c r="D561" s="23" t="s">
        <v>5027</v>
      </c>
      <c r="E561" s="23" t="s">
        <v>4995</v>
      </c>
      <c r="F561" s="23" t="s">
        <v>4996</v>
      </c>
      <c r="G561" s="23"/>
      <c r="H561" s="23" t="s">
        <v>5028</v>
      </c>
      <c r="I561" s="23" t="s">
        <v>3353</v>
      </c>
      <c r="J561" s="23" t="s">
        <v>4998</v>
      </c>
    </row>
    <row r="562" spans="1:10" ht="114" x14ac:dyDescent="0.2">
      <c r="A562" s="23" t="s">
        <v>2857</v>
      </c>
      <c r="B562" s="23">
        <v>2026</v>
      </c>
      <c r="C562" s="23" t="s">
        <v>5029</v>
      </c>
      <c r="D562" s="23" t="s">
        <v>5030</v>
      </c>
      <c r="E562" s="23" t="s">
        <v>4995</v>
      </c>
      <c r="F562" s="23" t="s">
        <v>4996</v>
      </c>
      <c r="G562" s="23"/>
      <c r="H562" s="23" t="s">
        <v>5031</v>
      </c>
      <c r="I562" s="23" t="s">
        <v>3353</v>
      </c>
      <c r="J562" s="23" t="s">
        <v>4998</v>
      </c>
    </row>
    <row r="563" spans="1:10" ht="76" x14ac:dyDescent="0.2">
      <c r="A563" s="23" t="s">
        <v>2857</v>
      </c>
      <c r="B563" s="23">
        <v>2026</v>
      </c>
      <c r="C563" s="23" t="s">
        <v>5032</v>
      </c>
      <c r="D563" s="23" t="s">
        <v>5033</v>
      </c>
      <c r="E563" s="23" t="s">
        <v>4995</v>
      </c>
      <c r="F563" s="23" t="s">
        <v>4996</v>
      </c>
      <c r="G563" s="23"/>
      <c r="H563" s="23" t="s">
        <v>5034</v>
      </c>
      <c r="I563" s="23" t="s">
        <v>3353</v>
      </c>
      <c r="J563" s="23" t="s">
        <v>4998</v>
      </c>
    </row>
    <row r="564" spans="1:10" ht="114" x14ac:dyDescent="0.2">
      <c r="A564" s="23" t="s">
        <v>2865</v>
      </c>
      <c r="B564" s="23">
        <v>2025</v>
      </c>
      <c r="C564" s="23" t="s">
        <v>5035</v>
      </c>
      <c r="D564" s="23" t="s">
        <v>5036</v>
      </c>
      <c r="E564" s="23" t="s">
        <v>4995</v>
      </c>
      <c r="F564" s="23" t="s">
        <v>4996</v>
      </c>
      <c r="G564" s="23"/>
      <c r="H564" s="23" t="s">
        <v>5037</v>
      </c>
      <c r="I564" s="23" t="s">
        <v>3353</v>
      </c>
      <c r="J564" s="23" t="s">
        <v>4998</v>
      </c>
    </row>
    <row r="565" spans="1:10" ht="76" x14ac:dyDescent="0.2">
      <c r="A565" s="23" t="s">
        <v>2865</v>
      </c>
      <c r="B565" s="23">
        <v>2025</v>
      </c>
      <c r="C565" s="23" t="s">
        <v>5038</v>
      </c>
      <c r="D565" s="23" t="s">
        <v>5039</v>
      </c>
      <c r="E565" s="23" t="s">
        <v>4995</v>
      </c>
      <c r="F565" s="23" t="s">
        <v>4996</v>
      </c>
      <c r="G565" s="23"/>
      <c r="H565" s="23" t="s">
        <v>5040</v>
      </c>
      <c r="I565" s="23" t="s">
        <v>3353</v>
      </c>
      <c r="J565" s="23" t="s">
        <v>4998</v>
      </c>
    </row>
    <row r="566" spans="1:10" ht="57" x14ac:dyDescent="0.2">
      <c r="A566" s="23" t="s">
        <v>2865</v>
      </c>
      <c r="B566" s="23">
        <v>2025</v>
      </c>
      <c r="C566" s="23" t="s">
        <v>5041</v>
      </c>
      <c r="D566" s="23" t="s">
        <v>5042</v>
      </c>
      <c r="E566" s="23" t="s">
        <v>4995</v>
      </c>
      <c r="F566" s="23" t="s">
        <v>4996</v>
      </c>
      <c r="G566" s="23"/>
      <c r="H566" s="23" t="s">
        <v>5043</v>
      </c>
      <c r="I566" s="23" t="s">
        <v>3510</v>
      </c>
      <c r="J566" s="23" t="s">
        <v>4998</v>
      </c>
    </row>
    <row r="567" spans="1:10" ht="76" x14ac:dyDescent="0.2">
      <c r="A567" s="23" t="s">
        <v>2873</v>
      </c>
      <c r="B567" s="23">
        <v>2025</v>
      </c>
      <c r="C567" s="23" t="s">
        <v>5044</v>
      </c>
      <c r="D567" s="23" t="s">
        <v>5045</v>
      </c>
      <c r="E567" s="23" t="s">
        <v>4995</v>
      </c>
      <c r="F567" s="23" t="s">
        <v>4996</v>
      </c>
      <c r="G567" s="23"/>
      <c r="H567" s="23" t="s">
        <v>4373</v>
      </c>
      <c r="I567" s="23" t="s">
        <v>3353</v>
      </c>
      <c r="J567" s="23" t="s">
        <v>4998</v>
      </c>
    </row>
    <row r="568" spans="1:10" ht="57" x14ac:dyDescent="0.2">
      <c r="A568" s="23" t="s">
        <v>2873</v>
      </c>
      <c r="B568" s="23">
        <v>2025</v>
      </c>
      <c r="C568" s="23" t="s">
        <v>5046</v>
      </c>
      <c r="D568" s="23" t="s">
        <v>5047</v>
      </c>
      <c r="E568" s="23" t="s">
        <v>4995</v>
      </c>
      <c r="F568" s="23" t="s">
        <v>4996</v>
      </c>
      <c r="G568" s="23"/>
      <c r="H568" s="23" t="s">
        <v>4373</v>
      </c>
      <c r="I568" s="23" t="s">
        <v>3510</v>
      </c>
      <c r="J568" s="23" t="s">
        <v>4998</v>
      </c>
    </row>
    <row r="569" spans="1:10" ht="152" x14ac:dyDescent="0.2">
      <c r="A569" s="23" t="s">
        <v>2881</v>
      </c>
      <c r="B569" s="23">
        <v>2026</v>
      </c>
      <c r="C569" s="23" t="s">
        <v>5048</v>
      </c>
      <c r="D569" s="23" t="s">
        <v>5049</v>
      </c>
      <c r="E569" s="23" t="s">
        <v>4995</v>
      </c>
      <c r="F569" s="23" t="s">
        <v>4996</v>
      </c>
      <c r="G569" s="23"/>
      <c r="H569" s="23" t="s">
        <v>5050</v>
      </c>
      <c r="I569" s="23" t="s">
        <v>3353</v>
      </c>
      <c r="J569" s="23" t="s">
        <v>4998</v>
      </c>
    </row>
    <row r="570" spans="1:10" ht="76" x14ac:dyDescent="0.2">
      <c r="A570" s="23" t="s">
        <v>2881</v>
      </c>
      <c r="B570" s="23">
        <v>2026</v>
      </c>
      <c r="C570" s="23" t="s">
        <v>5051</v>
      </c>
      <c r="D570" s="23" t="s">
        <v>5052</v>
      </c>
      <c r="E570" s="23" t="s">
        <v>4995</v>
      </c>
      <c r="F570" s="23" t="s">
        <v>4996</v>
      </c>
      <c r="G570" s="23"/>
      <c r="H570" s="23" t="s">
        <v>5053</v>
      </c>
      <c r="I570" s="23" t="s">
        <v>3353</v>
      </c>
      <c r="J570" s="23" t="s">
        <v>4998</v>
      </c>
    </row>
    <row r="571" spans="1:10" ht="152" x14ac:dyDescent="0.2">
      <c r="A571" s="23" t="s">
        <v>2889</v>
      </c>
      <c r="B571" s="23">
        <v>2026</v>
      </c>
      <c r="C571" s="23" t="s">
        <v>5054</v>
      </c>
      <c r="D571" s="23" t="s">
        <v>5055</v>
      </c>
      <c r="E571" s="23" t="s">
        <v>4995</v>
      </c>
      <c r="F571" s="23" t="s">
        <v>4996</v>
      </c>
      <c r="G571" s="23"/>
      <c r="H571" s="23" t="s">
        <v>5056</v>
      </c>
      <c r="I571" s="23" t="s">
        <v>3353</v>
      </c>
      <c r="J571" s="23" t="s">
        <v>4998</v>
      </c>
    </row>
    <row r="572" spans="1:10" ht="114" x14ac:dyDescent="0.2">
      <c r="A572" s="23" t="s">
        <v>2889</v>
      </c>
      <c r="B572" s="23">
        <v>2026</v>
      </c>
      <c r="C572" s="23" t="s">
        <v>5057</v>
      </c>
      <c r="D572" s="23" t="s">
        <v>5058</v>
      </c>
      <c r="E572" s="23" t="s">
        <v>4995</v>
      </c>
      <c r="F572" s="23" t="s">
        <v>4996</v>
      </c>
      <c r="G572" s="23"/>
      <c r="H572" s="23" t="s">
        <v>5059</v>
      </c>
      <c r="I572" s="23" t="s">
        <v>3353</v>
      </c>
      <c r="J572" s="23" t="s">
        <v>4998</v>
      </c>
    </row>
    <row r="573" spans="1:10" ht="114" x14ac:dyDescent="0.2">
      <c r="A573" s="23" t="s">
        <v>2897</v>
      </c>
      <c r="B573" s="23">
        <v>2026</v>
      </c>
      <c r="C573" s="23" t="s">
        <v>5060</v>
      </c>
      <c r="D573" s="23" t="s">
        <v>5061</v>
      </c>
      <c r="E573" s="23" t="s">
        <v>4995</v>
      </c>
      <c r="F573" s="23" t="s">
        <v>4996</v>
      </c>
      <c r="G573" s="23"/>
      <c r="H573" s="23" t="s">
        <v>5062</v>
      </c>
      <c r="I573" s="23" t="s">
        <v>3353</v>
      </c>
      <c r="J573" s="23" t="s">
        <v>4998</v>
      </c>
    </row>
    <row r="574" spans="1:10" ht="133" x14ac:dyDescent="0.2">
      <c r="A574" s="23" t="s">
        <v>2904</v>
      </c>
      <c r="B574" s="23">
        <v>2026</v>
      </c>
      <c r="C574" s="23" t="s">
        <v>5063</v>
      </c>
      <c r="D574" s="23" t="s">
        <v>5064</v>
      </c>
      <c r="E574" s="23" t="s">
        <v>4995</v>
      </c>
      <c r="F574" s="23" t="s">
        <v>4996</v>
      </c>
      <c r="G574" s="23"/>
      <c r="H574" s="23" t="s">
        <v>5065</v>
      </c>
      <c r="I574" s="23" t="s">
        <v>3353</v>
      </c>
      <c r="J574" s="23" t="s">
        <v>4998</v>
      </c>
    </row>
    <row r="575" spans="1:10" ht="114" x14ac:dyDescent="0.2">
      <c r="A575" s="23" t="s">
        <v>2904</v>
      </c>
      <c r="B575" s="23">
        <v>2026</v>
      </c>
      <c r="C575" s="23" t="s">
        <v>5066</v>
      </c>
      <c r="D575" s="23" t="s">
        <v>5067</v>
      </c>
      <c r="E575" s="23" t="s">
        <v>4995</v>
      </c>
      <c r="F575" s="23" t="s">
        <v>4996</v>
      </c>
      <c r="G575" s="23"/>
      <c r="H575" s="23" t="s">
        <v>5068</v>
      </c>
      <c r="I575" s="23" t="s">
        <v>3353</v>
      </c>
      <c r="J575" s="23" t="s">
        <v>4998</v>
      </c>
    </row>
    <row r="576" spans="1:10" ht="114" x14ac:dyDescent="0.2">
      <c r="A576" s="23" t="s">
        <v>2912</v>
      </c>
      <c r="B576" s="23">
        <v>2026</v>
      </c>
      <c r="C576" s="23" t="s">
        <v>5069</v>
      </c>
      <c r="D576" s="23" t="s">
        <v>5070</v>
      </c>
      <c r="E576" s="23" t="s">
        <v>4995</v>
      </c>
      <c r="F576" s="23" t="s">
        <v>4996</v>
      </c>
      <c r="G576" s="23"/>
      <c r="H576" s="23" t="s">
        <v>5071</v>
      </c>
      <c r="I576" s="23" t="s">
        <v>3353</v>
      </c>
      <c r="J576" s="23" t="s">
        <v>4998</v>
      </c>
    </row>
    <row r="577" spans="1:10" ht="190" x14ac:dyDescent="0.2">
      <c r="A577" s="23" t="s">
        <v>2920</v>
      </c>
      <c r="B577" s="23">
        <v>2026</v>
      </c>
      <c r="C577" s="23" t="s">
        <v>5072</v>
      </c>
      <c r="D577" s="23" t="s">
        <v>5073</v>
      </c>
      <c r="E577" s="23" t="s">
        <v>4995</v>
      </c>
      <c r="F577" s="23" t="s">
        <v>4996</v>
      </c>
      <c r="G577" s="23"/>
      <c r="H577" s="23" t="s">
        <v>5074</v>
      </c>
      <c r="I577" s="23" t="s">
        <v>3353</v>
      </c>
      <c r="J577" s="23" t="s">
        <v>4998</v>
      </c>
    </row>
    <row r="578" spans="1:10" ht="171" x14ac:dyDescent="0.2">
      <c r="A578" s="23" t="s">
        <v>2920</v>
      </c>
      <c r="B578" s="23">
        <v>2026</v>
      </c>
      <c r="C578" s="23" t="s">
        <v>5075</v>
      </c>
      <c r="D578" s="23" t="s">
        <v>5076</v>
      </c>
      <c r="E578" s="23" t="s">
        <v>4995</v>
      </c>
      <c r="F578" s="23" t="s">
        <v>4996</v>
      </c>
      <c r="G578" s="23"/>
      <c r="H578" s="23" t="s">
        <v>5077</v>
      </c>
      <c r="I578" s="23" t="s">
        <v>3353</v>
      </c>
      <c r="J578" s="23" t="s">
        <v>4998</v>
      </c>
    </row>
    <row r="579" spans="1:10" ht="57" x14ac:dyDescent="0.2">
      <c r="A579" s="23" t="s">
        <v>2928</v>
      </c>
      <c r="B579" s="23">
        <v>2025</v>
      </c>
      <c r="C579" s="23" t="s">
        <v>5078</v>
      </c>
      <c r="D579" s="23" t="s">
        <v>5079</v>
      </c>
      <c r="E579" s="23" t="s">
        <v>4995</v>
      </c>
      <c r="F579" s="23" t="s">
        <v>4996</v>
      </c>
      <c r="G579" s="23"/>
      <c r="H579" s="23" t="s">
        <v>5080</v>
      </c>
      <c r="I579" s="23" t="s">
        <v>3510</v>
      </c>
      <c r="J579" s="23" t="s">
        <v>4998</v>
      </c>
    </row>
    <row r="580" spans="1:10" ht="152" x14ac:dyDescent="0.2">
      <c r="A580" s="23" t="s">
        <v>2936</v>
      </c>
      <c r="B580" s="23">
        <v>2025</v>
      </c>
      <c r="C580" s="23" t="s">
        <v>5081</v>
      </c>
      <c r="D580" s="23" t="s">
        <v>5082</v>
      </c>
      <c r="E580" s="23" t="s">
        <v>4995</v>
      </c>
      <c r="F580" s="23" t="s">
        <v>4996</v>
      </c>
      <c r="G580" s="23"/>
      <c r="H580" s="23" t="s">
        <v>5083</v>
      </c>
      <c r="I580" s="23" t="s">
        <v>3353</v>
      </c>
      <c r="J580" s="23" t="s">
        <v>4998</v>
      </c>
    </row>
    <row r="581" spans="1:10" ht="247" x14ac:dyDescent="0.2">
      <c r="A581" s="23" t="s">
        <v>2944</v>
      </c>
      <c r="B581" s="23">
        <v>2026</v>
      </c>
      <c r="C581" s="23" t="s">
        <v>5084</v>
      </c>
      <c r="D581" s="23" t="s">
        <v>5085</v>
      </c>
      <c r="E581" s="23" t="s">
        <v>4995</v>
      </c>
      <c r="F581" s="23" t="s">
        <v>4996</v>
      </c>
      <c r="G581" s="23"/>
      <c r="H581" s="23" t="s">
        <v>5086</v>
      </c>
      <c r="I581" s="23" t="s">
        <v>3353</v>
      </c>
      <c r="J581" s="23" t="s">
        <v>4998</v>
      </c>
    </row>
    <row r="582" spans="1:10" ht="190" x14ac:dyDescent="0.2">
      <c r="A582" s="23" t="s">
        <v>2952</v>
      </c>
      <c r="B582" s="23">
        <v>2026</v>
      </c>
      <c r="C582" s="23" t="s">
        <v>5087</v>
      </c>
      <c r="D582" s="23" t="s">
        <v>5088</v>
      </c>
      <c r="E582" s="23" t="s">
        <v>4995</v>
      </c>
      <c r="F582" s="23" t="s">
        <v>4996</v>
      </c>
      <c r="G582" s="23"/>
      <c r="H582" s="23" t="s">
        <v>5089</v>
      </c>
      <c r="I582" s="23" t="s">
        <v>3353</v>
      </c>
      <c r="J582" s="23" t="s">
        <v>4998</v>
      </c>
    </row>
    <row r="583" spans="1:10" ht="171" x14ac:dyDescent="0.2">
      <c r="A583" s="23" t="s">
        <v>2959</v>
      </c>
      <c r="B583" s="23">
        <v>2025</v>
      </c>
      <c r="C583" s="23" t="s">
        <v>5090</v>
      </c>
      <c r="D583" s="23" t="s">
        <v>5091</v>
      </c>
      <c r="E583" s="23" t="s">
        <v>4995</v>
      </c>
      <c r="F583" s="23" t="s">
        <v>4996</v>
      </c>
      <c r="G583" s="23"/>
      <c r="H583" s="23" t="s">
        <v>5092</v>
      </c>
      <c r="I583" s="23" t="s">
        <v>3353</v>
      </c>
      <c r="J583" s="23" t="s">
        <v>4998</v>
      </c>
    </row>
    <row r="584" spans="1:10" ht="95" x14ac:dyDescent="0.2">
      <c r="A584" s="23" t="s">
        <v>2967</v>
      </c>
      <c r="B584" s="23">
        <v>2025</v>
      </c>
      <c r="C584" s="23" t="s">
        <v>5093</v>
      </c>
      <c r="D584" s="23" t="s">
        <v>5094</v>
      </c>
      <c r="E584" s="23" t="s">
        <v>4995</v>
      </c>
      <c r="F584" s="23" t="s">
        <v>4996</v>
      </c>
      <c r="G584" s="23"/>
      <c r="H584" s="23" t="s">
        <v>5095</v>
      </c>
      <c r="I584" s="23" t="s">
        <v>3353</v>
      </c>
      <c r="J584" s="23" t="s">
        <v>4998</v>
      </c>
    </row>
    <row r="585" spans="1:10" ht="95" x14ac:dyDescent="0.2">
      <c r="A585" s="23" t="s">
        <v>2975</v>
      </c>
      <c r="B585" s="23">
        <v>2025</v>
      </c>
      <c r="C585" s="23" t="s">
        <v>5096</v>
      </c>
      <c r="D585" s="23" t="s">
        <v>5097</v>
      </c>
      <c r="E585" s="23" t="s">
        <v>4995</v>
      </c>
      <c r="F585" s="23" t="s">
        <v>4996</v>
      </c>
      <c r="G585" s="23"/>
      <c r="H585" s="23" t="s">
        <v>5098</v>
      </c>
      <c r="I585" s="23" t="s">
        <v>3353</v>
      </c>
      <c r="J585" s="23" t="s">
        <v>4998</v>
      </c>
    </row>
    <row r="586" spans="1:10" ht="133" x14ac:dyDescent="0.2">
      <c r="A586" s="23" t="s">
        <v>2983</v>
      </c>
      <c r="B586" s="23">
        <v>2026</v>
      </c>
      <c r="C586" s="23" t="s">
        <v>5099</v>
      </c>
      <c r="D586" s="23" t="s">
        <v>5100</v>
      </c>
      <c r="E586" s="23" t="s">
        <v>4995</v>
      </c>
      <c r="F586" s="23" t="s">
        <v>4996</v>
      </c>
      <c r="G586" s="23"/>
      <c r="H586" s="23" t="s">
        <v>5101</v>
      </c>
      <c r="I586" s="23" t="s">
        <v>3353</v>
      </c>
      <c r="J586" s="23" t="s">
        <v>4998</v>
      </c>
    </row>
    <row r="587" spans="1:10" ht="171" x14ac:dyDescent="0.2">
      <c r="A587" s="23" t="s">
        <v>2989</v>
      </c>
      <c r="B587" s="23">
        <v>2026</v>
      </c>
      <c r="C587" s="23" t="s">
        <v>5102</v>
      </c>
      <c r="D587" s="23" t="s">
        <v>5103</v>
      </c>
      <c r="E587" s="23" t="s">
        <v>4995</v>
      </c>
      <c r="F587" s="23" t="s">
        <v>4996</v>
      </c>
      <c r="G587" s="23"/>
      <c r="H587" s="23" t="s">
        <v>5104</v>
      </c>
      <c r="I587" s="23" t="s">
        <v>3353</v>
      </c>
      <c r="J587" s="23" t="s">
        <v>4998</v>
      </c>
    </row>
    <row r="588" spans="1:10" ht="152" x14ac:dyDescent="0.2">
      <c r="A588" s="23" t="s">
        <v>2996</v>
      </c>
      <c r="B588" s="23">
        <v>2026</v>
      </c>
      <c r="C588" s="23" t="s">
        <v>5105</v>
      </c>
      <c r="D588" s="23" t="s">
        <v>5106</v>
      </c>
      <c r="E588" s="23" t="s">
        <v>4995</v>
      </c>
      <c r="F588" s="23" t="s">
        <v>4996</v>
      </c>
      <c r="G588" s="23"/>
      <c r="H588" s="23" t="s">
        <v>5107</v>
      </c>
      <c r="I588" s="23" t="s">
        <v>3353</v>
      </c>
      <c r="J588" s="23" t="s">
        <v>4998</v>
      </c>
    </row>
    <row r="589" spans="1:10" ht="95" x14ac:dyDescent="0.2">
      <c r="A589" s="23" t="s">
        <v>3004</v>
      </c>
      <c r="B589" s="23">
        <v>2024</v>
      </c>
      <c r="C589" s="23" t="s">
        <v>5108</v>
      </c>
      <c r="D589" s="23" t="s">
        <v>5109</v>
      </c>
      <c r="E589" s="23" t="s">
        <v>4995</v>
      </c>
      <c r="F589" s="23" t="s">
        <v>4996</v>
      </c>
      <c r="G589" s="23"/>
      <c r="H589" s="23" t="s">
        <v>5110</v>
      </c>
      <c r="I589" s="23" t="s">
        <v>3353</v>
      </c>
      <c r="J589" s="23" t="s">
        <v>4998</v>
      </c>
    </row>
    <row r="590" spans="1:10" ht="114" x14ac:dyDescent="0.2">
      <c r="A590" s="23" t="s">
        <v>3012</v>
      </c>
      <c r="B590" s="23">
        <v>2025</v>
      </c>
      <c r="C590" s="23" t="s">
        <v>5111</v>
      </c>
      <c r="D590" s="23" t="s">
        <v>5112</v>
      </c>
      <c r="E590" s="23" t="s">
        <v>4995</v>
      </c>
      <c r="F590" s="23" t="s">
        <v>4996</v>
      </c>
      <c r="G590" s="23"/>
      <c r="H590" s="23" t="s">
        <v>5113</v>
      </c>
      <c r="I590" s="23" t="s">
        <v>3353</v>
      </c>
      <c r="J590" s="23" t="s">
        <v>4998</v>
      </c>
    </row>
    <row r="591" spans="1:10" ht="95" x14ac:dyDescent="0.2">
      <c r="A591" s="23" t="s">
        <v>3020</v>
      </c>
      <c r="B591" s="23">
        <v>2026</v>
      </c>
      <c r="C591" s="23" t="s">
        <v>5114</v>
      </c>
      <c r="D591" s="23" t="s">
        <v>5115</v>
      </c>
      <c r="E591" s="23" t="s">
        <v>4995</v>
      </c>
      <c r="F591" s="23" t="s">
        <v>4996</v>
      </c>
      <c r="G591" s="23"/>
      <c r="H591" s="23" t="s">
        <v>5116</v>
      </c>
      <c r="I591" s="23" t="s">
        <v>3353</v>
      </c>
      <c r="J591" s="23" t="s">
        <v>4998</v>
      </c>
    </row>
    <row r="592" spans="1:10" ht="114" x14ac:dyDescent="0.2">
      <c r="A592" s="23" t="s">
        <v>3028</v>
      </c>
      <c r="B592" s="23">
        <v>2026</v>
      </c>
      <c r="C592" s="23" t="s">
        <v>5117</v>
      </c>
      <c r="D592" s="23" t="s">
        <v>5118</v>
      </c>
      <c r="E592" s="23" t="s">
        <v>4995</v>
      </c>
      <c r="F592" s="23" t="s">
        <v>4996</v>
      </c>
      <c r="G592" s="23"/>
      <c r="H592" s="23" t="s">
        <v>5119</v>
      </c>
      <c r="I592" s="23" t="s">
        <v>3353</v>
      </c>
      <c r="J592" s="23" t="s">
        <v>4998</v>
      </c>
    </row>
    <row r="593" spans="1:10" ht="133" x14ac:dyDescent="0.2">
      <c r="A593" s="23" t="s">
        <v>3035</v>
      </c>
      <c r="B593" s="23">
        <v>2024</v>
      </c>
      <c r="C593" s="23" t="s">
        <v>5120</v>
      </c>
      <c r="D593" s="23" t="s">
        <v>5121</v>
      </c>
      <c r="E593" s="23" t="s">
        <v>4995</v>
      </c>
      <c r="F593" s="23" t="s">
        <v>4996</v>
      </c>
      <c r="G593" s="23"/>
      <c r="H593" s="23" t="s">
        <v>5122</v>
      </c>
      <c r="I593" s="23" t="s">
        <v>3353</v>
      </c>
      <c r="J593" s="23" t="s">
        <v>4998</v>
      </c>
    </row>
    <row r="594" spans="1:10" ht="133" x14ac:dyDescent="0.2">
      <c r="A594" s="23" t="s">
        <v>3043</v>
      </c>
      <c r="B594" s="23">
        <v>2026</v>
      </c>
      <c r="C594" s="23" t="s">
        <v>5123</v>
      </c>
      <c r="D594" s="23" t="s">
        <v>5124</v>
      </c>
      <c r="E594" s="23" t="s">
        <v>4995</v>
      </c>
      <c r="F594" s="23" t="s">
        <v>4996</v>
      </c>
      <c r="G594" s="23"/>
      <c r="H594" s="23" t="s">
        <v>5125</v>
      </c>
      <c r="I594" s="23" t="s">
        <v>3353</v>
      </c>
      <c r="J594" s="23" t="s">
        <v>4998</v>
      </c>
    </row>
    <row r="595" spans="1:10" ht="133" x14ac:dyDescent="0.2">
      <c r="A595" s="23" t="s">
        <v>3051</v>
      </c>
      <c r="B595" s="23">
        <v>2025</v>
      </c>
      <c r="C595" s="23" t="s">
        <v>5126</v>
      </c>
      <c r="D595" s="23" t="s">
        <v>5127</v>
      </c>
      <c r="E595" s="23" t="s">
        <v>4995</v>
      </c>
      <c r="F595" s="23" t="s">
        <v>4996</v>
      </c>
      <c r="G595" s="23"/>
      <c r="H595" s="23" t="s">
        <v>5128</v>
      </c>
      <c r="I595" s="23" t="s">
        <v>3353</v>
      </c>
      <c r="J595" s="23" t="s">
        <v>4998</v>
      </c>
    </row>
    <row r="596" spans="1:10" ht="57" x14ac:dyDescent="0.2">
      <c r="A596" s="23" t="s">
        <v>3058</v>
      </c>
      <c r="B596" s="23">
        <v>2025</v>
      </c>
      <c r="C596" s="23" t="s">
        <v>5129</v>
      </c>
      <c r="D596" s="23" t="s">
        <v>5130</v>
      </c>
      <c r="E596" s="23" t="s">
        <v>4995</v>
      </c>
      <c r="F596" s="23" t="s">
        <v>4996</v>
      </c>
      <c r="G596" s="23"/>
      <c r="H596" s="23" t="s">
        <v>5131</v>
      </c>
      <c r="I596" s="23" t="s">
        <v>3510</v>
      </c>
      <c r="J596" s="23" t="s">
        <v>4998</v>
      </c>
    </row>
    <row r="597" spans="1:10" ht="133" x14ac:dyDescent="0.2">
      <c r="A597" s="23" t="s">
        <v>3065</v>
      </c>
      <c r="B597" s="23">
        <v>2026</v>
      </c>
      <c r="C597" s="23" t="s">
        <v>5132</v>
      </c>
      <c r="D597" s="23" t="s">
        <v>5133</v>
      </c>
      <c r="E597" s="23" t="s">
        <v>4995</v>
      </c>
      <c r="F597" s="23" t="s">
        <v>4996</v>
      </c>
      <c r="G597" s="23"/>
      <c r="H597" s="23" t="s">
        <v>5134</v>
      </c>
      <c r="I597" s="23" t="s">
        <v>3353</v>
      </c>
      <c r="J597" s="23" t="s">
        <v>4998</v>
      </c>
    </row>
    <row r="598" spans="1:10" ht="114" x14ac:dyDescent="0.2">
      <c r="A598" s="23" t="s">
        <v>3072</v>
      </c>
      <c r="B598" s="23">
        <v>2026</v>
      </c>
      <c r="C598" s="23" t="s">
        <v>5135</v>
      </c>
      <c r="D598" s="23" t="s">
        <v>5136</v>
      </c>
      <c r="E598" s="23" t="s">
        <v>4995</v>
      </c>
      <c r="F598" s="23" t="s">
        <v>4996</v>
      </c>
      <c r="G598" s="23"/>
      <c r="H598" s="23" t="s">
        <v>5137</v>
      </c>
      <c r="I598" s="23" t="s">
        <v>3353</v>
      </c>
      <c r="J598" s="23" t="s">
        <v>4998</v>
      </c>
    </row>
    <row r="599" spans="1:10" ht="114" x14ac:dyDescent="0.2">
      <c r="A599" s="23" t="s">
        <v>3080</v>
      </c>
      <c r="B599" s="23">
        <v>2026</v>
      </c>
      <c r="C599" s="23" t="s">
        <v>5138</v>
      </c>
      <c r="D599" s="23" t="s">
        <v>5139</v>
      </c>
      <c r="E599" s="23" t="s">
        <v>4995</v>
      </c>
      <c r="F599" s="23" t="s">
        <v>4996</v>
      </c>
      <c r="G599" s="23"/>
      <c r="H599" s="23" t="s">
        <v>5140</v>
      </c>
      <c r="I599" s="23" t="s">
        <v>3353</v>
      </c>
      <c r="J599" s="23" t="s">
        <v>4998</v>
      </c>
    </row>
    <row r="600" spans="1:10" ht="95" x14ac:dyDescent="0.2">
      <c r="A600" s="23" t="s">
        <v>3087</v>
      </c>
      <c r="B600" s="23">
        <v>2026</v>
      </c>
      <c r="C600" s="23" t="s">
        <v>5141</v>
      </c>
      <c r="D600" s="23" t="s">
        <v>5142</v>
      </c>
      <c r="E600" s="23" t="s">
        <v>4995</v>
      </c>
      <c r="F600" s="23" t="s">
        <v>4996</v>
      </c>
      <c r="G600" s="23"/>
      <c r="H600" s="23" t="s">
        <v>5143</v>
      </c>
      <c r="I600" s="23" t="s">
        <v>3353</v>
      </c>
      <c r="J600" s="23" t="s">
        <v>4998</v>
      </c>
    </row>
    <row r="601" spans="1:10" ht="114" x14ac:dyDescent="0.2">
      <c r="A601" s="23" t="s">
        <v>3095</v>
      </c>
      <c r="B601" s="23">
        <v>2026</v>
      </c>
      <c r="C601" s="23" t="s">
        <v>5144</v>
      </c>
      <c r="D601" s="23" t="s">
        <v>5145</v>
      </c>
      <c r="E601" s="23" t="s">
        <v>4995</v>
      </c>
      <c r="F601" s="23" t="s">
        <v>4996</v>
      </c>
      <c r="G601" s="23"/>
      <c r="H601" s="23" t="s">
        <v>5146</v>
      </c>
      <c r="I601" s="23" t="s">
        <v>3353</v>
      </c>
      <c r="J601" s="23" t="s">
        <v>4998</v>
      </c>
    </row>
    <row r="602" spans="1:10" ht="152" x14ac:dyDescent="0.2">
      <c r="A602" s="23" t="s">
        <v>3102</v>
      </c>
      <c r="B602" s="23">
        <v>2026</v>
      </c>
      <c r="C602" s="23" t="s">
        <v>5147</v>
      </c>
      <c r="D602" s="23" t="s">
        <v>5148</v>
      </c>
      <c r="E602" s="23" t="s">
        <v>4995</v>
      </c>
      <c r="F602" s="23" t="s">
        <v>4996</v>
      </c>
      <c r="G602" s="23"/>
      <c r="H602" s="23" t="s">
        <v>5149</v>
      </c>
      <c r="I602" s="23" t="s">
        <v>3353</v>
      </c>
      <c r="J602" s="23" t="s">
        <v>4998</v>
      </c>
    </row>
    <row r="603" spans="1:10" ht="95" x14ac:dyDescent="0.2">
      <c r="A603" s="23" t="s">
        <v>3109</v>
      </c>
      <c r="B603" s="23">
        <v>2026</v>
      </c>
      <c r="C603" s="23" t="s">
        <v>5150</v>
      </c>
      <c r="D603" s="23" t="s">
        <v>5151</v>
      </c>
      <c r="E603" s="23" t="s">
        <v>4995</v>
      </c>
      <c r="F603" s="23" t="s">
        <v>4996</v>
      </c>
      <c r="G603" s="23"/>
      <c r="H603" s="23" t="s">
        <v>5152</v>
      </c>
      <c r="I603" s="23" t="s">
        <v>3353</v>
      </c>
      <c r="J603" s="23" t="s">
        <v>4998</v>
      </c>
    </row>
    <row r="604" spans="1:10" ht="114" x14ac:dyDescent="0.2">
      <c r="A604" s="23" t="s">
        <v>3117</v>
      </c>
      <c r="B604" s="23">
        <v>2026</v>
      </c>
      <c r="C604" s="23" t="s">
        <v>5153</v>
      </c>
      <c r="D604" s="23" t="s">
        <v>5154</v>
      </c>
      <c r="E604" s="23" t="s">
        <v>4995</v>
      </c>
      <c r="F604" s="23" t="s">
        <v>4996</v>
      </c>
      <c r="G604" s="23"/>
      <c r="H604" s="23" t="s">
        <v>5155</v>
      </c>
      <c r="I604" s="23" t="s">
        <v>3353</v>
      </c>
      <c r="J604" s="23" t="s">
        <v>4998</v>
      </c>
    </row>
    <row r="605" spans="1:10" ht="114" x14ac:dyDescent="0.2">
      <c r="A605" s="23" t="s">
        <v>3125</v>
      </c>
      <c r="B605" s="23">
        <v>2025</v>
      </c>
      <c r="C605" s="23" t="s">
        <v>5156</v>
      </c>
      <c r="D605" s="23" t="s">
        <v>5157</v>
      </c>
      <c r="E605" s="23" t="s">
        <v>4995</v>
      </c>
      <c r="F605" s="23" t="s">
        <v>4996</v>
      </c>
      <c r="G605" s="23"/>
      <c r="H605" s="23" t="s">
        <v>5158</v>
      </c>
      <c r="I605" s="23" t="s">
        <v>3353</v>
      </c>
      <c r="J605" s="23" t="s">
        <v>4998</v>
      </c>
    </row>
    <row r="606" spans="1:10" ht="133" x14ac:dyDescent="0.2">
      <c r="A606" s="23" t="s">
        <v>3132</v>
      </c>
      <c r="B606" s="23">
        <v>2026</v>
      </c>
      <c r="C606" s="23" t="s">
        <v>5159</v>
      </c>
      <c r="D606" s="23" t="s">
        <v>5160</v>
      </c>
      <c r="E606" s="23" t="s">
        <v>4995</v>
      </c>
      <c r="F606" s="23" t="s">
        <v>4996</v>
      </c>
      <c r="G606" s="23"/>
      <c r="H606" s="23" t="s">
        <v>5161</v>
      </c>
      <c r="I606" s="23" t="s">
        <v>3353</v>
      </c>
      <c r="J606" s="23" t="s">
        <v>4998</v>
      </c>
    </row>
    <row r="607" spans="1:10" ht="95" x14ac:dyDescent="0.2">
      <c r="A607" s="23" t="s">
        <v>3140</v>
      </c>
      <c r="B607" s="23">
        <v>2026</v>
      </c>
      <c r="C607" s="23" t="s">
        <v>5162</v>
      </c>
      <c r="D607" s="23" t="s">
        <v>5163</v>
      </c>
      <c r="E607" s="23" t="s">
        <v>4995</v>
      </c>
      <c r="F607" s="23" t="s">
        <v>4996</v>
      </c>
      <c r="G607" s="23"/>
      <c r="H607" s="23" t="s">
        <v>5164</v>
      </c>
      <c r="I607" s="23" t="s">
        <v>3353</v>
      </c>
      <c r="J607" s="23" t="s">
        <v>4998</v>
      </c>
    </row>
    <row r="608" spans="1:10" ht="171" x14ac:dyDescent="0.2">
      <c r="A608" s="23" t="s">
        <v>3147</v>
      </c>
      <c r="B608" s="23">
        <v>2026</v>
      </c>
      <c r="C608" s="23" t="s">
        <v>5165</v>
      </c>
      <c r="D608" s="23" t="s">
        <v>5166</v>
      </c>
      <c r="E608" s="23" t="s">
        <v>4995</v>
      </c>
      <c r="F608" s="23" t="s">
        <v>4996</v>
      </c>
      <c r="G608" s="23"/>
      <c r="H608" s="23" t="s">
        <v>5167</v>
      </c>
      <c r="I608" s="23" t="s">
        <v>3353</v>
      </c>
      <c r="J608" s="23" t="s">
        <v>4998</v>
      </c>
    </row>
    <row r="609" spans="1:10" ht="95" x14ac:dyDescent="0.2">
      <c r="A609" s="23" t="s">
        <v>3155</v>
      </c>
      <c r="B609" s="23">
        <v>2026</v>
      </c>
      <c r="C609" s="23" t="s">
        <v>5168</v>
      </c>
      <c r="D609" s="23" t="s">
        <v>5169</v>
      </c>
      <c r="E609" s="23" t="s">
        <v>4995</v>
      </c>
      <c r="F609" s="23" t="s">
        <v>4996</v>
      </c>
      <c r="G609" s="23"/>
      <c r="H609" s="23" t="s">
        <v>5170</v>
      </c>
      <c r="I609" s="23" t="s">
        <v>3353</v>
      </c>
      <c r="J609" s="23" t="s">
        <v>4998</v>
      </c>
    </row>
    <row r="610" spans="1:10" ht="114" x14ac:dyDescent="0.2">
      <c r="A610" s="23" t="s">
        <v>3163</v>
      </c>
      <c r="B610" s="23">
        <v>2025</v>
      </c>
      <c r="C610" s="23" t="s">
        <v>5171</v>
      </c>
      <c r="D610" s="23" t="s">
        <v>5172</v>
      </c>
      <c r="E610" s="23" t="s">
        <v>4995</v>
      </c>
      <c r="F610" s="23" t="s">
        <v>4996</v>
      </c>
      <c r="G610" s="23"/>
      <c r="H610" s="23" t="s">
        <v>4498</v>
      </c>
      <c r="I610" s="23" t="s">
        <v>3353</v>
      </c>
      <c r="J610" s="23" t="s">
        <v>4998</v>
      </c>
    </row>
    <row r="611" spans="1:10" ht="133" x14ac:dyDescent="0.2">
      <c r="A611" s="23" t="s">
        <v>3171</v>
      </c>
      <c r="B611" s="23">
        <v>2026</v>
      </c>
      <c r="C611" s="23" t="s">
        <v>5173</v>
      </c>
      <c r="D611" s="23" t="s">
        <v>5174</v>
      </c>
      <c r="E611" s="23" t="s">
        <v>4995</v>
      </c>
      <c r="F611" s="23" t="s">
        <v>4996</v>
      </c>
      <c r="G611" s="23"/>
      <c r="H611" s="23" t="s">
        <v>5175</v>
      </c>
      <c r="I611" s="23" t="s">
        <v>3353</v>
      </c>
      <c r="J611" s="23" t="s">
        <v>4998</v>
      </c>
    </row>
    <row r="612" spans="1:10" ht="114" x14ac:dyDescent="0.2">
      <c r="A612" s="23" t="s">
        <v>3179</v>
      </c>
      <c r="B612" s="23">
        <v>2026</v>
      </c>
      <c r="C612" s="23" t="s">
        <v>5176</v>
      </c>
      <c r="D612" s="23" t="s">
        <v>5177</v>
      </c>
      <c r="E612" s="23" t="s">
        <v>4995</v>
      </c>
      <c r="F612" s="23" t="s">
        <v>4996</v>
      </c>
      <c r="G612" s="23"/>
      <c r="H612" s="23" t="s">
        <v>5178</v>
      </c>
      <c r="I612" s="23" t="s">
        <v>3353</v>
      </c>
      <c r="J612" s="23" t="s">
        <v>4998</v>
      </c>
    </row>
    <row r="613" spans="1:10" ht="95" x14ac:dyDescent="0.2">
      <c r="A613" s="23" t="s">
        <v>3187</v>
      </c>
      <c r="B613" s="23">
        <v>2026</v>
      </c>
      <c r="C613" s="23" t="s">
        <v>5179</v>
      </c>
      <c r="D613" s="23" t="s">
        <v>5180</v>
      </c>
      <c r="E613" s="23" t="s">
        <v>4995</v>
      </c>
      <c r="F613" s="23" t="s">
        <v>4996</v>
      </c>
      <c r="G613" s="23"/>
      <c r="H613" s="23" t="s">
        <v>5181</v>
      </c>
      <c r="I613" s="23" t="s">
        <v>3353</v>
      </c>
      <c r="J613" s="23" t="s">
        <v>4998</v>
      </c>
    </row>
    <row r="614" spans="1:10" ht="76" x14ac:dyDescent="0.2">
      <c r="A614" s="23" t="s">
        <v>3194</v>
      </c>
      <c r="B614" s="23">
        <v>2025</v>
      </c>
      <c r="C614" s="23" t="s">
        <v>5182</v>
      </c>
      <c r="D614" s="23" t="s">
        <v>5183</v>
      </c>
      <c r="E614" s="23" t="s">
        <v>4995</v>
      </c>
      <c r="F614" s="23" t="s">
        <v>4996</v>
      </c>
      <c r="G614" s="23"/>
      <c r="H614" s="23" t="s">
        <v>5184</v>
      </c>
      <c r="I614" s="23" t="s">
        <v>3353</v>
      </c>
      <c r="J614" s="23" t="s">
        <v>4998</v>
      </c>
    </row>
    <row r="615" spans="1:10" ht="152" x14ac:dyDescent="0.2">
      <c r="A615" s="23" t="s">
        <v>3201</v>
      </c>
      <c r="B615" s="23">
        <v>2026</v>
      </c>
      <c r="C615" s="23" t="s">
        <v>5185</v>
      </c>
      <c r="D615" s="23" t="s">
        <v>5186</v>
      </c>
      <c r="E615" s="23" t="s">
        <v>4995</v>
      </c>
      <c r="F615" s="23" t="s">
        <v>4996</v>
      </c>
      <c r="G615" s="23"/>
      <c r="H615" s="23" t="s">
        <v>5187</v>
      </c>
      <c r="I615" s="23" t="s">
        <v>3353</v>
      </c>
      <c r="J615" s="23" t="s">
        <v>4998</v>
      </c>
    </row>
    <row r="616" spans="1:10" ht="133" x14ac:dyDescent="0.2">
      <c r="A616" s="23" t="s">
        <v>3209</v>
      </c>
      <c r="B616" s="23">
        <v>2026</v>
      </c>
      <c r="C616" s="23" t="s">
        <v>5188</v>
      </c>
      <c r="D616" s="23" t="s">
        <v>5189</v>
      </c>
      <c r="E616" s="23" t="s">
        <v>4995</v>
      </c>
      <c r="F616" s="23" t="s">
        <v>4996</v>
      </c>
      <c r="G616" s="23"/>
      <c r="H616" s="23" t="s">
        <v>5190</v>
      </c>
      <c r="I616" s="23" t="s">
        <v>3353</v>
      </c>
      <c r="J616" s="23" t="s">
        <v>4998</v>
      </c>
    </row>
    <row r="617" spans="1:10" ht="95" x14ac:dyDescent="0.2">
      <c r="A617" s="23" t="s">
        <v>3217</v>
      </c>
      <c r="B617" s="23">
        <v>2026</v>
      </c>
      <c r="C617" s="23" t="s">
        <v>5191</v>
      </c>
      <c r="D617" s="23" t="s">
        <v>5192</v>
      </c>
      <c r="E617" s="23" t="s">
        <v>4995</v>
      </c>
      <c r="F617" s="23" t="s">
        <v>4996</v>
      </c>
      <c r="G617" s="23"/>
      <c r="H617" s="23" t="s">
        <v>3513</v>
      </c>
      <c r="I617" s="23" t="s">
        <v>3353</v>
      </c>
      <c r="J617" s="23" t="s">
        <v>4998</v>
      </c>
    </row>
    <row r="618" spans="1:10" ht="133" x14ac:dyDescent="0.2">
      <c r="A618" s="23" t="s">
        <v>3223</v>
      </c>
      <c r="B618" s="23">
        <v>2026</v>
      </c>
      <c r="C618" s="23" t="s">
        <v>5193</v>
      </c>
      <c r="D618" s="23" t="s">
        <v>5194</v>
      </c>
      <c r="E618" s="23" t="s">
        <v>4995</v>
      </c>
      <c r="F618" s="23" t="s">
        <v>4996</v>
      </c>
      <c r="G618" s="23"/>
      <c r="H618" s="23" t="s">
        <v>5195</v>
      </c>
      <c r="I618" s="23" t="s">
        <v>3353</v>
      </c>
      <c r="J618" s="23" t="s">
        <v>4998</v>
      </c>
    </row>
    <row r="619" spans="1:10" ht="133" x14ac:dyDescent="0.2">
      <c r="A619" s="23" t="s">
        <v>3229</v>
      </c>
      <c r="B619" s="23">
        <v>2025</v>
      </c>
      <c r="C619" s="23" t="s">
        <v>5196</v>
      </c>
      <c r="D619" s="23" t="s">
        <v>5197</v>
      </c>
      <c r="E619" s="23" t="s">
        <v>4995</v>
      </c>
      <c r="F619" s="23" t="s">
        <v>4996</v>
      </c>
      <c r="G619" s="23"/>
      <c r="H619" s="23" t="s">
        <v>5198</v>
      </c>
      <c r="I619" s="23" t="s">
        <v>3353</v>
      </c>
      <c r="J619" s="23" t="s">
        <v>4998</v>
      </c>
    </row>
    <row r="620" spans="1:10" ht="133" x14ac:dyDescent="0.2">
      <c r="A620" s="23" t="s">
        <v>3236</v>
      </c>
      <c r="B620" s="23">
        <v>2025</v>
      </c>
      <c r="C620" s="23" t="s">
        <v>5199</v>
      </c>
      <c r="D620" s="23" t="s">
        <v>5200</v>
      </c>
      <c r="E620" s="23" t="s">
        <v>4995</v>
      </c>
      <c r="F620" s="23" t="s">
        <v>4996</v>
      </c>
      <c r="G620" s="23"/>
      <c r="H620" s="23" t="s">
        <v>5201</v>
      </c>
      <c r="I620" s="23" t="s">
        <v>3353</v>
      </c>
      <c r="J620" s="23" t="s">
        <v>4998</v>
      </c>
    </row>
    <row r="621" spans="1:10" ht="133" x14ac:dyDescent="0.2">
      <c r="A621" s="23" t="s">
        <v>3243</v>
      </c>
      <c r="B621" s="23">
        <v>2026</v>
      </c>
      <c r="C621" s="23" t="s">
        <v>5202</v>
      </c>
      <c r="D621" s="23" t="s">
        <v>5203</v>
      </c>
      <c r="E621" s="23" t="s">
        <v>4995</v>
      </c>
      <c r="F621" s="23" t="s">
        <v>4996</v>
      </c>
      <c r="G621" s="23"/>
      <c r="H621" s="23" t="s">
        <v>5204</v>
      </c>
      <c r="I621" s="23" t="s">
        <v>3353</v>
      </c>
      <c r="J621" s="23" t="s">
        <v>4998</v>
      </c>
    </row>
    <row r="622" spans="1:10" ht="95" x14ac:dyDescent="0.2">
      <c r="A622" s="23" t="s">
        <v>3248</v>
      </c>
      <c r="B622" s="23">
        <v>2024</v>
      </c>
      <c r="C622" s="23" t="s">
        <v>5205</v>
      </c>
      <c r="D622" s="23" t="s">
        <v>5206</v>
      </c>
      <c r="E622" s="23" t="s">
        <v>4995</v>
      </c>
      <c r="F622" s="23" t="s">
        <v>4996</v>
      </c>
      <c r="G622" s="23"/>
      <c r="H622" s="23" t="s">
        <v>5207</v>
      </c>
      <c r="I622" s="23" t="s">
        <v>3353</v>
      </c>
      <c r="J622" s="23" t="s">
        <v>4998</v>
      </c>
    </row>
    <row r="623" spans="1:10" ht="114" x14ac:dyDescent="0.2">
      <c r="A623" s="23" t="s">
        <v>3256</v>
      </c>
      <c r="B623" s="23">
        <v>2024</v>
      </c>
      <c r="C623" s="23" t="s">
        <v>5208</v>
      </c>
      <c r="D623" s="23" t="s">
        <v>5209</v>
      </c>
      <c r="E623" s="23" t="s">
        <v>4995</v>
      </c>
      <c r="F623" s="23" t="s">
        <v>4996</v>
      </c>
      <c r="G623" s="23"/>
      <c r="H623" s="23" t="s">
        <v>5210</v>
      </c>
      <c r="I623" s="23" t="s">
        <v>3353</v>
      </c>
      <c r="J623" s="23" t="s">
        <v>4998</v>
      </c>
    </row>
    <row r="624" spans="1:10" ht="95" x14ac:dyDescent="0.2">
      <c r="A624" s="23" t="s">
        <v>3264</v>
      </c>
      <c r="B624" s="23">
        <v>2024</v>
      </c>
      <c r="C624" s="23" t="s">
        <v>5211</v>
      </c>
      <c r="D624" s="23" t="s">
        <v>5212</v>
      </c>
      <c r="E624" s="23" t="s">
        <v>4995</v>
      </c>
      <c r="F624" s="23" t="s">
        <v>4996</v>
      </c>
      <c r="G624" s="23"/>
      <c r="H624" s="23" t="s">
        <v>5213</v>
      </c>
      <c r="I624" s="23" t="s">
        <v>3353</v>
      </c>
      <c r="J624" s="23" t="s">
        <v>4998</v>
      </c>
    </row>
    <row r="625" spans="1:10" ht="76" x14ac:dyDescent="0.2">
      <c r="A625" s="23" t="s">
        <v>3272</v>
      </c>
      <c r="B625" s="23">
        <v>2024</v>
      </c>
      <c r="C625" s="23" t="s">
        <v>5214</v>
      </c>
      <c r="D625" s="23" t="s">
        <v>5215</v>
      </c>
      <c r="E625" s="23" t="s">
        <v>4995</v>
      </c>
      <c r="F625" s="23" t="s">
        <v>4996</v>
      </c>
      <c r="G625" s="23"/>
      <c r="H625" s="23" t="s">
        <v>5216</v>
      </c>
      <c r="I625" s="23" t="s">
        <v>3353</v>
      </c>
      <c r="J625" s="23" t="s">
        <v>4998</v>
      </c>
    </row>
    <row r="626" spans="1:10" ht="114" x14ac:dyDescent="0.2">
      <c r="A626" s="23" t="s">
        <v>3278</v>
      </c>
      <c r="B626" s="23">
        <v>2025</v>
      </c>
      <c r="C626" s="23" t="s">
        <v>5217</v>
      </c>
      <c r="D626" s="23" t="s">
        <v>5218</v>
      </c>
      <c r="E626" s="23" t="s">
        <v>4995</v>
      </c>
      <c r="F626" s="23" t="s">
        <v>4996</v>
      </c>
      <c r="G626" s="23"/>
      <c r="H626" s="23" t="s">
        <v>5219</v>
      </c>
      <c r="I626" s="23" t="s">
        <v>3353</v>
      </c>
      <c r="J626" s="23" t="s">
        <v>4998</v>
      </c>
    </row>
    <row r="627" spans="1:10" ht="95" x14ac:dyDescent="0.2">
      <c r="A627" s="23" t="s">
        <v>3286</v>
      </c>
      <c r="B627" s="23">
        <v>2025</v>
      </c>
      <c r="C627" s="23" t="s">
        <v>8249</v>
      </c>
      <c r="D627" s="23" t="s">
        <v>5220</v>
      </c>
      <c r="E627" s="23" t="s">
        <v>4995</v>
      </c>
      <c r="F627" s="23" t="s">
        <v>4996</v>
      </c>
      <c r="G627" s="23"/>
      <c r="H627" s="23" t="s">
        <v>5221</v>
      </c>
      <c r="I627" s="23" t="s">
        <v>3353</v>
      </c>
      <c r="J627" s="23" t="s">
        <v>4998</v>
      </c>
    </row>
    <row r="628" spans="1:10" ht="95" x14ac:dyDescent="0.2">
      <c r="A628" s="23" t="s">
        <v>3290</v>
      </c>
      <c r="B628" s="23">
        <v>2024</v>
      </c>
      <c r="C628" s="23" t="s">
        <v>5222</v>
      </c>
      <c r="D628" s="23" t="s">
        <v>5223</v>
      </c>
      <c r="E628" s="23" t="s">
        <v>4995</v>
      </c>
      <c r="F628" s="23" t="s">
        <v>4996</v>
      </c>
      <c r="G628" s="23"/>
      <c r="H628" s="23" t="s">
        <v>5224</v>
      </c>
      <c r="I628" s="23" t="s">
        <v>3353</v>
      </c>
      <c r="J628" s="23" t="s">
        <v>4998</v>
      </c>
    </row>
    <row r="629" spans="1:10" ht="95" x14ac:dyDescent="0.2">
      <c r="A629" s="23" t="s">
        <v>3298</v>
      </c>
      <c r="B629" s="23">
        <v>2024</v>
      </c>
      <c r="C629" s="23" t="s">
        <v>5225</v>
      </c>
      <c r="D629" s="23" t="s">
        <v>5226</v>
      </c>
      <c r="E629" s="23" t="s">
        <v>4995</v>
      </c>
      <c r="F629" s="23" t="s">
        <v>4996</v>
      </c>
      <c r="G629" s="23"/>
      <c r="H629" s="23" t="s">
        <v>5227</v>
      </c>
      <c r="I629" s="23" t="s">
        <v>3353</v>
      </c>
      <c r="J629" s="23" t="s">
        <v>4998</v>
      </c>
    </row>
    <row r="630" spans="1:10" ht="57" x14ac:dyDescent="0.2">
      <c r="A630" s="23" t="s">
        <v>3306</v>
      </c>
      <c r="B630" s="23">
        <v>2024</v>
      </c>
      <c r="C630" s="23" t="s">
        <v>5228</v>
      </c>
      <c r="D630" s="23" t="s">
        <v>5229</v>
      </c>
      <c r="E630" s="23" t="s">
        <v>4995</v>
      </c>
      <c r="F630" s="23" t="s">
        <v>4996</v>
      </c>
      <c r="G630" s="23"/>
      <c r="H630" s="23" t="s">
        <v>3597</v>
      </c>
      <c r="I630" s="23" t="s">
        <v>3353</v>
      </c>
      <c r="J630" s="23" t="s">
        <v>4998</v>
      </c>
    </row>
    <row r="631" spans="1:10" ht="114" x14ac:dyDescent="0.2">
      <c r="A631" s="23" t="s">
        <v>3313</v>
      </c>
      <c r="B631" s="23">
        <v>2026</v>
      </c>
      <c r="C631" s="23" t="s">
        <v>8250</v>
      </c>
      <c r="D631" s="23" t="s">
        <v>5230</v>
      </c>
      <c r="E631" s="23" t="s">
        <v>4995</v>
      </c>
      <c r="F631" s="23" t="s">
        <v>4996</v>
      </c>
      <c r="G631" s="23"/>
      <c r="H631" s="23" t="s">
        <v>5231</v>
      </c>
      <c r="I631" s="23" t="s">
        <v>3353</v>
      </c>
      <c r="J631" s="23" t="s">
        <v>4998</v>
      </c>
    </row>
    <row r="632" spans="1:10" ht="114" x14ac:dyDescent="0.2">
      <c r="A632" s="23" t="s">
        <v>3318</v>
      </c>
      <c r="B632" s="23">
        <v>2025</v>
      </c>
      <c r="C632" s="23" t="s">
        <v>5232</v>
      </c>
      <c r="D632" s="23" t="s">
        <v>5233</v>
      </c>
      <c r="E632" s="23" t="s">
        <v>4995</v>
      </c>
      <c r="F632" s="23" t="s">
        <v>4996</v>
      </c>
      <c r="G632" s="23"/>
      <c r="H632" s="23" t="s">
        <v>5234</v>
      </c>
      <c r="I632" s="23" t="s">
        <v>3353</v>
      </c>
      <c r="J632" s="23" t="s">
        <v>4998</v>
      </c>
    </row>
    <row r="633" spans="1:10" ht="133" x14ac:dyDescent="0.2">
      <c r="A633" s="23" t="s">
        <v>3325</v>
      </c>
      <c r="B633" s="23">
        <v>2026</v>
      </c>
      <c r="C633" s="23" t="s">
        <v>5235</v>
      </c>
      <c r="D633" s="23" t="s">
        <v>5236</v>
      </c>
      <c r="E633" s="23" t="s">
        <v>4995</v>
      </c>
      <c r="F633" s="23" t="s">
        <v>4996</v>
      </c>
      <c r="G633" s="23"/>
      <c r="H633" s="23" t="s">
        <v>5237</v>
      </c>
      <c r="I633" s="23" t="s">
        <v>3353</v>
      </c>
      <c r="J633" s="23" t="s">
        <v>4998</v>
      </c>
    </row>
    <row r="634" spans="1:10" ht="190" x14ac:dyDescent="0.2">
      <c r="A634" s="23" t="s">
        <v>3325</v>
      </c>
      <c r="B634" s="23">
        <v>2026</v>
      </c>
      <c r="C634" s="23" t="s">
        <v>5238</v>
      </c>
      <c r="D634" s="23" t="s">
        <v>5239</v>
      </c>
      <c r="E634" s="23" t="s">
        <v>4995</v>
      </c>
      <c r="F634" s="23" t="s">
        <v>4996</v>
      </c>
      <c r="G634" s="23"/>
      <c r="H634" s="23" t="s">
        <v>5240</v>
      </c>
      <c r="I634" s="23" t="s">
        <v>3353</v>
      </c>
      <c r="J634" s="23" t="s">
        <v>4998</v>
      </c>
    </row>
    <row r="635" spans="1:10" ht="133" x14ac:dyDescent="0.2">
      <c r="A635" s="23" t="s">
        <v>3332</v>
      </c>
      <c r="B635" s="23">
        <v>2026</v>
      </c>
      <c r="C635" s="23" t="s">
        <v>5241</v>
      </c>
      <c r="D635" s="23" t="s">
        <v>5242</v>
      </c>
      <c r="E635" s="23" t="s">
        <v>4995</v>
      </c>
      <c r="F635" s="23" t="s">
        <v>4996</v>
      </c>
      <c r="G635" s="23"/>
      <c r="H635" s="23" t="s">
        <v>5243</v>
      </c>
      <c r="I635" s="23" t="s">
        <v>3353</v>
      </c>
      <c r="J635" s="23" t="s">
        <v>4998</v>
      </c>
    </row>
    <row r="636" spans="1:10" ht="76" x14ac:dyDescent="0.2">
      <c r="A636" s="23" t="s">
        <v>2825</v>
      </c>
      <c r="B636" s="23">
        <v>2025</v>
      </c>
      <c r="C636" s="23" t="s">
        <v>5244</v>
      </c>
      <c r="D636" s="23" t="s">
        <v>5245</v>
      </c>
      <c r="E636" s="23" t="s">
        <v>5246</v>
      </c>
      <c r="F636" s="23" t="s">
        <v>4996</v>
      </c>
      <c r="G636" s="23"/>
      <c r="H636" s="23" t="s">
        <v>5247</v>
      </c>
      <c r="I636" s="23" t="s">
        <v>3353</v>
      </c>
      <c r="J636" s="23" t="s">
        <v>4998</v>
      </c>
    </row>
    <row r="637" spans="1:10" ht="95" x14ac:dyDescent="0.2">
      <c r="A637" s="23" t="s">
        <v>2833</v>
      </c>
      <c r="B637" s="23">
        <v>2026</v>
      </c>
      <c r="C637" s="23" t="s">
        <v>5248</v>
      </c>
      <c r="D637" s="23" t="s">
        <v>5249</v>
      </c>
      <c r="E637" s="23" t="s">
        <v>5246</v>
      </c>
      <c r="F637" s="23" t="s">
        <v>4996</v>
      </c>
      <c r="G637" s="23"/>
      <c r="H637" s="23" t="s">
        <v>5250</v>
      </c>
      <c r="I637" s="23" t="s">
        <v>3353</v>
      </c>
      <c r="J637" s="23" t="s">
        <v>4998</v>
      </c>
    </row>
    <row r="638" spans="1:10" ht="95" x14ac:dyDescent="0.2">
      <c r="A638" s="23" t="s">
        <v>2841</v>
      </c>
      <c r="B638" s="23">
        <v>2026</v>
      </c>
      <c r="C638" s="23" t="s">
        <v>5251</v>
      </c>
      <c r="D638" s="23" t="s">
        <v>5252</v>
      </c>
      <c r="E638" s="23" t="s">
        <v>5246</v>
      </c>
      <c r="F638" s="23" t="s">
        <v>4996</v>
      </c>
      <c r="G638" s="23"/>
      <c r="H638" s="23" t="s">
        <v>5253</v>
      </c>
      <c r="I638" s="23" t="s">
        <v>3353</v>
      </c>
      <c r="J638" s="23" t="s">
        <v>4998</v>
      </c>
    </row>
    <row r="639" spans="1:10" ht="95" x14ac:dyDescent="0.2">
      <c r="A639" s="23" t="s">
        <v>2849</v>
      </c>
      <c r="B639" s="23">
        <v>2026</v>
      </c>
      <c r="C639" s="23" t="s">
        <v>5254</v>
      </c>
      <c r="D639" s="23" t="s">
        <v>5255</v>
      </c>
      <c r="E639" s="23" t="s">
        <v>5246</v>
      </c>
      <c r="F639" s="23" t="s">
        <v>4996</v>
      </c>
      <c r="G639" s="23"/>
      <c r="H639" s="23" t="s">
        <v>5256</v>
      </c>
      <c r="I639" s="23" t="s">
        <v>3353</v>
      </c>
      <c r="J639" s="23" t="s">
        <v>4998</v>
      </c>
    </row>
    <row r="640" spans="1:10" ht="76" x14ac:dyDescent="0.2">
      <c r="A640" s="23" t="s">
        <v>2857</v>
      </c>
      <c r="B640" s="23">
        <v>2026</v>
      </c>
      <c r="C640" s="23" t="s">
        <v>5257</v>
      </c>
      <c r="D640" s="23" t="s">
        <v>5258</v>
      </c>
      <c r="E640" s="23" t="s">
        <v>5246</v>
      </c>
      <c r="F640" s="23" t="s">
        <v>4996</v>
      </c>
      <c r="G640" s="23"/>
      <c r="H640" s="23" t="s">
        <v>5034</v>
      </c>
      <c r="I640" s="23" t="s">
        <v>3353</v>
      </c>
      <c r="J640" s="23" t="s">
        <v>4998</v>
      </c>
    </row>
    <row r="641" spans="1:10" ht="95" x14ac:dyDescent="0.2">
      <c r="A641" s="23" t="s">
        <v>2857</v>
      </c>
      <c r="B641" s="23">
        <v>2026</v>
      </c>
      <c r="C641" s="23" t="s">
        <v>5259</v>
      </c>
      <c r="D641" s="23" t="s">
        <v>5260</v>
      </c>
      <c r="E641" s="23" t="s">
        <v>5246</v>
      </c>
      <c r="F641" s="23" t="s">
        <v>4996</v>
      </c>
      <c r="G641" s="23"/>
      <c r="H641" s="23" t="s">
        <v>3619</v>
      </c>
      <c r="I641" s="23" t="s">
        <v>3353</v>
      </c>
      <c r="J641" s="23" t="s">
        <v>4998</v>
      </c>
    </row>
    <row r="642" spans="1:10" ht="133" x14ac:dyDescent="0.2">
      <c r="A642" s="23" t="s">
        <v>2865</v>
      </c>
      <c r="B642" s="23">
        <v>2025</v>
      </c>
      <c r="C642" s="23" t="s">
        <v>5261</v>
      </c>
      <c r="D642" s="23" t="s">
        <v>5262</v>
      </c>
      <c r="E642" s="23" t="s">
        <v>5246</v>
      </c>
      <c r="F642" s="23" t="s">
        <v>4996</v>
      </c>
      <c r="G642" s="23"/>
      <c r="H642" s="23" t="s">
        <v>5263</v>
      </c>
      <c r="I642" s="23" t="s">
        <v>3353</v>
      </c>
      <c r="J642" s="23" t="s">
        <v>4998</v>
      </c>
    </row>
    <row r="643" spans="1:10" ht="76" x14ac:dyDescent="0.2">
      <c r="A643" s="23" t="s">
        <v>2873</v>
      </c>
      <c r="B643" s="23">
        <v>2025</v>
      </c>
      <c r="C643" s="23" t="s">
        <v>5264</v>
      </c>
      <c r="D643" s="23" t="s">
        <v>5265</v>
      </c>
      <c r="E643" s="23" t="s">
        <v>5246</v>
      </c>
      <c r="F643" s="23" t="s">
        <v>4996</v>
      </c>
      <c r="G643" s="23"/>
      <c r="H643" s="23" t="s">
        <v>5266</v>
      </c>
      <c r="I643" s="23" t="s">
        <v>3510</v>
      </c>
      <c r="J643" s="23" t="s">
        <v>4998</v>
      </c>
    </row>
    <row r="644" spans="1:10" ht="114" x14ac:dyDescent="0.2">
      <c r="A644" s="23" t="s">
        <v>2881</v>
      </c>
      <c r="B644" s="23">
        <v>2026</v>
      </c>
      <c r="C644" s="23" t="s">
        <v>5267</v>
      </c>
      <c r="D644" s="23" t="s">
        <v>5268</v>
      </c>
      <c r="E644" s="23" t="s">
        <v>5246</v>
      </c>
      <c r="F644" s="23" t="s">
        <v>4996</v>
      </c>
      <c r="G644" s="23"/>
      <c r="H644" s="23" t="s">
        <v>5269</v>
      </c>
      <c r="I644" s="23" t="s">
        <v>3353</v>
      </c>
      <c r="J644" s="23" t="s">
        <v>4998</v>
      </c>
    </row>
    <row r="645" spans="1:10" ht="95" x14ac:dyDescent="0.2">
      <c r="A645" s="23" t="s">
        <v>2889</v>
      </c>
      <c r="B645" s="23">
        <v>2026</v>
      </c>
      <c r="C645" s="23" t="s">
        <v>5270</v>
      </c>
      <c r="D645" s="23" t="s">
        <v>5271</v>
      </c>
      <c r="E645" s="23" t="s">
        <v>5246</v>
      </c>
      <c r="F645" s="23" t="s">
        <v>4996</v>
      </c>
      <c r="G645" s="23"/>
      <c r="H645" s="23" t="s">
        <v>5272</v>
      </c>
      <c r="I645" s="23" t="s">
        <v>3353</v>
      </c>
      <c r="J645" s="23" t="s">
        <v>4998</v>
      </c>
    </row>
    <row r="646" spans="1:10" ht="95" x14ac:dyDescent="0.2">
      <c r="A646" s="23" t="s">
        <v>2897</v>
      </c>
      <c r="B646" s="23">
        <v>2026</v>
      </c>
      <c r="C646" s="23" t="s">
        <v>5273</v>
      </c>
      <c r="D646" s="23" t="s">
        <v>5274</v>
      </c>
      <c r="E646" s="23" t="s">
        <v>5246</v>
      </c>
      <c r="F646" s="23" t="s">
        <v>4996</v>
      </c>
      <c r="G646" s="23"/>
      <c r="H646" s="23" t="s">
        <v>5275</v>
      </c>
      <c r="I646" s="23" t="s">
        <v>3353</v>
      </c>
      <c r="J646" s="23" t="s">
        <v>4998</v>
      </c>
    </row>
    <row r="647" spans="1:10" ht="114" x14ac:dyDescent="0.2">
      <c r="A647" s="23" t="s">
        <v>2904</v>
      </c>
      <c r="B647" s="23">
        <v>2026</v>
      </c>
      <c r="C647" s="23" t="s">
        <v>5276</v>
      </c>
      <c r="D647" s="23" t="s">
        <v>5277</v>
      </c>
      <c r="E647" s="23" t="s">
        <v>5246</v>
      </c>
      <c r="F647" s="23" t="s">
        <v>4996</v>
      </c>
      <c r="G647" s="23"/>
      <c r="H647" s="23" t="s">
        <v>5278</v>
      </c>
      <c r="I647" s="23" t="s">
        <v>3353</v>
      </c>
      <c r="J647" s="23" t="s">
        <v>4998</v>
      </c>
    </row>
    <row r="648" spans="1:10" ht="57" x14ac:dyDescent="0.2">
      <c r="A648" s="23" t="s">
        <v>2912</v>
      </c>
      <c r="B648" s="23">
        <v>2026</v>
      </c>
      <c r="C648" s="23" t="s">
        <v>5279</v>
      </c>
      <c r="D648" s="23" t="s">
        <v>5280</v>
      </c>
      <c r="E648" s="23" t="s">
        <v>5246</v>
      </c>
      <c r="F648" s="23" t="s">
        <v>4996</v>
      </c>
      <c r="G648" s="23"/>
      <c r="H648" s="23" t="s">
        <v>4178</v>
      </c>
      <c r="I648" s="23" t="s">
        <v>3353</v>
      </c>
      <c r="J648" s="23" t="s">
        <v>4998</v>
      </c>
    </row>
    <row r="649" spans="1:10" ht="152" x14ac:dyDescent="0.2">
      <c r="A649" s="23" t="s">
        <v>2920</v>
      </c>
      <c r="B649" s="23">
        <v>2026</v>
      </c>
      <c r="C649" s="23" t="s">
        <v>5281</v>
      </c>
      <c r="D649" s="23" t="s">
        <v>5282</v>
      </c>
      <c r="E649" s="23" t="s">
        <v>5246</v>
      </c>
      <c r="F649" s="23" t="s">
        <v>4996</v>
      </c>
      <c r="G649" s="23"/>
      <c r="H649" s="23" t="s">
        <v>5283</v>
      </c>
      <c r="I649" s="23" t="s">
        <v>3353</v>
      </c>
      <c r="J649" s="23" t="s">
        <v>4998</v>
      </c>
    </row>
    <row r="650" spans="1:10" ht="76" x14ac:dyDescent="0.2">
      <c r="A650" s="23" t="s">
        <v>2920</v>
      </c>
      <c r="B650" s="23">
        <v>2026</v>
      </c>
      <c r="C650" s="23" t="s">
        <v>5284</v>
      </c>
      <c r="D650" s="23" t="s">
        <v>5285</v>
      </c>
      <c r="E650" s="23" t="s">
        <v>5246</v>
      </c>
      <c r="F650" s="23" t="s">
        <v>4996</v>
      </c>
      <c r="G650" s="23"/>
      <c r="H650" s="23" t="s">
        <v>5286</v>
      </c>
      <c r="I650" s="23" t="s">
        <v>3353</v>
      </c>
      <c r="J650" s="23" t="s">
        <v>4998</v>
      </c>
    </row>
    <row r="651" spans="1:10" ht="76" x14ac:dyDescent="0.2">
      <c r="A651" s="23" t="s">
        <v>2928</v>
      </c>
      <c r="B651" s="23">
        <v>2025</v>
      </c>
      <c r="C651" s="23" t="s">
        <v>5287</v>
      </c>
      <c r="D651" s="23" t="s">
        <v>5288</v>
      </c>
      <c r="E651" s="23" t="s">
        <v>5246</v>
      </c>
      <c r="F651" s="23" t="s">
        <v>4996</v>
      </c>
      <c r="G651" s="23"/>
      <c r="H651" s="23" t="s">
        <v>5289</v>
      </c>
      <c r="I651" s="23" t="s">
        <v>3361</v>
      </c>
      <c r="J651" s="23" t="s">
        <v>4998</v>
      </c>
    </row>
    <row r="652" spans="1:10" ht="114" x14ac:dyDescent="0.2">
      <c r="A652" s="23" t="s">
        <v>2936</v>
      </c>
      <c r="B652" s="23">
        <v>2025</v>
      </c>
      <c r="C652" s="23" t="s">
        <v>5290</v>
      </c>
      <c r="D652" s="23" t="s">
        <v>5291</v>
      </c>
      <c r="E652" s="23" t="s">
        <v>5246</v>
      </c>
      <c r="F652" s="23" t="s">
        <v>4996</v>
      </c>
      <c r="G652" s="23"/>
      <c r="H652" s="23" t="s">
        <v>5292</v>
      </c>
      <c r="I652" s="23" t="s">
        <v>3353</v>
      </c>
      <c r="J652" s="23" t="s">
        <v>4998</v>
      </c>
    </row>
    <row r="653" spans="1:10" ht="114" x14ac:dyDescent="0.2">
      <c r="A653" s="23" t="s">
        <v>2944</v>
      </c>
      <c r="B653" s="23">
        <v>2026</v>
      </c>
      <c r="C653" s="23" t="s">
        <v>5293</v>
      </c>
      <c r="D653" s="23" t="s">
        <v>5294</v>
      </c>
      <c r="E653" s="23" t="s">
        <v>5246</v>
      </c>
      <c r="F653" s="23" t="s">
        <v>4996</v>
      </c>
      <c r="G653" s="23"/>
      <c r="H653" s="23" t="s">
        <v>5295</v>
      </c>
      <c r="I653" s="23" t="s">
        <v>3353</v>
      </c>
      <c r="J653" s="23" t="s">
        <v>4998</v>
      </c>
    </row>
    <row r="654" spans="1:10" ht="76" x14ac:dyDescent="0.2">
      <c r="A654" s="23" t="s">
        <v>2952</v>
      </c>
      <c r="B654" s="23">
        <v>2026</v>
      </c>
      <c r="C654" s="23" t="s">
        <v>5296</v>
      </c>
      <c r="D654" s="23" t="s">
        <v>5297</v>
      </c>
      <c r="E654" s="23" t="s">
        <v>5246</v>
      </c>
      <c r="F654" s="23" t="s">
        <v>4996</v>
      </c>
      <c r="G654" s="23"/>
      <c r="H654" s="23" t="s">
        <v>5298</v>
      </c>
      <c r="I654" s="23" t="s">
        <v>3353</v>
      </c>
      <c r="J654" s="23" t="s">
        <v>4998</v>
      </c>
    </row>
    <row r="655" spans="1:10" ht="95" x14ac:dyDescent="0.2">
      <c r="A655" s="23" t="s">
        <v>2959</v>
      </c>
      <c r="B655" s="23">
        <v>2025</v>
      </c>
      <c r="C655" s="23" t="s">
        <v>5299</v>
      </c>
      <c r="D655" s="23" t="s">
        <v>5300</v>
      </c>
      <c r="E655" s="23" t="s">
        <v>5246</v>
      </c>
      <c r="F655" s="23" t="s">
        <v>4996</v>
      </c>
      <c r="G655" s="23"/>
      <c r="H655" s="23" t="s">
        <v>5301</v>
      </c>
      <c r="I655" s="23" t="s">
        <v>3353</v>
      </c>
      <c r="J655" s="23" t="s">
        <v>4998</v>
      </c>
    </row>
    <row r="656" spans="1:10" ht="76" x14ac:dyDescent="0.2">
      <c r="A656" s="23" t="s">
        <v>2967</v>
      </c>
      <c r="B656" s="23">
        <v>2025</v>
      </c>
      <c r="C656" s="23" t="s">
        <v>5302</v>
      </c>
      <c r="D656" s="23" t="s">
        <v>5303</v>
      </c>
      <c r="E656" s="23" t="s">
        <v>5246</v>
      </c>
      <c r="F656" s="23" t="s">
        <v>4996</v>
      </c>
      <c r="G656" s="23"/>
      <c r="H656" s="23" t="s">
        <v>5304</v>
      </c>
      <c r="I656" s="23" t="s">
        <v>3353</v>
      </c>
      <c r="J656" s="23" t="s">
        <v>4998</v>
      </c>
    </row>
    <row r="657" spans="1:10" ht="95" x14ac:dyDescent="0.2">
      <c r="A657" s="23" t="s">
        <v>2975</v>
      </c>
      <c r="B657" s="23">
        <v>2025</v>
      </c>
      <c r="C657" s="23" t="s">
        <v>5305</v>
      </c>
      <c r="D657" s="23" t="s">
        <v>5306</v>
      </c>
      <c r="E657" s="23" t="s">
        <v>5246</v>
      </c>
      <c r="F657" s="23" t="s">
        <v>4996</v>
      </c>
      <c r="G657" s="23"/>
      <c r="H657" s="23" t="s">
        <v>5307</v>
      </c>
      <c r="I657" s="23" t="s">
        <v>3353</v>
      </c>
      <c r="J657" s="23" t="s">
        <v>4998</v>
      </c>
    </row>
    <row r="658" spans="1:10" ht="133" x14ac:dyDescent="0.2">
      <c r="A658" s="23" t="s">
        <v>2983</v>
      </c>
      <c r="B658" s="23">
        <v>2026</v>
      </c>
      <c r="C658" s="23" t="s">
        <v>8251</v>
      </c>
      <c r="D658" s="23" t="s">
        <v>5308</v>
      </c>
      <c r="E658" s="23" t="s">
        <v>5246</v>
      </c>
      <c r="F658" s="23" t="s">
        <v>4996</v>
      </c>
      <c r="G658" s="23"/>
      <c r="H658" s="23" t="s">
        <v>5309</v>
      </c>
      <c r="I658" s="23" t="s">
        <v>3353</v>
      </c>
      <c r="J658" s="23" t="s">
        <v>4998</v>
      </c>
    </row>
    <row r="659" spans="1:10" ht="133" x14ac:dyDescent="0.2">
      <c r="A659" s="23" t="s">
        <v>2989</v>
      </c>
      <c r="B659" s="23">
        <v>2026</v>
      </c>
      <c r="C659" s="23" t="s">
        <v>5310</v>
      </c>
      <c r="D659" s="23" t="s">
        <v>5311</v>
      </c>
      <c r="E659" s="23" t="s">
        <v>5246</v>
      </c>
      <c r="F659" s="23" t="s">
        <v>4996</v>
      </c>
      <c r="G659" s="23"/>
      <c r="H659" s="23" t="s">
        <v>5312</v>
      </c>
      <c r="I659" s="23" t="s">
        <v>3353</v>
      </c>
      <c r="J659" s="23" t="s">
        <v>4998</v>
      </c>
    </row>
    <row r="660" spans="1:10" ht="95" x14ac:dyDescent="0.2">
      <c r="A660" s="23" t="s">
        <v>2996</v>
      </c>
      <c r="B660" s="23">
        <v>2026</v>
      </c>
      <c r="C660" s="23" t="s">
        <v>5313</v>
      </c>
      <c r="D660" s="23" t="s">
        <v>5314</v>
      </c>
      <c r="E660" s="23" t="s">
        <v>5246</v>
      </c>
      <c r="F660" s="23" t="s">
        <v>4996</v>
      </c>
      <c r="G660" s="23"/>
      <c r="H660" s="23" t="s">
        <v>5315</v>
      </c>
      <c r="I660" s="23" t="s">
        <v>3353</v>
      </c>
      <c r="J660" s="23" t="s">
        <v>4998</v>
      </c>
    </row>
    <row r="661" spans="1:10" ht="152" x14ac:dyDescent="0.2">
      <c r="A661" s="23" t="s">
        <v>3004</v>
      </c>
      <c r="B661" s="23">
        <v>2024</v>
      </c>
      <c r="C661" s="23" t="s">
        <v>5316</v>
      </c>
      <c r="D661" s="23" t="s">
        <v>5317</v>
      </c>
      <c r="E661" s="23" t="s">
        <v>5246</v>
      </c>
      <c r="F661" s="23" t="s">
        <v>4996</v>
      </c>
      <c r="G661" s="23"/>
      <c r="H661" s="23" t="s">
        <v>5318</v>
      </c>
      <c r="I661" s="23" t="s">
        <v>3353</v>
      </c>
      <c r="J661" s="23" t="s">
        <v>4998</v>
      </c>
    </row>
    <row r="662" spans="1:10" ht="114" x14ac:dyDescent="0.2">
      <c r="A662" s="23" t="s">
        <v>3012</v>
      </c>
      <c r="B662" s="23">
        <v>2025</v>
      </c>
      <c r="C662" s="23" t="s">
        <v>5319</v>
      </c>
      <c r="D662" s="23" t="s">
        <v>5320</v>
      </c>
      <c r="E662" s="23" t="s">
        <v>5246</v>
      </c>
      <c r="F662" s="23" t="s">
        <v>4996</v>
      </c>
      <c r="G662" s="23"/>
      <c r="H662" s="23" t="s">
        <v>5321</v>
      </c>
      <c r="I662" s="23" t="s">
        <v>3353</v>
      </c>
      <c r="J662" s="23" t="s">
        <v>4998</v>
      </c>
    </row>
    <row r="663" spans="1:10" ht="57" x14ac:dyDescent="0.2">
      <c r="A663" s="23" t="s">
        <v>3020</v>
      </c>
      <c r="B663" s="23">
        <v>2026</v>
      </c>
      <c r="C663" s="23" t="s">
        <v>5322</v>
      </c>
      <c r="D663" s="23" t="s">
        <v>5323</v>
      </c>
      <c r="E663" s="23" t="s">
        <v>5246</v>
      </c>
      <c r="F663" s="23" t="s">
        <v>4996</v>
      </c>
      <c r="G663" s="23"/>
      <c r="H663" s="23" t="s">
        <v>5324</v>
      </c>
      <c r="I663" s="23" t="s">
        <v>3510</v>
      </c>
      <c r="J663" s="23" t="s">
        <v>4998</v>
      </c>
    </row>
    <row r="664" spans="1:10" ht="76" x14ac:dyDescent="0.2">
      <c r="A664" s="23" t="s">
        <v>3028</v>
      </c>
      <c r="B664" s="23">
        <v>2026</v>
      </c>
      <c r="C664" s="23" t="s">
        <v>5325</v>
      </c>
      <c r="D664" s="23" t="s">
        <v>5326</v>
      </c>
      <c r="E664" s="23" t="s">
        <v>5246</v>
      </c>
      <c r="F664" s="23" t="s">
        <v>4996</v>
      </c>
      <c r="G664" s="23"/>
      <c r="H664" s="23" t="s">
        <v>5327</v>
      </c>
      <c r="I664" s="23" t="s">
        <v>3353</v>
      </c>
      <c r="J664" s="23" t="s">
        <v>4998</v>
      </c>
    </row>
    <row r="665" spans="1:10" ht="95" x14ac:dyDescent="0.2">
      <c r="A665" s="23" t="s">
        <v>3035</v>
      </c>
      <c r="B665" s="23">
        <v>2024</v>
      </c>
      <c r="C665" s="23" t="s">
        <v>5328</v>
      </c>
      <c r="D665" s="23" t="s">
        <v>5329</v>
      </c>
      <c r="E665" s="23" t="s">
        <v>5246</v>
      </c>
      <c r="F665" s="23" t="s">
        <v>4996</v>
      </c>
      <c r="G665" s="23"/>
      <c r="H665" s="23" t="s">
        <v>5330</v>
      </c>
      <c r="I665" s="23" t="s">
        <v>3353</v>
      </c>
      <c r="J665" s="23" t="s">
        <v>4998</v>
      </c>
    </row>
    <row r="666" spans="1:10" ht="114" x14ac:dyDescent="0.2">
      <c r="A666" s="23" t="s">
        <v>3043</v>
      </c>
      <c r="B666" s="23">
        <v>2026</v>
      </c>
      <c r="C666" s="23" t="s">
        <v>5331</v>
      </c>
      <c r="D666" s="23" t="s">
        <v>5332</v>
      </c>
      <c r="E666" s="23" t="s">
        <v>5246</v>
      </c>
      <c r="F666" s="23" t="s">
        <v>4996</v>
      </c>
      <c r="G666" s="23"/>
      <c r="H666" s="23" t="s">
        <v>5333</v>
      </c>
      <c r="I666" s="23" t="s">
        <v>3353</v>
      </c>
      <c r="J666" s="23" t="s">
        <v>4998</v>
      </c>
    </row>
    <row r="667" spans="1:10" ht="57" x14ac:dyDescent="0.2">
      <c r="A667" s="23" t="s">
        <v>3051</v>
      </c>
      <c r="B667" s="23">
        <v>2025</v>
      </c>
      <c r="C667" s="23" t="s">
        <v>5334</v>
      </c>
      <c r="D667" s="23" t="s">
        <v>5335</v>
      </c>
      <c r="E667" s="23" t="s">
        <v>5246</v>
      </c>
      <c r="F667" s="23" t="s">
        <v>4996</v>
      </c>
      <c r="G667" s="23"/>
      <c r="H667" s="23" t="s">
        <v>5336</v>
      </c>
      <c r="I667" s="23" t="s">
        <v>3353</v>
      </c>
      <c r="J667" s="23" t="s">
        <v>4998</v>
      </c>
    </row>
    <row r="668" spans="1:10" ht="95" x14ac:dyDescent="0.2">
      <c r="A668" s="23" t="s">
        <v>3058</v>
      </c>
      <c r="B668" s="23">
        <v>2025</v>
      </c>
      <c r="C668" s="23" t="s">
        <v>5337</v>
      </c>
      <c r="D668" s="23" t="s">
        <v>5338</v>
      </c>
      <c r="E668" s="23" t="s">
        <v>5246</v>
      </c>
      <c r="F668" s="23" t="s">
        <v>4996</v>
      </c>
      <c r="G668" s="23"/>
      <c r="H668" s="23" t="s">
        <v>5339</v>
      </c>
      <c r="I668" s="23" t="s">
        <v>3361</v>
      </c>
      <c r="J668" s="23" t="s">
        <v>4998</v>
      </c>
    </row>
    <row r="669" spans="1:10" ht="95" x14ac:dyDescent="0.2">
      <c r="A669" s="23" t="s">
        <v>3065</v>
      </c>
      <c r="B669" s="23">
        <v>2026</v>
      </c>
      <c r="C669" s="23" t="s">
        <v>5340</v>
      </c>
      <c r="D669" s="23" t="s">
        <v>5341</v>
      </c>
      <c r="E669" s="23" t="s">
        <v>5246</v>
      </c>
      <c r="F669" s="23" t="s">
        <v>4996</v>
      </c>
      <c r="G669" s="23"/>
      <c r="H669" s="23" t="s">
        <v>5342</v>
      </c>
      <c r="I669" s="23" t="s">
        <v>3353</v>
      </c>
      <c r="J669" s="23" t="s">
        <v>4998</v>
      </c>
    </row>
    <row r="670" spans="1:10" ht="133" x14ac:dyDescent="0.2">
      <c r="A670" s="23" t="s">
        <v>3072</v>
      </c>
      <c r="B670" s="23">
        <v>2026</v>
      </c>
      <c r="C670" s="23" t="s">
        <v>5343</v>
      </c>
      <c r="D670" s="23" t="s">
        <v>5344</v>
      </c>
      <c r="E670" s="23" t="s">
        <v>5246</v>
      </c>
      <c r="F670" s="23" t="s">
        <v>4996</v>
      </c>
      <c r="G670" s="23"/>
      <c r="H670" s="23" t="s">
        <v>5345</v>
      </c>
      <c r="I670" s="23" t="s">
        <v>3353</v>
      </c>
      <c r="J670" s="23" t="s">
        <v>4998</v>
      </c>
    </row>
    <row r="671" spans="1:10" ht="76" x14ac:dyDescent="0.2">
      <c r="A671" s="23" t="s">
        <v>3080</v>
      </c>
      <c r="B671" s="23">
        <v>2026</v>
      </c>
      <c r="C671" s="23" t="s">
        <v>5346</v>
      </c>
      <c r="D671" s="23" t="s">
        <v>5347</v>
      </c>
      <c r="E671" s="23" t="s">
        <v>5246</v>
      </c>
      <c r="F671" s="23" t="s">
        <v>4996</v>
      </c>
      <c r="G671" s="23"/>
      <c r="H671" s="23" t="s">
        <v>5348</v>
      </c>
      <c r="I671" s="23" t="s">
        <v>3353</v>
      </c>
      <c r="J671" s="23" t="s">
        <v>4998</v>
      </c>
    </row>
    <row r="672" spans="1:10" ht="95" x14ac:dyDescent="0.2">
      <c r="A672" s="23" t="s">
        <v>3087</v>
      </c>
      <c r="B672" s="23">
        <v>2026</v>
      </c>
      <c r="C672" s="23" t="s">
        <v>5349</v>
      </c>
      <c r="D672" s="23" t="s">
        <v>5350</v>
      </c>
      <c r="E672" s="23" t="s">
        <v>5246</v>
      </c>
      <c r="F672" s="23" t="s">
        <v>4996</v>
      </c>
      <c r="G672" s="23"/>
      <c r="H672" s="23" t="s">
        <v>5351</v>
      </c>
      <c r="I672" s="23" t="s">
        <v>3353</v>
      </c>
      <c r="J672" s="23" t="s">
        <v>4998</v>
      </c>
    </row>
    <row r="673" spans="1:10" ht="95" x14ac:dyDescent="0.2">
      <c r="A673" s="23" t="s">
        <v>3095</v>
      </c>
      <c r="B673" s="23">
        <v>2026</v>
      </c>
      <c r="C673" s="23" t="s">
        <v>5352</v>
      </c>
      <c r="D673" s="23" t="s">
        <v>5353</v>
      </c>
      <c r="E673" s="23" t="s">
        <v>5246</v>
      </c>
      <c r="F673" s="23" t="s">
        <v>4996</v>
      </c>
      <c r="G673" s="23"/>
      <c r="H673" s="23" t="s">
        <v>5354</v>
      </c>
      <c r="I673" s="23" t="s">
        <v>3353</v>
      </c>
      <c r="J673" s="23" t="s">
        <v>4998</v>
      </c>
    </row>
    <row r="674" spans="1:10" ht="114" x14ac:dyDescent="0.2">
      <c r="A674" s="23" t="s">
        <v>3102</v>
      </c>
      <c r="B674" s="23">
        <v>2026</v>
      </c>
      <c r="C674" s="23" t="s">
        <v>5355</v>
      </c>
      <c r="D674" s="23" t="s">
        <v>5356</v>
      </c>
      <c r="E674" s="23" t="s">
        <v>5246</v>
      </c>
      <c r="F674" s="23" t="s">
        <v>4996</v>
      </c>
      <c r="G674" s="23"/>
      <c r="H674" s="23" t="s">
        <v>5357</v>
      </c>
      <c r="I674" s="23" t="s">
        <v>3353</v>
      </c>
      <c r="J674" s="23" t="s">
        <v>4998</v>
      </c>
    </row>
    <row r="675" spans="1:10" ht="38" x14ac:dyDescent="0.2">
      <c r="A675" s="23" t="s">
        <v>3109</v>
      </c>
      <c r="B675" s="23">
        <v>2026</v>
      </c>
      <c r="C675" s="23" t="s">
        <v>5358</v>
      </c>
      <c r="D675" s="23" t="s">
        <v>5359</v>
      </c>
      <c r="E675" s="23" t="s">
        <v>5246</v>
      </c>
      <c r="F675" s="23" t="s">
        <v>4996</v>
      </c>
      <c r="G675" s="23"/>
      <c r="H675" s="23" t="s">
        <v>4253</v>
      </c>
      <c r="I675" s="23" t="s">
        <v>3510</v>
      </c>
      <c r="J675" s="23" t="s">
        <v>4998</v>
      </c>
    </row>
    <row r="676" spans="1:10" ht="95" x14ac:dyDescent="0.2">
      <c r="A676" s="23" t="s">
        <v>3117</v>
      </c>
      <c r="B676" s="23">
        <v>2026</v>
      </c>
      <c r="C676" s="23" t="s">
        <v>5360</v>
      </c>
      <c r="D676" s="23" t="s">
        <v>5361</v>
      </c>
      <c r="E676" s="23" t="s">
        <v>5246</v>
      </c>
      <c r="F676" s="23" t="s">
        <v>4996</v>
      </c>
      <c r="G676" s="23"/>
      <c r="H676" s="23" t="s">
        <v>5362</v>
      </c>
      <c r="I676" s="23" t="s">
        <v>3353</v>
      </c>
      <c r="J676" s="23" t="s">
        <v>4998</v>
      </c>
    </row>
    <row r="677" spans="1:10" ht="76" x14ac:dyDescent="0.2">
      <c r="A677" s="23" t="s">
        <v>3125</v>
      </c>
      <c r="B677" s="23">
        <v>2025</v>
      </c>
      <c r="C677" s="23" t="s">
        <v>5363</v>
      </c>
      <c r="D677" s="23" t="s">
        <v>5364</v>
      </c>
      <c r="E677" s="23" t="s">
        <v>5246</v>
      </c>
      <c r="F677" s="23" t="s">
        <v>4996</v>
      </c>
      <c r="G677" s="23"/>
      <c r="H677" s="23" t="s">
        <v>5365</v>
      </c>
      <c r="I677" s="23" t="s">
        <v>3353</v>
      </c>
      <c r="J677" s="23" t="s">
        <v>4998</v>
      </c>
    </row>
    <row r="678" spans="1:10" ht="95" x14ac:dyDescent="0.2">
      <c r="A678" s="23" t="s">
        <v>3132</v>
      </c>
      <c r="B678" s="23">
        <v>2026</v>
      </c>
      <c r="C678" s="23" t="s">
        <v>5366</v>
      </c>
      <c r="D678" s="23" t="s">
        <v>5367</v>
      </c>
      <c r="E678" s="23" t="s">
        <v>5246</v>
      </c>
      <c r="F678" s="23" t="s">
        <v>4996</v>
      </c>
      <c r="G678" s="23"/>
      <c r="H678" s="23" t="s">
        <v>5368</v>
      </c>
      <c r="I678" s="23" t="s">
        <v>3353</v>
      </c>
      <c r="J678" s="23" t="s">
        <v>4998</v>
      </c>
    </row>
    <row r="679" spans="1:10" ht="95" x14ac:dyDescent="0.2">
      <c r="A679" s="23" t="s">
        <v>3140</v>
      </c>
      <c r="B679" s="23">
        <v>2026</v>
      </c>
      <c r="C679" s="23" t="s">
        <v>5369</v>
      </c>
      <c r="D679" s="23" t="s">
        <v>5370</v>
      </c>
      <c r="E679" s="23" t="s">
        <v>5246</v>
      </c>
      <c r="F679" s="23" t="s">
        <v>4996</v>
      </c>
      <c r="G679" s="23"/>
      <c r="H679" s="23" t="s">
        <v>5371</v>
      </c>
      <c r="I679" s="23" t="s">
        <v>3353</v>
      </c>
      <c r="J679" s="23" t="s">
        <v>4998</v>
      </c>
    </row>
    <row r="680" spans="1:10" ht="95" x14ac:dyDescent="0.2">
      <c r="A680" s="23" t="s">
        <v>3147</v>
      </c>
      <c r="B680" s="23">
        <v>2026</v>
      </c>
      <c r="C680" s="23" t="s">
        <v>5372</v>
      </c>
      <c r="D680" s="23" t="s">
        <v>5373</v>
      </c>
      <c r="E680" s="23" t="s">
        <v>5246</v>
      </c>
      <c r="F680" s="23" t="s">
        <v>4996</v>
      </c>
      <c r="G680" s="23"/>
      <c r="H680" s="23" t="s">
        <v>5374</v>
      </c>
      <c r="I680" s="23" t="s">
        <v>3353</v>
      </c>
      <c r="J680" s="23" t="s">
        <v>4998</v>
      </c>
    </row>
    <row r="681" spans="1:10" ht="190" x14ac:dyDescent="0.2">
      <c r="A681" s="23" t="s">
        <v>3163</v>
      </c>
      <c r="B681" s="23">
        <v>2025</v>
      </c>
      <c r="C681" s="23" t="s">
        <v>5375</v>
      </c>
      <c r="D681" s="23" t="s">
        <v>5376</v>
      </c>
      <c r="E681" s="23" t="s">
        <v>5246</v>
      </c>
      <c r="F681" s="23" t="s">
        <v>4996</v>
      </c>
      <c r="G681" s="23"/>
      <c r="H681" s="23" t="s">
        <v>5377</v>
      </c>
      <c r="I681" s="23" t="s">
        <v>3353</v>
      </c>
      <c r="J681" s="23" t="s">
        <v>4998</v>
      </c>
    </row>
    <row r="682" spans="1:10" ht="114" x14ac:dyDescent="0.2">
      <c r="A682" s="23" t="s">
        <v>3171</v>
      </c>
      <c r="B682" s="23">
        <v>2026</v>
      </c>
      <c r="C682" s="23" t="s">
        <v>5378</v>
      </c>
      <c r="D682" s="23" t="s">
        <v>5379</v>
      </c>
      <c r="E682" s="23" t="s">
        <v>5246</v>
      </c>
      <c r="F682" s="23" t="s">
        <v>4996</v>
      </c>
      <c r="G682" s="23"/>
      <c r="H682" s="23" t="s">
        <v>5380</v>
      </c>
      <c r="I682" s="23" t="s">
        <v>3353</v>
      </c>
      <c r="J682" s="23" t="s">
        <v>4998</v>
      </c>
    </row>
    <row r="683" spans="1:10" ht="76" x14ac:dyDescent="0.2">
      <c r="A683" s="23" t="s">
        <v>3179</v>
      </c>
      <c r="B683" s="23">
        <v>2026</v>
      </c>
      <c r="C683" s="23" t="s">
        <v>5381</v>
      </c>
      <c r="D683" s="23" t="s">
        <v>5382</v>
      </c>
      <c r="E683" s="23" t="s">
        <v>5246</v>
      </c>
      <c r="F683" s="23" t="s">
        <v>4996</v>
      </c>
      <c r="G683" s="23"/>
      <c r="H683" s="23" t="s">
        <v>5383</v>
      </c>
      <c r="I683" s="23" t="s">
        <v>3353</v>
      </c>
      <c r="J683" s="23" t="s">
        <v>4998</v>
      </c>
    </row>
    <row r="684" spans="1:10" ht="114" x14ac:dyDescent="0.2">
      <c r="A684" s="23" t="s">
        <v>3187</v>
      </c>
      <c r="B684" s="23">
        <v>2026</v>
      </c>
      <c r="C684" s="23" t="s">
        <v>5384</v>
      </c>
      <c r="D684" s="23" t="s">
        <v>5385</v>
      </c>
      <c r="E684" s="23" t="s">
        <v>5246</v>
      </c>
      <c r="F684" s="23" t="s">
        <v>4996</v>
      </c>
      <c r="G684" s="23"/>
      <c r="H684" s="23" t="s">
        <v>5386</v>
      </c>
      <c r="I684" s="23" t="s">
        <v>3353</v>
      </c>
      <c r="J684" s="23" t="s">
        <v>4998</v>
      </c>
    </row>
    <row r="685" spans="1:10" ht="57" x14ac:dyDescent="0.2">
      <c r="A685" s="23" t="s">
        <v>3194</v>
      </c>
      <c r="B685" s="23">
        <v>2025</v>
      </c>
      <c r="C685" s="23" t="s">
        <v>5387</v>
      </c>
      <c r="D685" s="23" t="s">
        <v>5388</v>
      </c>
      <c r="E685" s="23" t="s">
        <v>5246</v>
      </c>
      <c r="F685" s="23" t="s">
        <v>4996</v>
      </c>
      <c r="G685" s="23"/>
      <c r="H685" s="23" t="s">
        <v>3439</v>
      </c>
      <c r="I685" s="23" t="s">
        <v>3353</v>
      </c>
      <c r="J685" s="23" t="s">
        <v>4998</v>
      </c>
    </row>
    <row r="686" spans="1:10" ht="76" x14ac:dyDescent="0.2">
      <c r="A686" s="23" t="s">
        <v>3201</v>
      </c>
      <c r="B686" s="23">
        <v>2026</v>
      </c>
      <c r="C686" s="23" t="s">
        <v>5389</v>
      </c>
      <c r="D686" s="23" t="s">
        <v>5390</v>
      </c>
      <c r="E686" s="23" t="s">
        <v>5246</v>
      </c>
      <c r="F686" s="23" t="s">
        <v>4996</v>
      </c>
      <c r="G686" s="23"/>
      <c r="H686" s="23" t="s">
        <v>5391</v>
      </c>
      <c r="I686" s="23" t="s">
        <v>3353</v>
      </c>
      <c r="J686" s="23" t="s">
        <v>4998</v>
      </c>
    </row>
    <row r="687" spans="1:10" ht="95" x14ac:dyDescent="0.2">
      <c r="A687" s="23" t="s">
        <v>3209</v>
      </c>
      <c r="B687" s="23">
        <v>2026</v>
      </c>
      <c r="C687" s="23" t="s">
        <v>5392</v>
      </c>
      <c r="D687" s="23" t="s">
        <v>5393</v>
      </c>
      <c r="E687" s="23" t="s">
        <v>5246</v>
      </c>
      <c r="F687" s="23" t="s">
        <v>4996</v>
      </c>
      <c r="G687" s="23"/>
      <c r="H687" s="23" t="s">
        <v>5394</v>
      </c>
      <c r="I687" s="23" t="s">
        <v>3353</v>
      </c>
      <c r="J687" s="23" t="s">
        <v>4998</v>
      </c>
    </row>
    <row r="688" spans="1:10" ht="76" x14ac:dyDescent="0.2">
      <c r="A688" s="23" t="s">
        <v>3217</v>
      </c>
      <c r="B688" s="23">
        <v>2026</v>
      </c>
      <c r="C688" s="23" t="s">
        <v>5395</v>
      </c>
      <c r="D688" s="23" t="s">
        <v>5396</v>
      </c>
      <c r="E688" s="23" t="s">
        <v>5246</v>
      </c>
      <c r="F688" s="23" t="s">
        <v>4996</v>
      </c>
      <c r="G688" s="23"/>
      <c r="H688" s="23" t="s">
        <v>5397</v>
      </c>
      <c r="I688" s="23" t="s">
        <v>3353</v>
      </c>
      <c r="J688" s="23" t="s">
        <v>4998</v>
      </c>
    </row>
    <row r="689" spans="1:10" ht="133" x14ac:dyDescent="0.2">
      <c r="A689" s="23" t="s">
        <v>3223</v>
      </c>
      <c r="B689" s="23">
        <v>2026</v>
      </c>
      <c r="C689" s="23" t="s">
        <v>5398</v>
      </c>
      <c r="D689" s="23" t="s">
        <v>5399</v>
      </c>
      <c r="E689" s="23" t="s">
        <v>5246</v>
      </c>
      <c r="F689" s="23" t="s">
        <v>4996</v>
      </c>
      <c r="G689" s="23"/>
      <c r="H689" s="23" t="s">
        <v>5400</v>
      </c>
      <c r="I689" s="23" t="s">
        <v>3353</v>
      </c>
      <c r="J689" s="23" t="s">
        <v>4998</v>
      </c>
    </row>
    <row r="690" spans="1:10" ht="95" x14ac:dyDescent="0.2">
      <c r="A690" s="23" t="s">
        <v>3229</v>
      </c>
      <c r="B690" s="23">
        <v>2025</v>
      </c>
      <c r="C690" s="23" t="s">
        <v>5401</v>
      </c>
      <c r="D690" s="23" t="s">
        <v>5402</v>
      </c>
      <c r="E690" s="23" t="s">
        <v>5246</v>
      </c>
      <c r="F690" s="23" t="s">
        <v>4996</v>
      </c>
      <c r="G690" s="23"/>
      <c r="H690" s="23" t="s">
        <v>5403</v>
      </c>
      <c r="I690" s="23" t="s">
        <v>3353</v>
      </c>
      <c r="J690" s="23" t="s">
        <v>4998</v>
      </c>
    </row>
    <row r="691" spans="1:10" ht="76" x14ac:dyDescent="0.2">
      <c r="A691" s="23" t="s">
        <v>3236</v>
      </c>
      <c r="B691" s="23">
        <v>2025</v>
      </c>
      <c r="C691" s="23" t="s">
        <v>5404</v>
      </c>
      <c r="D691" s="23" t="s">
        <v>5405</v>
      </c>
      <c r="E691" s="23" t="s">
        <v>5246</v>
      </c>
      <c r="F691" s="23" t="s">
        <v>4996</v>
      </c>
      <c r="G691" s="23"/>
      <c r="H691" s="23" t="s">
        <v>5406</v>
      </c>
      <c r="I691" s="23" t="s">
        <v>3353</v>
      </c>
      <c r="J691" s="23" t="s">
        <v>4998</v>
      </c>
    </row>
    <row r="692" spans="1:10" ht="95" x14ac:dyDescent="0.2">
      <c r="A692" s="23" t="s">
        <v>3243</v>
      </c>
      <c r="B692" s="23">
        <v>2026</v>
      </c>
      <c r="C692" s="23" t="s">
        <v>5407</v>
      </c>
      <c r="D692" s="23" t="s">
        <v>5408</v>
      </c>
      <c r="E692" s="23" t="s">
        <v>5246</v>
      </c>
      <c r="F692" s="23" t="s">
        <v>4996</v>
      </c>
      <c r="G692" s="23"/>
      <c r="H692" s="23" t="s">
        <v>5409</v>
      </c>
      <c r="I692" s="23" t="s">
        <v>3353</v>
      </c>
      <c r="J692" s="23" t="s">
        <v>4998</v>
      </c>
    </row>
    <row r="693" spans="1:10" ht="133" x14ac:dyDescent="0.2">
      <c r="A693" s="23" t="s">
        <v>3248</v>
      </c>
      <c r="B693" s="23">
        <v>2024</v>
      </c>
      <c r="C693" s="23" t="s">
        <v>5410</v>
      </c>
      <c r="D693" s="23" t="s">
        <v>5411</v>
      </c>
      <c r="E693" s="23" t="s">
        <v>5246</v>
      </c>
      <c r="F693" s="23" t="s">
        <v>4996</v>
      </c>
      <c r="G693" s="23"/>
      <c r="H693" s="23" t="s">
        <v>5412</v>
      </c>
      <c r="I693" s="23" t="s">
        <v>3353</v>
      </c>
      <c r="J693" s="23" t="s">
        <v>4998</v>
      </c>
    </row>
    <row r="694" spans="1:10" ht="114" x14ac:dyDescent="0.2">
      <c r="A694" s="23" t="s">
        <v>3256</v>
      </c>
      <c r="B694" s="23">
        <v>2024</v>
      </c>
      <c r="C694" s="23" t="s">
        <v>5413</v>
      </c>
      <c r="D694" s="23" t="s">
        <v>5414</v>
      </c>
      <c r="E694" s="23" t="s">
        <v>5246</v>
      </c>
      <c r="F694" s="23" t="s">
        <v>4996</v>
      </c>
      <c r="G694" s="23"/>
      <c r="H694" s="23" t="s">
        <v>5415</v>
      </c>
      <c r="I694" s="23" t="s">
        <v>3353</v>
      </c>
      <c r="J694" s="23" t="s">
        <v>4998</v>
      </c>
    </row>
    <row r="695" spans="1:10" ht="114" x14ac:dyDescent="0.2">
      <c r="A695" s="23" t="s">
        <v>3264</v>
      </c>
      <c r="B695" s="23">
        <v>2024</v>
      </c>
      <c r="C695" s="23" t="s">
        <v>5416</v>
      </c>
      <c r="D695" s="23" t="s">
        <v>5417</v>
      </c>
      <c r="E695" s="23" t="s">
        <v>5246</v>
      </c>
      <c r="F695" s="23" t="s">
        <v>4996</v>
      </c>
      <c r="G695" s="23"/>
      <c r="H695" s="23" t="s">
        <v>5213</v>
      </c>
      <c r="I695" s="23" t="s">
        <v>3353</v>
      </c>
      <c r="J695" s="23" t="s">
        <v>4998</v>
      </c>
    </row>
    <row r="696" spans="1:10" ht="76" x14ac:dyDescent="0.2">
      <c r="A696" s="23" t="s">
        <v>3272</v>
      </c>
      <c r="B696" s="23">
        <v>2024</v>
      </c>
      <c r="C696" s="23" t="s">
        <v>5418</v>
      </c>
      <c r="D696" s="23" t="s">
        <v>5419</v>
      </c>
      <c r="E696" s="23" t="s">
        <v>5246</v>
      </c>
      <c r="F696" s="23" t="s">
        <v>4996</v>
      </c>
      <c r="G696" s="23"/>
      <c r="H696" s="23" t="s">
        <v>5420</v>
      </c>
      <c r="I696" s="23" t="s">
        <v>3353</v>
      </c>
      <c r="J696" s="23" t="s">
        <v>4998</v>
      </c>
    </row>
    <row r="697" spans="1:10" ht="133" x14ac:dyDescent="0.2">
      <c r="A697" s="23" t="s">
        <v>3278</v>
      </c>
      <c r="B697" s="23">
        <v>2025</v>
      </c>
      <c r="C697" s="23" t="s">
        <v>5421</v>
      </c>
      <c r="D697" s="23" t="s">
        <v>5422</v>
      </c>
      <c r="E697" s="23" t="s">
        <v>5246</v>
      </c>
      <c r="F697" s="23" t="s">
        <v>4996</v>
      </c>
      <c r="G697" s="23"/>
      <c r="H697" s="23" t="s">
        <v>5423</v>
      </c>
      <c r="I697" s="23" t="s">
        <v>3353</v>
      </c>
      <c r="J697" s="23" t="s">
        <v>4998</v>
      </c>
    </row>
    <row r="698" spans="1:10" ht="114" x14ac:dyDescent="0.2">
      <c r="A698" s="23" t="s">
        <v>3286</v>
      </c>
      <c r="B698" s="23">
        <v>2025</v>
      </c>
      <c r="C698" s="23" t="s">
        <v>5424</v>
      </c>
      <c r="D698" s="23" t="s">
        <v>5425</v>
      </c>
      <c r="E698" s="23" t="s">
        <v>5246</v>
      </c>
      <c r="F698" s="23" t="s">
        <v>4996</v>
      </c>
      <c r="G698" s="23"/>
      <c r="H698" s="23" t="s">
        <v>5426</v>
      </c>
      <c r="I698" s="23" t="s">
        <v>3353</v>
      </c>
      <c r="J698" s="23" t="s">
        <v>4998</v>
      </c>
    </row>
    <row r="699" spans="1:10" ht="95" x14ac:dyDescent="0.2">
      <c r="A699" s="23" t="s">
        <v>3290</v>
      </c>
      <c r="B699" s="23">
        <v>2024</v>
      </c>
      <c r="C699" s="23" t="s">
        <v>5427</v>
      </c>
      <c r="D699" s="23" t="s">
        <v>5428</v>
      </c>
      <c r="E699" s="23" t="s">
        <v>5246</v>
      </c>
      <c r="F699" s="23" t="s">
        <v>4996</v>
      </c>
      <c r="G699" s="23"/>
      <c r="H699" s="23" t="s">
        <v>5429</v>
      </c>
      <c r="I699" s="23" t="s">
        <v>3353</v>
      </c>
      <c r="J699" s="23" t="s">
        <v>4998</v>
      </c>
    </row>
    <row r="700" spans="1:10" ht="76" x14ac:dyDescent="0.2">
      <c r="A700" s="23" t="s">
        <v>3298</v>
      </c>
      <c r="B700" s="23">
        <v>2024</v>
      </c>
      <c r="C700" s="23" t="s">
        <v>5430</v>
      </c>
      <c r="D700" s="23" t="s">
        <v>5431</v>
      </c>
      <c r="E700" s="23" t="s">
        <v>5246</v>
      </c>
      <c r="F700" s="23" t="s">
        <v>4996</v>
      </c>
      <c r="G700" s="23"/>
      <c r="H700" s="23" t="s">
        <v>5432</v>
      </c>
      <c r="I700" s="23" t="s">
        <v>3353</v>
      </c>
      <c r="J700" s="23" t="s">
        <v>4998</v>
      </c>
    </row>
    <row r="701" spans="1:10" ht="38" x14ac:dyDescent="0.2">
      <c r="A701" s="23" t="s">
        <v>3306</v>
      </c>
      <c r="B701" s="23">
        <v>2024</v>
      </c>
      <c r="C701" s="23" t="s">
        <v>5433</v>
      </c>
      <c r="D701" s="23" t="s">
        <v>5434</v>
      </c>
      <c r="E701" s="23" t="s">
        <v>5246</v>
      </c>
      <c r="F701" s="23" t="s">
        <v>4996</v>
      </c>
      <c r="G701" s="23"/>
      <c r="H701" s="23" t="s">
        <v>3597</v>
      </c>
      <c r="I701" s="23" t="s">
        <v>3510</v>
      </c>
      <c r="J701" s="23" t="s">
        <v>4998</v>
      </c>
    </row>
    <row r="702" spans="1:10" ht="114" x14ac:dyDescent="0.2">
      <c r="A702" s="23" t="s">
        <v>3313</v>
      </c>
      <c r="B702" s="23">
        <v>2026</v>
      </c>
      <c r="C702" s="23" t="s">
        <v>5435</v>
      </c>
      <c r="D702" s="23" t="s">
        <v>5419</v>
      </c>
      <c r="E702" s="23" t="s">
        <v>5246</v>
      </c>
      <c r="F702" s="23" t="s">
        <v>4996</v>
      </c>
      <c r="G702" s="23"/>
      <c r="H702" s="23" t="s">
        <v>5436</v>
      </c>
      <c r="I702" s="23" t="s">
        <v>3353</v>
      </c>
      <c r="J702" s="23" t="s">
        <v>4998</v>
      </c>
    </row>
    <row r="703" spans="1:10" ht="95" x14ac:dyDescent="0.2">
      <c r="A703" s="23" t="s">
        <v>3318</v>
      </c>
      <c r="B703" s="23">
        <v>2025</v>
      </c>
      <c r="C703" s="23" t="s">
        <v>5437</v>
      </c>
      <c r="D703" s="23" t="s">
        <v>5438</v>
      </c>
      <c r="E703" s="23" t="s">
        <v>5246</v>
      </c>
      <c r="F703" s="23" t="s">
        <v>4996</v>
      </c>
      <c r="G703" s="23"/>
      <c r="H703" s="23" t="s">
        <v>5439</v>
      </c>
      <c r="I703" s="23" t="s">
        <v>3353</v>
      </c>
      <c r="J703" s="23" t="s">
        <v>4998</v>
      </c>
    </row>
    <row r="704" spans="1:10" ht="95" x14ac:dyDescent="0.2">
      <c r="A704" s="23" t="s">
        <v>3325</v>
      </c>
      <c r="B704" s="23">
        <v>2026</v>
      </c>
      <c r="C704" s="23" t="s">
        <v>5440</v>
      </c>
      <c r="D704" s="23" t="s">
        <v>5441</v>
      </c>
      <c r="E704" s="23" t="s">
        <v>5246</v>
      </c>
      <c r="F704" s="23" t="s">
        <v>4996</v>
      </c>
      <c r="G704" s="23"/>
      <c r="H704" s="23" t="s">
        <v>5442</v>
      </c>
      <c r="I704" s="23" t="s">
        <v>3353</v>
      </c>
      <c r="J704" s="23" t="s">
        <v>4998</v>
      </c>
    </row>
    <row r="705" spans="1:10" ht="114" x14ac:dyDescent="0.2">
      <c r="A705" s="23" t="s">
        <v>3332</v>
      </c>
      <c r="B705" s="23">
        <v>2026</v>
      </c>
      <c r="C705" s="23" t="s">
        <v>5443</v>
      </c>
      <c r="D705" s="23" t="s">
        <v>5444</v>
      </c>
      <c r="E705" s="23" t="s">
        <v>5246</v>
      </c>
      <c r="F705" s="23" t="s">
        <v>4996</v>
      </c>
      <c r="G705" s="23"/>
      <c r="H705" s="23" t="s">
        <v>5445</v>
      </c>
      <c r="I705" s="23" t="s">
        <v>3353</v>
      </c>
      <c r="J705" s="23" t="s">
        <v>4998</v>
      </c>
    </row>
    <row r="706" spans="1:10" ht="57" x14ac:dyDescent="0.2">
      <c r="A706" s="23" t="s">
        <v>2825</v>
      </c>
      <c r="B706" s="23">
        <v>2025</v>
      </c>
      <c r="C706" s="23" t="s">
        <v>5446</v>
      </c>
      <c r="D706" s="23" t="s">
        <v>5447</v>
      </c>
      <c r="E706" s="23" t="s">
        <v>5448</v>
      </c>
      <c r="F706" s="23" t="s">
        <v>4996</v>
      </c>
      <c r="G706" s="23"/>
      <c r="H706" s="23" t="s">
        <v>5449</v>
      </c>
      <c r="I706" s="23" t="s">
        <v>3353</v>
      </c>
      <c r="J706" s="23" t="s">
        <v>4998</v>
      </c>
    </row>
    <row r="707" spans="1:10" ht="57" x14ac:dyDescent="0.2">
      <c r="A707" s="23" t="s">
        <v>2833</v>
      </c>
      <c r="B707" s="23">
        <v>2026</v>
      </c>
      <c r="C707" s="23" t="s">
        <v>5450</v>
      </c>
      <c r="D707" s="23" t="s">
        <v>5451</v>
      </c>
      <c r="E707" s="23" t="s">
        <v>5448</v>
      </c>
      <c r="F707" s="23" t="s">
        <v>4996</v>
      </c>
      <c r="G707" s="23"/>
      <c r="H707" s="23" t="s">
        <v>5452</v>
      </c>
      <c r="I707" s="23" t="s">
        <v>3353</v>
      </c>
      <c r="J707" s="23" t="s">
        <v>4998</v>
      </c>
    </row>
    <row r="708" spans="1:10" ht="76" x14ac:dyDescent="0.2">
      <c r="A708" s="23" t="s">
        <v>2833</v>
      </c>
      <c r="B708" s="23">
        <v>2026</v>
      </c>
      <c r="C708" s="23" t="s">
        <v>5453</v>
      </c>
      <c r="D708" s="23" t="s">
        <v>5454</v>
      </c>
      <c r="E708" s="23" t="s">
        <v>5448</v>
      </c>
      <c r="F708" s="23" t="s">
        <v>4996</v>
      </c>
      <c r="G708" s="23"/>
      <c r="H708" s="23" t="s">
        <v>5455</v>
      </c>
      <c r="I708" s="23" t="s">
        <v>3353</v>
      </c>
      <c r="J708" s="23" t="s">
        <v>4998</v>
      </c>
    </row>
    <row r="709" spans="1:10" ht="57" x14ac:dyDescent="0.2">
      <c r="A709" s="23" t="s">
        <v>2841</v>
      </c>
      <c r="B709" s="23">
        <v>2026</v>
      </c>
      <c r="C709" s="23" t="s">
        <v>5456</v>
      </c>
      <c r="D709" s="23" t="s">
        <v>5457</v>
      </c>
      <c r="E709" s="23" t="s">
        <v>5448</v>
      </c>
      <c r="F709" s="23" t="s">
        <v>4996</v>
      </c>
      <c r="G709" s="23"/>
      <c r="H709" s="23" t="s">
        <v>5458</v>
      </c>
      <c r="I709" s="23" t="s">
        <v>3353</v>
      </c>
      <c r="J709" s="23" t="s">
        <v>4998</v>
      </c>
    </row>
    <row r="710" spans="1:10" ht="76" x14ac:dyDescent="0.2">
      <c r="A710" s="23" t="s">
        <v>2841</v>
      </c>
      <c r="B710" s="23">
        <v>2026</v>
      </c>
      <c r="C710" s="23" t="s">
        <v>5459</v>
      </c>
      <c r="D710" s="23" t="s">
        <v>5460</v>
      </c>
      <c r="E710" s="23" t="s">
        <v>5448</v>
      </c>
      <c r="F710" s="23" t="s">
        <v>4996</v>
      </c>
      <c r="G710" s="23"/>
      <c r="H710" s="23" t="s">
        <v>5461</v>
      </c>
      <c r="I710" s="23" t="s">
        <v>3353</v>
      </c>
      <c r="J710" s="23" t="s">
        <v>4998</v>
      </c>
    </row>
    <row r="711" spans="1:10" ht="57" x14ac:dyDescent="0.2">
      <c r="A711" s="23" t="s">
        <v>2841</v>
      </c>
      <c r="B711" s="23">
        <v>2026</v>
      </c>
      <c r="C711" s="23" t="s">
        <v>5462</v>
      </c>
      <c r="D711" s="23" t="s">
        <v>5463</v>
      </c>
      <c r="E711" s="23" t="s">
        <v>5448</v>
      </c>
      <c r="F711" s="23" t="s">
        <v>4996</v>
      </c>
      <c r="G711" s="23"/>
      <c r="H711" s="23" t="s">
        <v>5464</v>
      </c>
      <c r="I711" s="23" t="s">
        <v>3510</v>
      </c>
      <c r="J711" s="23" t="s">
        <v>4998</v>
      </c>
    </row>
    <row r="712" spans="1:10" ht="76" x14ac:dyDescent="0.2">
      <c r="A712" s="23" t="s">
        <v>2849</v>
      </c>
      <c r="B712" s="23">
        <v>2026</v>
      </c>
      <c r="C712" s="23" t="s">
        <v>5465</v>
      </c>
      <c r="D712" s="23" t="s">
        <v>5466</v>
      </c>
      <c r="E712" s="23" t="s">
        <v>5448</v>
      </c>
      <c r="F712" s="23" t="s">
        <v>4996</v>
      </c>
      <c r="G712" s="23"/>
      <c r="H712" s="23" t="s">
        <v>3509</v>
      </c>
      <c r="I712" s="23" t="s">
        <v>3353</v>
      </c>
      <c r="J712" s="23" t="s">
        <v>4998</v>
      </c>
    </row>
    <row r="713" spans="1:10" ht="57" x14ac:dyDescent="0.2">
      <c r="A713" s="23" t="s">
        <v>2849</v>
      </c>
      <c r="B713" s="23">
        <v>2026</v>
      </c>
      <c r="C713" s="23" t="s">
        <v>5467</v>
      </c>
      <c r="D713" s="23" t="s">
        <v>5468</v>
      </c>
      <c r="E713" s="23" t="s">
        <v>5448</v>
      </c>
      <c r="F713" s="23" t="s">
        <v>4996</v>
      </c>
      <c r="G713" s="23"/>
      <c r="H713" s="23" t="s">
        <v>5469</v>
      </c>
      <c r="I713" s="23" t="s">
        <v>3510</v>
      </c>
      <c r="J713" s="23" t="s">
        <v>4998</v>
      </c>
    </row>
    <row r="714" spans="1:10" ht="57" x14ac:dyDescent="0.2">
      <c r="A714" s="23" t="s">
        <v>2857</v>
      </c>
      <c r="B714" s="23">
        <v>2026</v>
      </c>
      <c r="C714" s="23" t="s">
        <v>5470</v>
      </c>
      <c r="D714" s="23" t="s">
        <v>5471</v>
      </c>
      <c r="E714" s="23" t="s">
        <v>5448</v>
      </c>
      <c r="F714" s="23" t="s">
        <v>4996</v>
      </c>
      <c r="G714" s="23"/>
      <c r="H714" s="23" t="s">
        <v>5472</v>
      </c>
      <c r="I714" s="23" t="s">
        <v>3353</v>
      </c>
      <c r="J714" s="23" t="s">
        <v>4998</v>
      </c>
    </row>
    <row r="715" spans="1:10" ht="57" x14ac:dyDescent="0.2">
      <c r="A715" s="23" t="s">
        <v>2857</v>
      </c>
      <c r="B715" s="23">
        <v>2026</v>
      </c>
      <c r="C715" s="23" t="s">
        <v>5473</v>
      </c>
      <c r="D715" s="23" t="s">
        <v>5474</v>
      </c>
      <c r="E715" s="23" t="s">
        <v>5448</v>
      </c>
      <c r="F715" s="23" t="s">
        <v>4996</v>
      </c>
      <c r="G715" s="23"/>
      <c r="H715" s="23" t="s">
        <v>5475</v>
      </c>
      <c r="I715" s="23" t="s">
        <v>3510</v>
      </c>
      <c r="J715" s="23" t="s">
        <v>4998</v>
      </c>
    </row>
    <row r="716" spans="1:10" ht="57" x14ac:dyDescent="0.2">
      <c r="A716" s="23" t="s">
        <v>2865</v>
      </c>
      <c r="B716" s="23">
        <v>2025</v>
      </c>
      <c r="C716" s="23" t="s">
        <v>5476</v>
      </c>
      <c r="D716" s="23" t="s">
        <v>5477</v>
      </c>
      <c r="E716" s="23" t="s">
        <v>5448</v>
      </c>
      <c r="F716" s="23" t="s">
        <v>4996</v>
      </c>
      <c r="G716" s="23"/>
      <c r="H716" s="23" t="s">
        <v>5478</v>
      </c>
      <c r="I716" s="23" t="s">
        <v>3353</v>
      </c>
      <c r="J716" s="23" t="s">
        <v>4998</v>
      </c>
    </row>
    <row r="717" spans="1:10" ht="57" x14ac:dyDescent="0.2">
      <c r="A717" s="23" t="s">
        <v>2865</v>
      </c>
      <c r="B717" s="23">
        <v>2025</v>
      </c>
      <c r="C717" s="23" t="s">
        <v>5479</v>
      </c>
      <c r="D717" s="23" t="s">
        <v>5480</v>
      </c>
      <c r="E717" s="23" t="s">
        <v>5448</v>
      </c>
      <c r="F717" s="23" t="s">
        <v>4996</v>
      </c>
      <c r="G717" s="23"/>
      <c r="H717" s="23" t="s">
        <v>5481</v>
      </c>
      <c r="I717" s="23" t="s">
        <v>3510</v>
      </c>
      <c r="J717" s="23" t="s">
        <v>4998</v>
      </c>
    </row>
    <row r="718" spans="1:10" ht="57" x14ac:dyDescent="0.2">
      <c r="A718" s="23" t="s">
        <v>2873</v>
      </c>
      <c r="B718" s="23">
        <v>2025</v>
      </c>
      <c r="C718" s="23" t="s">
        <v>5482</v>
      </c>
      <c r="D718" s="23" t="s">
        <v>5483</v>
      </c>
      <c r="E718" s="23" t="s">
        <v>5448</v>
      </c>
      <c r="F718" s="23" t="s">
        <v>4996</v>
      </c>
      <c r="G718" s="23"/>
      <c r="H718" s="23" t="s">
        <v>5484</v>
      </c>
      <c r="I718" s="23" t="s">
        <v>3353</v>
      </c>
      <c r="J718" s="23" t="s">
        <v>4998</v>
      </c>
    </row>
    <row r="719" spans="1:10" ht="76" x14ac:dyDescent="0.2">
      <c r="A719" s="23" t="s">
        <v>2873</v>
      </c>
      <c r="B719" s="23">
        <v>2025</v>
      </c>
      <c r="C719" s="23" t="s">
        <v>5485</v>
      </c>
      <c r="D719" s="23" t="s">
        <v>5486</v>
      </c>
      <c r="E719" s="23" t="s">
        <v>5448</v>
      </c>
      <c r="F719" s="23" t="s">
        <v>4996</v>
      </c>
      <c r="G719" s="23"/>
      <c r="H719" s="23" t="s">
        <v>5266</v>
      </c>
      <c r="I719" s="23" t="s">
        <v>3353</v>
      </c>
      <c r="J719" s="23" t="s">
        <v>4998</v>
      </c>
    </row>
    <row r="720" spans="1:10" ht="114" x14ac:dyDescent="0.2">
      <c r="A720" s="23" t="s">
        <v>2881</v>
      </c>
      <c r="B720" s="23">
        <v>2026</v>
      </c>
      <c r="C720" s="23" t="s">
        <v>5487</v>
      </c>
      <c r="D720" s="23" t="s">
        <v>5488</v>
      </c>
      <c r="E720" s="23" t="s">
        <v>5448</v>
      </c>
      <c r="F720" s="23" t="s">
        <v>4996</v>
      </c>
      <c r="G720" s="23"/>
      <c r="H720" s="23" t="s">
        <v>5489</v>
      </c>
      <c r="I720" s="23" t="s">
        <v>3353</v>
      </c>
      <c r="J720" s="23" t="s">
        <v>4998</v>
      </c>
    </row>
    <row r="721" spans="1:10" ht="95" x14ac:dyDescent="0.2">
      <c r="A721" s="23" t="s">
        <v>2889</v>
      </c>
      <c r="B721" s="23">
        <v>2026</v>
      </c>
      <c r="C721" s="23" t="s">
        <v>5490</v>
      </c>
      <c r="D721" s="23" t="s">
        <v>5491</v>
      </c>
      <c r="E721" s="23" t="s">
        <v>5448</v>
      </c>
      <c r="F721" s="23" t="s">
        <v>4996</v>
      </c>
      <c r="G721" s="23"/>
      <c r="H721" s="23" t="s">
        <v>5492</v>
      </c>
      <c r="I721" s="23" t="s">
        <v>3353</v>
      </c>
      <c r="J721" s="23" t="s">
        <v>4998</v>
      </c>
    </row>
    <row r="722" spans="1:10" ht="76" x14ac:dyDescent="0.2">
      <c r="A722" s="23" t="s">
        <v>2897</v>
      </c>
      <c r="B722" s="23">
        <v>2026</v>
      </c>
      <c r="C722" s="23" t="s">
        <v>5493</v>
      </c>
      <c r="D722" s="23" t="s">
        <v>5494</v>
      </c>
      <c r="E722" s="23" t="s">
        <v>5448</v>
      </c>
      <c r="F722" s="23" t="s">
        <v>4996</v>
      </c>
      <c r="G722" s="23"/>
      <c r="H722" s="23" t="s">
        <v>4925</v>
      </c>
      <c r="I722" s="23" t="s">
        <v>3353</v>
      </c>
      <c r="J722" s="23" t="s">
        <v>4998</v>
      </c>
    </row>
    <row r="723" spans="1:10" ht="76" x14ac:dyDescent="0.2">
      <c r="A723" s="23" t="s">
        <v>2904</v>
      </c>
      <c r="B723" s="23">
        <v>2026</v>
      </c>
      <c r="C723" s="23" t="s">
        <v>5495</v>
      </c>
      <c r="D723" s="23" t="s">
        <v>5496</v>
      </c>
      <c r="E723" s="23" t="s">
        <v>5448</v>
      </c>
      <c r="F723" s="23" t="s">
        <v>4996</v>
      </c>
      <c r="G723" s="23"/>
      <c r="H723" s="23" t="s">
        <v>5497</v>
      </c>
      <c r="I723" s="23" t="s">
        <v>3353</v>
      </c>
      <c r="J723" s="23" t="s">
        <v>4998</v>
      </c>
    </row>
    <row r="724" spans="1:10" ht="76" x14ac:dyDescent="0.2">
      <c r="A724" s="23" t="s">
        <v>2912</v>
      </c>
      <c r="B724" s="23">
        <v>2026</v>
      </c>
      <c r="C724" s="23" t="s">
        <v>5498</v>
      </c>
      <c r="D724" s="23" t="s">
        <v>5499</v>
      </c>
      <c r="E724" s="23" t="s">
        <v>5448</v>
      </c>
      <c r="F724" s="23" t="s">
        <v>4996</v>
      </c>
      <c r="G724" s="23"/>
      <c r="H724" s="23" t="s">
        <v>5500</v>
      </c>
      <c r="I724" s="23" t="s">
        <v>3353</v>
      </c>
      <c r="J724" s="23" t="s">
        <v>4998</v>
      </c>
    </row>
    <row r="725" spans="1:10" ht="95" x14ac:dyDescent="0.2">
      <c r="A725" s="23" t="s">
        <v>2920</v>
      </c>
      <c r="B725" s="23">
        <v>2026</v>
      </c>
      <c r="C725" s="23" t="s">
        <v>5501</v>
      </c>
      <c r="D725" s="23" t="s">
        <v>5502</v>
      </c>
      <c r="E725" s="23" t="s">
        <v>5448</v>
      </c>
      <c r="F725" s="23" t="s">
        <v>4996</v>
      </c>
      <c r="G725" s="23"/>
      <c r="H725" s="23" t="s">
        <v>5503</v>
      </c>
      <c r="I725" s="23" t="s">
        <v>3353</v>
      </c>
      <c r="J725" s="23" t="s">
        <v>4998</v>
      </c>
    </row>
    <row r="726" spans="1:10" ht="95" x14ac:dyDescent="0.2">
      <c r="A726" s="23" t="s">
        <v>2920</v>
      </c>
      <c r="B726" s="23">
        <v>2026</v>
      </c>
      <c r="C726" s="23" t="s">
        <v>5504</v>
      </c>
      <c r="D726" s="23" t="s">
        <v>5505</v>
      </c>
      <c r="E726" s="23" t="s">
        <v>5448</v>
      </c>
      <c r="F726" s="23" t="s">
        <v>4996</v>
      </c>
      <c r="G726" s="23"/>
      <c r="H726" s="23" t="s">
        <v>5506</v>
      </c>
      <c r="I726" s="23" t="s">
        <v>3510</v>
      </c>
      <c r="J726" s="23" t="s">
        <v>4998</v>
      </c>
    </row>
    <row r="727" spans="1:10" ht="57" x14ac:dyDescent="0.2">
      <c r="A727" s="23" t="s">
        <v>2928</v>
      </c>
      <c r="B727" s="23">
        <v>2025</v>
      </c>
      <c r="C727" s="23" t="s">
        <v>5507</v>
      </c>
      <c r="D727" s="23" t="s">
        <v>5508</v>
      </c>
      <c r="E727" s="23" t="s">
        <v>5448</v>
      </c>
      <c r="F727" s="23" t="s">
        <v>4996</v>
      </c>
      <c r="G727" s="23"/>
      <c r="H727" s="23" t="s">
        <v>5509</v>
      </c>
      <c r="I727" s="23" t="s">
        <v>3510</v>
      </c>
      <c r="J727" s="23" t="s">
        <v>4998</v>
      </c>
    </row>
    <row r="728" spans="1:10" ht="76" x14ac:dyDescent="0.2">
      <c r="A728" s="23" t="s">
        <v>2936</v>
      </c>
      <c r="B728" s="23">
        <v>2025</v>
      </c>
      <c r="C728" s="23" t="s">
        <v>5510</v>
      </c>
      <c r="D728" s="23" t="s">
        <v>5511</v>
      </c>
      <c r="E728" s="23" t="s">
        <v>5448</v>
      </c>
      <c r="F728" s="23" t="s">
        <v>4996</v>
      </c>
      <c r="G728" s="23"/>
      <c r="H728" s="23" t="s">
        <v>5512</v>
      </c>
      <c r="I728" s="23" t="s">
        <v>3353</v>
      </c>
      <c r="J728" s="23" t="s">
        <v>4998</v>
      </c>
    </row>
    <row r="729" spans="1:10" ht="57" x14ac:dyDescent="0.2">
      <c r="A729" s="23" t="s">
        <v>2936</v>
      </c>
      <c r="B729" s="23">
        <v>2025</v>
      </c>
      <c r="C729" s="23" t="s">
        <v>5513</v>
      </c>
      <c r="D729" s="23" t="s">
        <v>5514</v>
      </c>
      <c r="E729" s="23" t="s">
        <v>5448</v>
      </c>
      <c r="F729" s="23" t="s">
        <v>4996</v>
      </c>
      <c r="G729" s="23"/>
      <c r="H729" s="23" t="s">
        <v>5515</v>
      </c>
      <c r="I729" s="23" t="s">
        <v>3510</v>
      </c>
      <c r="J729" s="23" t="s">
        <v>4998</v>
      </c>
    </row>
    <row r="730" spans="1:10" ht="76" x14ac:dyDescent="0.2">
      <c r="A730" s="23" t="s">
        <v>2944</v>
      </c>
      <c r="B730" s="23">
        <v>2026</v>
      </c>
      <c r="C730" s="23" t="s">
        <v>5516</v>
      </c>
      <c r="D730" s="23" t="s">
        <v>5517</v>
      </c>
      <c r="E730" s="23" t="s">
        <v>5448</v>
      </c>
      <c r="F730" s="23" t="s">
        <v>4996</v>
      </c>
      <c r="G730" s="23"/>
      <c r="H730" s="23" t="s">
        <v>5518</v>
      </c>
      <c r="I730" s="23" t="s">
        <v>3353</v>
      </c>
      <c r="J730" s="23" t="s">
        <v>4998</v>
      </c>
    </row>
    <row r="731" spans="1:10" ht="57" x14ac:dyDescent="0.2">
      <c r="A731" s="23" t="s">
        <v>2944</v>
      </c>
      <c r="B731" s="23">
        <v>2026</v>
      </c>
      <c r="C731" s="23" t="s">
        <v>5519</v>
      </c>
      <c r="D731" s="23" t="s">
        <v>5520</v>
      </c>
      <c r="E731" s="23" t="s">
        <v>5448</v>
      </c>
      <c r="F731" s="23" t="s">
        <v>4996</v>
      </c>
      <c r="G731" s="23"/>
      <c r="H731" s="23" t="s">
        <v>5521</v>
      </c>
      <c r="I731" s="23" t="s">
        <v>3510</v>
      </c>
      <c r="J731" s="23" t="s">
        <v>4998</v>
      </c>
    </row>
    <row r="732" spans="1:10" ht="114" x14ac:dyDescent="0.2">
      <c r="A732" s="23" t="s">
        <v>2952</v>
      </c>
      <c r="B732" s="23">
        <v>2026</v>
      </c>
      <c r="C732" s="23" t="s">
        <v>5522</v>
      </c>
      <c r="D732" s="23" t="s">
        <v>5523</v>
      </c>
      <c r="E732" s="23" t="s">
        <v>5448</v>
      </c>
      <c r="F732" s="23" t="s">
        <v>4996</v>
      </c>
      <c r="G732" s="23"/>
      <c r="H732" s="23" t="s">
        <v>5524</v>
      </c>
      <c r="I732" s="23" t="s">
        <v>3353</v>
      </c>
      <c r="J732" s="23" t="s">
        <v>4998</v>
      </c>
    </row>
    <row r="733" spans="1:10" ht="57" x14ac:dyDescent="0.2">
      <c r="A733" s="23" t="s">
        <v>2952</v>
      </c>
      <c r="B733" s="23">
        <v>2026</v>
      </c>
      <c r="C733" s="23" t="s">
        <v>5525</v>
      </c>
      <c r="D733" s="23" t="s">
        <v>5526</v>
      </c>
      <c r="E733" s="23" t="s">
        <v>5448</v>
      </c>
      <c r="F733" s="23" t="s">
        <v>4996</v>
      </c>
      <c r="G733" s="23"/>
      <c r="H733" s="23" t="s">
        <v>5527</v>
      </c>
      <c r="I733" s="23" t="s">
        <v>3510</v>
      </c>
      <c r="J733" s="23" t="s">
        <v>4998</v>
      </c>
    </row>
    <row r="734" spans="1:10" ht="57" x14ac:dyDescent="0.2">
      <c r="A734" s="23" t="s">
        <v>2959</v>
      </c>
      <c r="B734" s="23">
        <v>2025</v>
      </c>
      <c r="C734" s="23" t="s">
        <v>5528</v>
      </c>
      <c r="D734" s="23" t="s">
        <v>5529</v>
      </c>
      <c r="E734" s="23" t="s">
        <v>5448</v>
      </c>
      <c r="F734" s="23" t="s">
        <v>4996</v>
      </c>
      <c r="G734" s="23"/>
      <c r="H734" s="23" t="s">
        <v>5530</v>
      </c>
      <c r="I734" s="23" t="s">
        <v>3353</v>
      </c>
      <c r="J734" s="23" t="s">
        <v>4998</v>
      </c>
    </row>
    <row r="735" spans="1:10" ht="57" x14ac:dyDescent="0.2">
      <c r="A735" s="23" t="s">
        <v>2959</v>
      </c>
      <c r="B735" s="23">
        <v>2025</v>
      </c>
      <c r="C735" s="23" t="s">
        <v>5531</v>
      </c>
      <c r="D735" s="23" t="s">
        <v>5532</v>
      </c>
      <c r="E735" s="23" t="s">
        <v>5448</v>
      </c>
      <c r="F735" s="23" t="s">
        <v>4996</v>
      </c>
      <c r="G735" s="23"/>
      <c r="H735" s="23" t="s">
        <v>5533</v>
      </c>
      <c r="I735" s="23" t="s">
        <v>3510</v>
      </c>
      <c r="J735" s="23" t="s">
        <v>4998</v>
      </c>
    </row>
    <row r="736" spans="1:10" ht="57" x14ac:dyDescent="0.2">
      <c r="A736" s="23" t="s">
        <v>2967</v>
      </c>
      <c r="B736" s="23">
        <v>2025</v>
      </c>
      <c r="C736" s="23" t="s">
        <v>5534</v>
      </c>
      <c r="D736" s="23" t="s">
        <v>5535</v>
      </c>
      <c r="E736" s="23" t="s">
        <v>5448</v>
      </c>
      <c r="F736" s="23" t="s">
        <v>4996</v>
      </c>
      <c r="G736" s="23"/>
      <c r="H736" s="23" t="s">
        <v>5536</v>
      </c>
      <c r="I736" s="23" t="s">
        <v>3353</v>
      </c>
      <c r="J736" s="23" t="s">
        <v>4998</v>
      </c>
    </row>
    <row r="737" spans="1:10" ht="57" x14ac:dyDescent="0.2">
      <c r="A737" s="23" t="s">
        <v>2967</v>
      </c>
      <c r="B737" s="23">
        <v>2025</v>
      </c>
      <c r="C737" s="23" t="s">
        <v>5537</v>
      </c>
      <c r="D737" s="23" t="s">
        <v>5538</v>
      </c>
      <c r="E737" s="23" t="s">
        <v>5448</v>
      </c>
      <c r="F737" s="23" t="s">
        <v>4996</v>
      </c>
      <c r="G737" s="23"/>
      <c r="H737" s="23" t="s">
        <v>5539</v>
      </c>
      <c r="I737" s="23" t="s">
        <v>3510</v>
      </c>
      <c r="J737" s="23" t="s">
        <v>4998</v>
      </c>
    </row>
    <row r="738" spans="1:10" ht="57" x14ac:dyDescent="0.2">
      <c r="A738" s="23" t="s">
        <v>2975</v>
      </c>
      <c r="B738" s="23">
        <v>2025</v>
      </c>
      <c r="C738" s="23" t="s">
        <v>5540</v>
      </c>
      <c r="D738" s="23" t="s">
        <v>5541</v>
      </c>
      <c r="E738" s="23" t="s">
        <v>5448</v>
      </c>
      <c r="F738" s="23" t="s">
        <v>4996</v>
      </c>
      <c r="G738" s="23"/>
      <c r="H738" s="23" t="s">
        <v>5542</v>
      </c>
      <c r="I738" s="23" t="s">
        <v>3353</v>
      </c>
      <c r="J738" s="23" t="s">
        <v>4998</v>
      </c>
    </row>
    <row r="739" spans="1:10" ht="57" x14ac:dyDescent="0.2">
      <c r="A739" s="23" t="s">
        <v>2975</v>
      </c>
      <c r="B739" s="23">
        <v>2025</v>
      </c>
      <c r="C739" s="23" t="s">
        <v>5543</v>
      </c>
      <c r="D739" s="23" t="s">
        <v>5544</v>
      </c>
      <c r="E739" s="23" t="s">
        <v>5448</v>
      </c>
      <c r="F739" s="23" t="s">
        <v>4996</v>
      </c>
      <c r="G739" s="23"/>
      <c r="H739" s="23" t="s">
        <v>5545</v>
      </c>
      <c r="I739" s="23" t="s">
        <v>3510</v>
      </c>
      <c r="J739" s="23" t="s">
        <v>4998</v>
      </c>
    </row>
    <row r="740" spans="1:10" ht="57" x14ac:dyDescent="0.2">
      <c r="A740" s="23" t="s">
        <v>2983</v>
      </c>
      <c r="B740" s="23">
        <v>2026</v>
      </c>
      <c r="C740" s="23" t="s">
        <v>5546</v>
      </c>
      <c r="D740" s="23" t="s">
        <v>5547</v>
      </c>
      <c r="E740" s="23" t="s">
        <v>5448</v>
      </c>
      <c r="F740" s="23" t="s">
        <v>4996</v>
      </c>
      <c r="G740" s="23"/>
      <c r="H740" s="23" t="s">
        <v>5548</v>
      </c>
      <c r="I740" s="23" t="s">
        <v>3353</v>
      </c>
      <c r="J740" s="23" t="s">
        <v>4998</v>
      </c>
    </row>
    <row r="741" spans="1:10" ht="57" x14ac:dyDescent="0.2">
      <c r="A741" s="23" t="s">
        <v>2983</v>
      </c>
      <c r="B741" s="23">
        <v>2026</v>
      </c>
      <c r="C741" s="23" t="s">
        <v>5549</v>
      </c>
      <c r="D741" s="23" t="s">
        <v>5550</v>
      </c>
      <c r="E741" s="23" t="s">
        <v>5448</v>
      </c>
      <c r="F741" s="23" t="s">
        <v>4996</v>
      </c>
      <c r="G741" s="23"/>
      <c r="H741" s="23" t="s">
        <v>5551</v>
      </c>
      <c r="I741" s="23" t="s">
        <v>3510</v>
      </c>
      <c r="J741" s="23" t="s">
        <v>4998</v>
      </c>
    </row>
    <row r="742" spans="1:10" ht="95" x14ac:dyDescent="0.2">
      <c r="A742" s="23" t="s">
        <v>2989</v>
      </c>
      <c r="B742" s="23">
        <v>2026</v>
      </c>
      <c r="C742" s="23" t="s">
        <v>5552</v>
      </c>
      <c r="D742" s="23" t="s">
        <v>5553</v>
      </c>
      <c r="E742" s="23" t="s">
        <v>5448</v>
      </c>
      <c r="F742" s="23" t="s">
        <v>4996</v>
      </c>
      <c r="G742" s="23"/>
      <c r="H742" s="23" t="s">
        <v>5554</v>
      </c>
      <c r="I742" s="23" t="s">
        <v>3353</v>
      </c>
      <c r="J742" s="23" t="s">
        <v>4998</v>
      </c>
    </row>
    <row r="743" spans="1:10" ht="95" x14ac:dyDescent="0.2">
      <c r="A743" s="23" t="s">
        <v>2996</v>
      </c>
      <c r="B743" s="23">
        <v>2026</v>
      </c>
      <c r="C743" s="23" t="s">
        <v>5555</v>
      </c>
      <c r="D743" s="23" t="s">
        <v>5556</v>
      </c>
      <c r="E743" s="23" t="s">
        <v>5448</v>
      </c>
      <c r="F743" s="23" t="s">
        <v>4996</v>
      </c>
      <c r="G743" s="23"/>
      <c r="H743" s="23" t="s">
        <v>5557</v>
      </c>
      <c r="I743" s="23" t="s">
        <v>3353</v>
      </c>
      <c r="J743" s="23" t="s">
        <v>4998</v>
      </c>
    </row>
    <row r="744" spans="1:10" ht="57" x14ac:dyDescent="0.2">
      <c r="A744" s="23" t="s">
        <v>3004</v>
      </c>
      <c r="B744" s="23">
        <v>2024</v>
      </c>
      <c r="C744" s="23" t="s">
        <v>5558</v>
      </c>
      <c r="D744" s="23" t="s">
        <v>5559</v>
      </c>
      <c r="E744" s="23" t="s">
        <v>5448</v>
      </c>
      <c r="F744" s="23" t="s">
        <v>4996</v>
      </c>
      <c r="G744" s="23"/>
      <c r="H744" s="23" t="s">
        <v>5560</v>
      </c>
      <c r="I744" s="23" t="s">
        <v>3353</v>
      </c>
      <c r="J744" s="23" t="s">
        <v>4998</v>
      </c>
    </row>
    <row r="745" spans="1:10" ht="57" x14ac:dyDescent="0.2">
      <c r="A745" s="23" t="s">
        <v>3004</v>
      </c>
      <c r="B745" s="23">
        <v>2024</v>
      </c>
      <c r="C745" s="23" t="s">
        <v>5561</v>
      </c>
      <c r="D745" s="23" t="s">
        <v>5562</v>
      </c>
      <c r="E745" s="23" t="s">
        <v>5448</v>
      </c>
      <c r="F745" s="23" t="s">
        <v>4996</v>
      </c>
      <c r="G745" s="23"/>
      <c r="H745" s="23" t="s">
        <v>5563</v>
      </c>
      <c r="I745" s="23" t="s">
        <v>3510</v>
      </c>
      <c r="J745" s="23" t="s">
        <v>4998</v>
      </c>
    </row>
    <row r="746" spans="1:10" ht="76" x14ac:dyDescent="0.2">
      <c r="A746" s="23" t="s">
        <v>3012</v>
      </c>
      <c r="B746" s="23">
        <v>2025</v>
      </c>
      <c r="C746" s="23" t="s">
        <v>5564</v>
      </c>
      <c r="D746" s="23" t="s">
        <v>5565</v>
      </c>
      <c r="E746" s="23" t="s">
        <v>5448</v>
      </c>
      <c r="F746" s="23" t="s">
        <v>4996</v>
      </c>
      <c r="G746" s="23"/>
      <c r="H746" s="23" t="s">
        <v>5566</v>
      </c>
      <c r="I746" s="23" t="s">
        <v>3353</v>
      </c>
      <c r="J746" s="23" t="s">
        <v>4998</v>
      </c>
    </row>
    <row r="747" spans="1:10" ht="57" x14ac:dyDescent="0.2">
      <c r="A747" s="23" t="s">
        <v>3012</v>
      </c>
      <c r="B747" s="23">
        <v>2025</v>
      </c>
      <c r="C747" s="23" t="s">
        <v>5567</v>
      </c>
      <c r="D747" s="23" t="s">
        <v>5568</v>
      </c>
      <c r="E747" s="23" t="s">
        <v>5448</v>
      </c>
      <c r="F747" s="23" t="s">
        <v>4996</v>
      </c>
      <c r="G747" s="23"/>
      <c r="H747" s="23" t="s">
        <v>5569</v>
      </c>
      <c r="I747" s="23" t="s">
        <v>3510</v>
      </c>
      <c r="J747" s="23" t="s">
        <v>4998</v>
      </c>
    </row>
    <row r="748" spans="1:10" ht="57" x14ac:dyDescent="0.2">
      <c r="A748" s="23" t="s">
        <v>3020</v>
      </c>
      <c r="B748" s="23">
        <v>2026</v>
      </c>
      <c r="C748" s="23" t="s">
        <v>5570</v>
      </c>
      <c r="D748" s="23" t="s">
        <v>5571</v>
      </c>
      <c r="E748" s="23" t="s">
        <v>5448</v>
      </c>
      <c r="F748" s="23" t="s">
        <v>4996</v>
      </c>
      <c r="G748" s="23"/>
      <c r="H748" s="23" t="s">
        <v>5572</v>
      </c>
      <c r="I748" s="23" t="s">
        <v>3353</v>
      </c>
      <c r="J748" s="23" t="s">
        <v>4998</v>
      </c>
    </row>
    <row r="749" spans="1:10" ht="57" x14ac:dyDescent="0.2">
      <c r="A749" s="23" t="s">
        <v>3020</v>
      </c>
      <c r="B749" s="23">
        <v>2026</v>
      </c>
      <c r="C749" s="23" t="s">
        <v>5573</v>
      </c>
      <c r="D749" s="23" t="s">
        <v>5574</v>
      </c>
      <c r="E749" s="23" t="s">
        <v>5448</v>
      </c>
      <c r="F749" s="23" t="s">
        <v>4996</v>
      </c>
      <c r="G749" s="23"/>
      <c r="H749" s="23" t="s">
        <v>5575</v>
      </c>
      <c r="I749" s="23" t="s">
        <v>3510</v>
      </c>
      <c r="J749" s="23" t="s">
        <v>4998</v>
      </c>
    </row>
    <row r="750" spans="1:10" ht="57" x14ac:dyDescent="0.2">
      <c r="A750" s="23" t="s">
        <v>3028</v>
      </c>
      <c r="B750" s="23">
        <v>2026</v>
      </c>
      <c r="C750" s="23" t="s">
        <v>5576</v>
      </c>
      <c r="D750" s="23" t="s">
        <v>5577</v>
      </c>
      <c r="E750" s="23" t="s">
        <v>5448</v>
      </c>
      <c r="F750" s="23" t="s">
        <v>4996</v>
      </c>
      <c r="G750" s="23"/>
      <c r="H750" s="23" t="s">
        <v>5578</v>
      </c>
      <c r="I750" s="23" t="s">
        <v>3353</v>
      </c>
      <c r="J750" s="23" t="s">
        <v>4998</v>
      </c>
    </row>
    <row r="751" spans="1:10" ht="57" x14ac:dyDescent="0.2">
      <c r="A751" s="23" t="s">
        <v>3028</v>
      </c>
      <c r="B751" s="23">
        <v>2026</v>
      </c>
      <c r="C751" s="23" t="s">
        <v>5579</v>
      </c>
      <c r="D751" s="23" t="s">
        <v>5580</v>
      </c>
      <c r="E751" s="23" t="s">
        <v>5448</v>
      </c>
      <c r="F751" s="23" t="s">
        <v>4996</v>
      </c>
      <c r="G751" s="23"/>
      <c r="H751" s="23" t="s">
        <v>5581</v>
      </c>
      <c r="I751" s="23" t="s">
        <v>3510</v>
      </c>
      <c r="J751" s="23" t="s">
        <v>4998</v>
      </c>
    </row>
    <row r="752" spans="1:10" ht="57" x14ac:dyDescent="0.2">
      <c r="A752" s="23" t="s">
        <v>3035</v>
      </c>
      <c r="B752" s="23">
        <v>2024</v>
      </c>
      <c r="C752" s="23" t="s">
        <v>5582</v>
      </c>
      <c r="D752" s="23" t="s">
        <v>5583</v>
      </c>
      <c r="E752" s="23" t="s">
        <v>5448</v>
      </c>
      <c r="F752" s="23" t="s">
        <v>4996</v>
      </c>
      <c r="G752" s="23"/>
      <c r="H752" s="23" t="s">
        <v>5584</v>
      </c>
      <c r="I752" s="23" t="s">
        <v>3353</v>
      </c>
      <c r="J752" s="23" t="s">
        <v>4998</v>
      </c>
    </row>
    <row r="753" spans="1:10" ht="57" x14ac:dyDescent="0.2">
      <c r="A753" s="23" t="s">
        <v>3035</v>
      </c>
      <c r="B753" s="23">
        <v>2024</v>
      </c>
      <c r="C753" s="23" t="s">
        <v>5585</v>
      </c>
      <c r="D753" s="23" t="s">
        <v>5586</v>
      </c>
      <c r="E753" s="23" t="s">
        <v>5448</v>
      </c>
      <c r="F753" s="23" t="s">
        <v>4996</v>
      </c>
      <c r="G753" s="23"/>
      <c r="H753" s="23" t="s">
        <v>5587</v>
      </c>
      <c r="I753" s="23" t="s">
        <v>3510</v>
      </c>
      <c r="J753" s="23" t="s">
        <v>4998</v>
      </c>
    </row>
    <row r="754" spans="1:10" ht="114" x14ac:dyDescent="0.2">
      <c r="A754" s="23" t="s">
        <v>3043</v>
      </c>
      <c r="B754" s="23">
        <v>2026</v>
      </c>
      <c r="C754" s="23" t="s">
        <v>5588</v>
      </c>
      <c r="D754" s="23" t="s">
        <v>5589</v>
      </c>
      <c r="E754" s="23" t="s">
        <v>5448</v>
      </c>
      <c r="F754" s="23" t="s">
        <v>4996</v>
      </c>
      <c r="G754" s="23"/>
      <c r="H754" s="23" t="s">
        <v>5590</v>
      </c>
      <c r="I754" s="23" t="s">
        <v>3353</v>
      </c>
      <c r="J754" s="23" t="s">
        <v>4998</v>
      </c>
    </row>
    <row r="755" spans="1:10" ht="57" x14ac:dyDescent="0.2">
      <c r="A755" s="23" t="s">
        <v>3043</v>
      </c>
      <c r="B755" s="23">
        <v>2026</v>
      </c>
      <c r="C755" s="23" t="s">
        <v>5591</v>
      </c>
      <c r="D755" s="23" t="s">
        <v>5592</v>
      </c>
      <c r="E755" s="23" t="s">
        <v>5448</v>
      </c>
      <c r="F755" s="23" t="s">
        <v>4996</v>
      </c>
      <c r="G755" s="23"/>
      <c r="H755" s="23" t="s">
        <v>5593</v>
      </c>
      <c r="I755" s="23" t="s">
        <v>3510</v>
      </c>
      <c r="J755" s="23" t="s">
        <v>4998</v>
      </c>
    </row>
    <row r="756" spans="1:10" ht="76" x14ac:dyDescent="0.2">
      <c r="A756" s="23" t="s">
        <v>3051</v>
      </c>
      <c r="B756" s="23">
        <v>2025</v>
      </c>
      <c r="C756" s="23" t="s">
        <v>5594</v>
      </c>
      <c r="D756" s="23" t="s">
        <v>5595</v>
      </c>
      <c r="E756" s="23" t="s">
        <v>5448</v>
      </c>
      <c r="F756" s="23" t="s">
        <v>4996</v>
      </c>
      <c r="G756" s="23"/>
      <c r="H756" s="23" t="s">
        <v>5596</v>
      </c>
      <c r="I756" s="23" t="s">
        <v>3353</v>
      </c>
      <c r="J756" s="23" t="s">
        <v>4998</v>
      </c>
    </row>
    <row r="757" spans="1:10" ht="57" x14ac:dyDescent="0.2">
      <c r="A757" s="23" t="s">
        <v>3051</v>
      </c>
      <c r="B757" s="23">
        <v>2025</v>
      </c>
      <c r="C757" s="23" t="s">
        <v>5597</v>
      </c>
      <c r="D757" s="23" t="s">
        <v>5598</v>
      </c>
      <c r="E757" s="23" t="s">
        <v>5448</v>
      </c>
      <c r="F757" s="23" t="s">
        <v>4996</v>
      </c>
      <c r="G757" s="23"/>
      <c r="H757" s="23" t="s">
        <v>5599</v>
      </c>
      <c r="I757" s="23" t="s">
        <v>3510</v>
      </c>
      <c r="J757" s="23" t="s">
        <v>4998</v>
      </c>
    </row>
    <row r="758" spans="1:10" ht="57" x14ac:dyDescent="0.2">
      <c r="A758" s="23" t="s">
        <v>3058</v>
      </c>
      <c r="B758" s="23">
        <v>2025</v>
      </c>
      <c r="C758" s="23" t="s">
        <v>5600</v>
      </c>
      <c r="D758" s="23" t="s">
        <v>5601</v>
      </c>
      <c r="E758" s="23" t="s">
        <v>5448</v>
      </c>
      <c r="F758" s="23" t="s">
        <v>4996</v>
      </c>
      <c r="G758" s="23"/>
      <c r="H758" s="23" t="s">
        <v>5602</v>
      </c>
      <c r="I758" s="23" t="s">
        <v>3510</v>
      </c>
      <c r="J758" s="23" t="s">
        <v>4998</v>
      </c>
    </row>
    <row r="759" spans="1:10" ht="57" x14ac:dyDescent="0.2">
      <c r="A759" s="23" t="s">
        <v>3065</v>
      </c>
      <c r="B759" s="23">
        <v>2026</v>
      </c>
      <c r="C759" s="23" t="s">
        <v>5603</v>
      </c>
      <c r="D759" s="23" t="s">
        <v>5604</v>
      </c>
      <c r="E759" s="23" t="s">
        <v>5448</v>
      </c>
      <c r="F759" s="23" t="s">
        <v>4996</v>
      </c>
      <c r="G759" s="23"/>
      <c r="H759" s="23" t="s">
        <v>5605</v>
      </c>
      <c r="I759" s="23" t="s">
        <v>3353</v>
      </c>
      <c r="J759" s="23" t="s">
        <v>4998</v>
      </c>
    </row>
    <row r="760" spans="1:10" ht="76" x14ac:dyDescent="0.2">
      <c r="A760" s="23" t="s">
        <v>3065</v>
      </c>
      <c r="B760" s="23">
        <v>2026</v>
      </c>
      <c r="C760" s="23" t="s">
        <v>5606</v>
      </c>
      <c r="D760" s="23" t="s">
        <v>5607</v>
      </c>
      <c r="E760" s="23" t="s">
        <v>5448</v>
      </c>
      <c r="F760" s="23" t="s">
        <v>4996</v>
      </c>
      <c r="G760" s="23"/>
      <c r="H760" s="23" t="s">
        <v>5608</v>
      </c>
      <c r="I760" s="23" t="s">
        <v>3510</v>
      </c>
      <c r="J760" s="23" t="s">
        <v>4998</v>
      </c>
    </row>
    <row r="761" spans="1:10" ht="76" x14ac:dyDescent="0.2">
      <c r="A761" s="23" t="s">
        <v>3072</v>
      </c>
      <c r="B761" s="23">
        <v>2026</v>
      </c>
      <c r="C761" s="23" t="s">
        <v>5609</v>
      </c>
      <c r="D761" s="23" t="s">
        <v>5610</v>
      </c>
      <c r="E761" s="23" t="s">
        <v>5448</v>
      </c>
      <c r="F761" s="23" t="s">
        <v>4996</v>
      </c>
      <c r="G761" s="23"/>
      <c r="H761" s="23" t="s">
        <v>5611</v>
      </c>
      <c r="I761" s="23" t="s">
        <v>3353</v>
      </c>
      <c r="J761" s="23" t="s">
        <v>4998</v>
      </c>
    </row>
    <row r="762" spans="1:10" ht="57" x14ac:dyDescent="0.2">
      <c r="A762" s="23" t="s">
        <v>3072</v>
      </c>
      <c r="B762" s="23">
        <v>2026</v>
      </c>
      <c r="C762" s="23" t="s">
        <v>5612</v>
      </c>
      <c r="D762" s="23" t="s">
        <v>5613</v>
      </c>
      <c r="E762" s="23" t="s">
        <v>5448</v>
      </c>
      <c r="F762" s="23" t="s">
        <v>4996</v>
      </c>
      <c r="G762" s="23"/>
      <c r="H762" s="23" t="s">
        <v>5614</v>
      </c>
      <c r="I762" s="23" t="s">
        <v>3510</v>
      </c>
      <c r="J762" s="23" t="s">
        <v>4998</v>
      </c>
    </row>
    <row r="763" spans="1:10" ht="133" x14ac:dyDescent="0.2">
      <c r="A763" s="23" t="s">
        <v>3080</v>
      </c>
      <c r="B763" s="23">
        <v>2026</v>
      </c>
      <c r="C763" s="23" t="s">
        <v>5615</v>
      </c>
      <c r="D763" s="23" t="s">
        <v>5616</v>
      </c>
      <c r="E763" s="23" t="s">
        <v>5448</v>
      </c>
      <c r="F763" s="23" t="s">
        <v>4996</v>
      </c>
      <c r="G763" s="23"/>
      <c r="H763" s="23" t="s">
        <v>5617</v>
      </c>
      <c r="I763" s="23" t="s">
        <v>3353</v>
      </c>
      <c r="J763" s="23" t="s">
        <v>4998</v>
      </c>
    </row>
    <row r="764" spans="1:10" ht="57" x14ac:dyDescent="0.2">
      <c r="A764" s="23" t="s">
        <v>3087</v>
      </c>
      <c r="B764" s="23">
        <v>2026</v>
      </c>
      <c r="C764" s="23" t="s">
        <v>5618</v>
      </c>
      <c r="D764" s="23" t="s">
        <v>5619</v>
      </c>
      <c r="E764" s="23" t="s">
        <v>5448</v>
      </c>
      <c r="F764" s="23" t="s">
        <v>4996</v>
      </c>
      <c r="G764" s="23"/>
      <c r="H764" s="23" t="s">
        <v>5620</v>
      </c>
      <c r="I764" s="23" t="s">
        <v>3353</v>
      </c>
      <c r="J764" s="23" t="s">
        <v>4998</v>
      </c>
    </row>
    <row r="765" spans="1:10" ht="57" x14ac:dyDescent="0.2">
      <c r="A765" s="23" t="s">
        <v>3087</v>
      </c>
      <c r="B765" s="23">
        <v>2026</v>
      </c>
      <c r="C765" s="23" t="s">
        <v>5621</v>
      </c>
      <c r="D765" s="23" t="s">
        <v>5622</v>
      </c>
      <c r="E765" s="23" t="s">
        <v>5448</v>
      </c>
      <c r="F765" s="23" t="s">
        <v>4996</v>
      </c>
      <c r="G765" s="23"/>
      <c r="H765" s="23" t="s">
        <v>5623</v>
      </c>
      <c r="I765" s="23" t="s">
        <v>3510</v>
      </c>
      <c r="J765" s="23" t="s">
        <v>4998</v>
      </c>
    </row>
    <row r="766" spans="1:10" ht="76" x14ac:dyDescent="0.2">
      <c r="A766" s="23" t="s">
        <v>3095</v>
      </c>
      <c r="B766" s="23">
        <v>2026</v>
      </c>
      <c r="C766" s="23" t="s">
        <v>5624</v>
      </c>
      <c r="D766" s="23" t="s">
        <v>5625</v>
      </c>
      <c r="E766" s="23" t="s">
        <v>5448</v>
      </c>
      <c r="F766" s="23" t="s">
        <v>4996</v>
      </c>
      <c r="G766" s="23"/>
      <c r="H766" s="23" t="s">
        <v>5626</v>
      </c>
      <c r="I766" s="23" t="s">
        <v>3353</v>
      </c>
      <c r="J766" s="23" t="s">
        <v>4998</v>
      </c>
    </row>
    <row r="767" spans="1:10" ht="57" x14ac:dyDescent="0.2">
      <c r="A767" s="23" t="s">
        <v>3095</v>
      </c>
      <c r="B767" s="23">
        <v>2026</v>
      </c>
      <c r="C767" s="23" t="s">
        <v>5627</v>
      </c>
      <c r="D767" s="23" t="s">
        <v>5628</v>
      </c>
      <c r="E767" s="23" t="s">
        <v>5448</v>
      </c>
      <c r="F767" s="23" t="s">
        <v>4996</v>
      </c>
      <c r="G767" s="23"/>
      <c r="H767" s="23" t="s">
        <v>5629</v>
      </c>
      <c r="I767" s="23" t="s">
        <v>3510</v>
      </c>
      <c r="J767" s="23" t="s">
        <v>4998</v>
      </c>
    </row>
    <row r="768" spans="1:10" ht="114" x14ac:dyDescent="0.2">
      <c r="A768" s="23" t="s">
        <v>3102</v>
      </c>
      <c r="B768" s="23">
        <v>2026</v>
      </c>
      <c r="C768" s="23" t="s">
        <v>5630</v>
      </c>
      <c r="D768" s="23" t="s">
        <v>5631</v>
      </c>
      <c r="E768" s="23" t="s">
        <v>5448</v>
      </c>
      <c r="F768" s="23" t="s">
        <v>4996</v>
      </c>
      <c r="G768" s="23"/>
      <c r="H768" s="23" t="s">
        <v>5632</v>
      </c>
      <c r="I768" s="23" t="s">
        <v>3353</v>
      </c>
      <c r="J768" s="23" t="s">
        <v>4998</v>
      </c>
    </row>
    <row r="769" spans="1:10" ht="76" x14ac:dyDescent="0.2">
      <c r="A769" s="23" t="s">
        <v>3102</v>
      </c>
      <c r="B769" s="23">
        <v>2026</v>
      </c>
      <c r="C769" s="23" t="s">
        <v>5633</v>
      </c>
      <c r="D769" s="23" t="s">
        <v>5634</v>
      </c>
      <c r="E769" s="23" t="s">
        <v>5448</v>
      </c>
      <c r="F769" s="23" t="s">
        <v>4996</v>
      </c>
      <c r="G769" s="23"/>
      <c r="H769" s="23" t="s">
        <v>5635</v>
      </c>
      <c r="I769" s="23" t="s">
        <v>3510</v>
      </c>
      <c r="J769" s="23" t="s">
        <v>4998</v>
      </c>
    </row>
    <row r="770" spans="1:10" ht="57" x14ac:dyDescent="0.2">
      <c r="A770" s="23" t="s">
        <v>3109</v>
      </c>
      <c r="B770" s="23">
        <v>2026</v>
      </c>
      <c r="C770" s="23" t="s">
        <v>5636</v>
      </c>
      <c r="D770" s="23" t="s">
        <v>5637</v>
      </c>
      <c r="E770" s="23" t="s">
        <v>5448</v>
      </c>
      <c r="F770" s="23" t="s">
        <v>4996</v>
      </c>
      <c r="G770" s="23"/>
      <c r="H770" s="23" t="s">
        <v>5638</v>
      </c>
      <c r="I770" s="23" t="s">
        <v>3353</v>
      </c>
      <c r="J770" s="23" t="s">
        <v>4998</v>
      </c>
    </row>
    <row r="771" spans="1:10" ht="57" x14ac:dyDescent="0.2">
      <c r="A771" s="23" t="s">
        <v>3109</v>
      </c>
      <c r="B771" s="23">
        <v>2026</v>
      </c>
      <c r="C771" s="23" t="s">
        <v>5639</v>
      </c>
      <c r="D771" s="23" t="s">
        <v>5640</v>
      </c>
      <c r="E771" s="23" t="s">
        <v>5448</v>
      </c>
      <c r="F771" s="23" t="s">
        <v>4996</v>
      </c>
      <c r="G771" s="23"/>
      <c r="H771" s="23" t="s">
        <v>5641</v>
      </c>
      <c r="I771" s="23" t="s">
        <v>3510</v>
      </c>
      <c r="J771" s="23" t="s">
        <v>4998</v>
      </c>
    </row>
    <row r="772" spans="1:10" ht="76" x14ac:dyDescent="0.2">
      <c r="A772" s="23" t="s">
        <v>3117</v>
      </c>
      <c r="B772" s="23">
        <v>2026</v>
      </c>
      <c r="C772" s="23" t="s">
        <v>5642</v>
      </c>
      <c r="D772" s="23" t="s">
        <v>5643</v>
      </c>
      <c r="E772" s="23" t="s">
        <v>5448</v>
      </c>
      <c r="F772" s="23" t="s">
        <v>4996</v>
      </c>
      <c r="G772" s="23"/>
      <c r="H772" s="23" t="s">
        <v>5644</v>
      </c>
      <c r="I772" s="23" t="s">
        <v>3353</v>
      </c>
      <c r="J772" s="23" t="s">
        <v>4998</v>
      </c>
    </row>
    <row r="773" spans="1:10" ht="57" x14ac:dyDescent="0.2">
      <c r="A773" s="23" t="s">
        <v>3117</v>
      </c>
      <c r="B773" s="23">
        <v>2026</v>
      </c>
      <c r="C773" s="23" t="s">
        <v>5645</v>
      </c>
      <c r="D773" s="23" t="s">
        <v>5646</v>
      </c>
      <c r="E773" s="23" t="s">
        <v>5448</v>
      </c>
      <c r="F773" s="23" t="s">
        <v>4996</v>
      </c>
      <c r="G773" s="23"/>
      <c r="H773" s="23" t="s">
        <v>5647</v>
      </c>
      <c r="I773" s="23" t="s">
        <v>3510</v>
      </c>
      <c r="J773" s="23" t="s">
        <v>4998</v>
      </c>
    </row>
    <row r="774" spans="1:10" ht="57" x14ac:dyDescent="0.2">
      <c r="A774" s="23" t="s">
        <v>3125</v>
      </c>
      <c r="B774" s="23">
        <v>2025</v>
      </c>
      <c r="C774" s="23" t="s">
        <v>5648</v>
      </c>
      <c r="D774" s="23" t="s">
        <v>5649</v>
      </c>
      <c r="E774" s="23" t="s">
        <v>5448</v>
      </c>
      <c r="F774" s="23" t="s">
        <v>4996</v>
      </c>
      <c r="G774" s="23"/>
      <c r="H774" s="23" t="s">
        <v>5650</v>
      </c>
      <c r="I774" s="23" t="s">
        <v>3353</v>
      </c>
      <c r="J774" s="23" t="s">
        <v>4998</v>
      </c>
    </row>
    <row r="775" spans="1:10" ht="57" x14ac:dyDescent="0.2">
      <c r="A775" s="23" t="s">
        <v>3125</v>
      </c>
      <c r="B775" s="23">
        <v>2025</v>
      </c>
      <c r="C775" s="23" t="s">
        <v>5651</v>
      </c>
      <c r="D775" s="23" t="s">
        <v>5613</v>
      </c>
      <c r="E775" s="23" t="s">
        <v>5448</v>
      </c>
      <c r="F775" s="23" t="s">
        <v>4996</v>
      </c>
      <c r="G775" s="23"/>
      <c r="H775" s="23" t="s">
        <v>5652</v>
      </c>
      <c r="I775" s="23" t="s">
        <v>3510</v>
      </c>
      <c r="J775" s="23" t="s">
        <v>4998</v>
      </c>
    </row>
    <row r="776" spans="1:10" ht="57" x14ac:dyDescent="0.2">
      <c r="A776" s="23" t="s">
        <v>3132</v>
      </c>
      <c r="B776" s="23">
        <v>2026</v>
      </c>
      <c r="C776" s="23" t="s">
        <v>5653</v>
      </c>
      <c r="D776" s="23" t="s">
        <v>5654</v>
      </c>
      <c r="E776" s="23" t="s">
        <v>5448</v>
      </c>
      <c r="F776" s="23" t="s">
        <v>4996</v>
      </c>
      <c r="G776" s="23"/>
      <c r="H776" s="23" t="s">
        <v>5655</v>
      </c>
      <c r="I776" s="23" t="s">
        <v>3353</v>
      </c>
      <c r="J776" s="23" t="s">
        <v>4998</v>
      </c>
    </row>
    <row r="777" spans="1:10" ht="57" x14ac:dyDescent="0.2">
      <c r="A777" s="23" t="s">
        <v>3132</v>
      </c>
      <c r="B777" s="23">
        <v>2026</v>
      </c>
      <c r="C777" s="23" t="s">
        <v>5656</v>
      </c>
      <c r="D777" s="23" t="s">
        <v>5568</v>
      </c>
      <c r="E777" s="23" t="s">
        <v>5448</v>
      </c>
      <c r="F777" s="23" t="s">
        <v>4996</v>
      </c>
      <c r="G777" s="23"/>
      <c r="H777" s="23" t="s">
        <v>5657</v>
      </c>
      <c r="I777" s="23" t="s">
        <v>3510</v>
      </c>
      <c r="J777" s="23" t="s">
        <v>4998</v>
      </c>
    </row>
    <row r="778" spans="1:10" ht="57" x14ac:dyDescent="0.2">
      <c r="A778" s="23" t="s">
        <v>3140</v>
      </c>
      <c r="B778" s="23">
        <v>2026</v>
      </c>
      <c r="C778" s="23" t="s">
        <v>5658</v>
      </c>
      <c r="D778" s="23" t="s">
        <v>5659</v>
      </c>
      <c r="E778" s="23" t="s">
        <v>5448</v>
      </c>
      <c r="F778" s="23" t="s">
        <v>4996</v>
      </c>
      <c r="G778" s="23"/>
      <c r="H778" s="23" t="s">
        <v>5660</v>
      </c>
      <c r="I778" s="23" t="s">
        <v>3353</v>
      </c>
      <c r="J778" s="23" t="s">
        <v>4998</v>
      </c>
    </row>
    <row r="779" spans="1:10" ht="57" x14ac:dyDescent="0.2">
      <c r="A779" s="23" t="s">
        <v>3140</v>
      </c>
      <c r="B779" s="23">
        <v>2026</v>
      </c>
      <c r="C779" s="23" t="s">
        <v>5661</v>
      </c>
      <c r="D779" s="23" t="s">
        <v>5662</v>
      </c>
      <c r="E779" s="23" t="s">
        <v>5448</v>
      </c>
      <c r="F779" s="23" t="s">
        <v>4996</v>
      </c>
      <c r="G779" s="23"/>
      <c r="H779" s="23" t="s">
        <v>5663</v>
      </c>
      <c r="I779" s="23" t="s">
        <v>3510</v>
      </c>
      <c r="J779" s="23" t="s">
        <v>4998</v>
      </c>
    </row>
    <row r="780" spans="1:10" ht="76" x14ac:dyDescent="0.2">
      <c r="A780" s="23" t="s">
        <v>3147</v>
      </c>
      <c r="B780" s="23">
        <v>2026</v>
      </c>
      <c r="C780" s="23" t="s">
        <v>5664</v>
      </c>
      <c r="D780" s="23" t="s">
        <v>5665</v>
      </c>
      <c r="E780" s="23" t="s">
        <v>5448</v>
      </c>
      <c r="F780" s="23" t="s">
        <v>4996</v>
      </c>
      <c r="G780" s="23"/>
      <c r="H780" s="23" t="s">
        <v>5666</v>
      </c>
      <c r="I780" s="23" t="s">
        <v>3353</v>
      </c>
      <c r="J780" s="23" t="s">
        <v>4998</v>
      </c>
    </row>
    <row r="781" spans="1:10" ht="57" x14ac:dyDescent="0.2">
      <c r="A781" s="23" t="s">
        <v>3147</v>
      </c>
      <c r="B781" s="23">
        <v>2026</v>
      </c>
      <c r="C781" s="23" t="s">
        <v>5667</v>
      </c>
      <c r="D781" s="23" t="s">
        <v>5668</v>
      </c>
      <c r="E781" s="23" t="s">
        <v>5448</v>
      </c>
      <c r="F781" s="23" t="s">
        <v>4996</v>
      </c>
      <c r="G781" s="23"/>
      <c r="H781" s="23" t="s">
        <v>5669</v>
      </c>
      <c r="I781" s="23" t="s">
        <v>3510</v>
      </c>
      <c r="J781" s="23" t="s">
        <v>4998</v>
      </c>
    </row>
    <row r="782" spans="1:10" ht="57" x14ac:dyDescent="0.2">
      <c r="A782" s="23" t="s">
        <v>3155</v>
      </c>
      <c r="B782" s="23">
        <v>2026</v>
      </c>
      <c r="C782" s="23" t="s">
        <v>5670</v>
      </c>
      <c r="D782" s="23" t="s">
        <v>5671</v>
      </c>
      <c r="E782" s="23" t="s">
        <v>5448</v>
      </c>
      <c r="F782" s="23" t="s">
        <v>4996</v>
      </c>
      <c r="G782" s="23"/>
      <c r="H782" s="23" t="s">
        <v>5672</v>
      </c>
      <c r="I782" s="23" t="s">
        <v>3510</v>
      </c>
      <c r="J782" s="23" t="s">
        <v>4998</v>
      </c>
    </row>
    <row r="783" spans="1:10" ht="57" x14ac:dyDescent="0.2">
      <c r="A783" s="23" t="s">
        <v>3163</v>
      </c>
      <c r="B783" s="23">
        <v>2025</v>
      </c>
      <c r="C783" s="23" t="s">
        <v>5673</v>
      </c>
      <c r="D783" s="23" t="s">
        <v>5674</v>
      </c>
      <c r="E783" s="23" t="s">
        <v>5448</v>
      </c>
      <c r="F783" s="23" t="s">
        <v>4996</v>
      </c>
      <c r="G783" s="23"/>
      <c r="H783" s="23" t="s">
        <v>4498</v>
      </c>
      <c r="I783" s="23" t="s">
        <v>3353</v>
      </c>
      <c r="J783" s="23" t="s">
        <v>4998</v>
      </c>
    </row>
    <row r="784" spans="1:10" ht="57" x14ac:dyDescent="0.2">
      <c r="A784" s="23" t="s">
        <v>3163</v>
      </c>
      <c r="B784" s="23">
        <v>2025</v>
      </c>
      <c r="C784" s="23" t="s">
        <v>5675</v>
      </c>
      <c r="D784" s="23" t="s">
        <v>5676</v>
      </c>
      <c r="E784" s="23" t="s">
        <v>5448</v>
      </c>
      <c r="F784" s="23" t="s">
        <v>4996</v>
      </c>
      <c r="G784" s="23"/>
      <c r="H784" s="23" t="s">
        <v>5677</v>
      </c>
      <c r="I784" s="23" t="s">
        <v>3510</v>
      </c>
      <c r="J784" s="23" t="s">
        <v>4998</v>
      </c>
    </row>
    <row r="785" spans="1:10" ht="76" x14ac:dyDescent="0.2">
      <c r="A785" s="23" t="s">
        <v>3171</v>
      </c>
      <c r="B785" s="23">
        <v>2026</v>
      </c>
      <c r="C785" s="23" t="s">
        <v>5678</v>
      </c>
      <c r="D785" s="23" t="s">
        <v>5679</v>
      </c>
      <c r="E785" s="23" t="s">
        <v>5448</v>
      </c>
      <c r="F785" s="23" t="s">
        <v>4996</v>
      </c>
      <c r="G785" s="23"/>
      <c r="H785" s="23" t="s">
        <v>5680</v>
      </c>
      <c r="I785" s="23" t="s">
        <v>3353</v>
      </c>
      <c r="J785" s="23" t="s">
        <v>4998</v>
      </c>
    </row>
    <row r="786" spans="1:10" ht="57" x14ac:dyDescent="0.2">
      <c r="A786" s="23" t="s">
        <v>3171</v>
      </c>
      <c r="B786" s="23">
        <v>2026</v>
      </c>
      <c r="C786" s="23" t="s">
        <v>5681</v>
      </c>
      <c r="D786" s="23" t="s">
        <v>5682</v>
      </c>
      <c r="E786" s="23" t="s">
        <v>5448</v>
      </c>
      <c r="F786" s="23" t="s">
        <v>4996</v>
      </c>
      <c r="G786" s="23"/>
      <c r="H786" s="23" t="s">
        <v>5683</v>
      </c>
      <c r="I786" s="23" t="s">
        <v>3510</v>
      </c>
      <c r="J786" s="23" t="s">
        <v>4998</v>
      </c>
    </row>
    <row r="787" spans="1:10" ht="57" x14ac:dyDescent="0.2">
      <c r="A787" s="23" t="s">
        <v>3179</v>
      </c>
      <c r="B787" s="23">
        <v>2026</v>
      </c>
      <c r="C787" s="23" t="s">
        <v>5684</v>
      </c>
      <c r="D787" s="23" t="s">
        <v>5685</v>
      </c>
      <c r="E787" s="23" t="s">
        <v>5448</v>
      </c>
      <c r="F787" s="23" t="s">
        <v>4996</v>
      </c>
      <c r="G787" s="23"/>
      <c r="H787" s="23" t="s">
        <v>5686</v>
      </c>
      <c r="I787" s="23" t="s">
        <v>3510</v>
      </c>
      <c r="J787" s="23" t="s">
        <v>4998</v>
      </c>
    </row>
    <row r="788" spans="1:10" ht="57" x14ac:dyDescent="0.2">
      <c r="A788" s="23" t="s">
        <v>3187</v>
      </c>
      <c r="B788" s="23">
        <v>2026</v>
      </c>
      <c r="C788" s="23" t="s">
        <v>5687</v>
      </c>
      <c r="D788" s="23" t="s">
        <v>5688</v>
      </c>
      <c r="E788" s="23" t="s">
        <v>5448</v>
      </c>
      <c r="F788" s="23" t="s">
        <v>4996</v>
      </c>
      <c r="G788" s="23"/>
      <c r="H788" s="23" t="s">
        <v>5689</v>
      </c>
      <c r="I788" s="23" t="s">
        <v>3353</v>
      </c>
      <c r="J788" s="23" t="s">
        <v>4998</v>
      </c>
    </row>
    <row r="789" spans="1:10" ht="57" x14ac:dyDescent="0.2">
      <c r="A789" s="23" t="s">
        <v>3187</v>
      </c>
      <c r="B789" s="23">
        <v>2026</v>
      </c>
      <c r="C789" s="23" t="s">
        <v>5690</v>
      </c>
      <c r="D789" s="23" t="s">
        <v>5691</v>
      </c>
      <c r="E789" s="23" t="s">
        <v>5448</v>
      </c>
      <c r="F789" s="23" t="s">
        <v>4996</v>
      </c>
      <c r="G789" s="23"/>
      <c r="H789" s="23" t="s">
        <v>5692</v>
      </c>
      <c r="I789" s="23" t="s">
        <v>3510</v>
      </c>
      <c r="J789" s="23" t="s">
        <v>4998</v>
      </c>
    </row>
    <row r="790" spans="1:10" ht="57" x14ac:dyDescent="0.2">
      <c r="A790" s="23" t="s">
        <v>3194</v>
      </c>
      <c r="B790" s="23">
        <v>2025</v>
      </c>
      <c r="C790" s="23" t="s">
        <v>5693</v>
      </c>
      <c r="D790" s="23" t="s">
        <v>5694</v>
      </c>
      <c r="E790" s="23" t="s">
        <v>5448</v>
      </c>
      <c r="F790" s="23" t="s">
        <v>4996</v>
      </c>
      <c r="G790" s="23"/>
      <c r="H790" s="23" t="s">
        <v>5695</v>
      </c>
      <c r="I790" s="23" t="s">
        <v>3510</v>
      </c>
      <c r="J790" s="23" t="s">
        <v>4998</v>
      </c>
    </row>
    <row r="791" spans="1:10" ht="95" x14ac:dyDescent="0.2">
      <c r="A791" s="23" t="s">
        <v>3201</v>
      </c>
      <c r="B791" s="23">
        <v>2026</v>
      </c>
      <c r="C791" s="23" t="s">
        <v>5696</v>
      </c>
      <c r="D791" s="23" t="s">
        <v>5697</v>
      </c>
      <c r="E791" s="23" t="s">
        <v>5448</v>
      </c>
      <c r="F791" s="23" t="s">
        <v>4996</v>
      </c>
      <c r="G791" s="23"/>
      <c r="H791" s="23" t="s">
        <v>5698</v>
      </c>
      <c r="I791" s="23" t="s">
        <v>3353</v>
      </c>
      <c r="J791" s="23" t="s">
        <v>4998</v>
      </c>
    </row>
    <row r="792" spans="1:10" ht="95" x14ac:dyDescent="0.2">
      <c r="A792" s="23" t="s">
        <v>3209</v>
      </c>
      <c r="B792" s="23">
        <v>2026</v>
      </c>
      <c r="C792" s="23" t="s">
        <v>5699</v>
      </c>
      <c r="D792" s="23" t="s">
        <v>5700</v>
      </c>
      <c r="E792" s="23" t="s">
        <v>5448</v>
      </c>
      <c r="F792" s="23" t="s">
        <v>4996</v>
      </c>
      <c r="G792" s="23"/>
      <c r="H792" s="23" t="s">
        <v>5701</v>
      </c>
      <c r="I792" s="23" t="s">
        <v>3353</v>
      </c>
      <c r="J792" s="23" t="s">
        <v>4998</v>
      </c>
    </row>
    <row r="793" spans="1:10" ht="76" x14ac:dyDescent="0.2">
      <c r="A793" s="23" t="s">
        <v>3217</v>
      </c>
      <c r="B793" s="23">
        <v>2026</v>
      </c>
      <c r="C793" s="23" t="s">
        <v>5702</v>
      </c>
      <c r="D793" s="23" t="s">
        <v>5703</v>
      </c>
      <c r="E793" s="23" t="s">
        <v>5448</v>
      </c>
      <c r="F793" s="23" t="s">
        <v>4996</v>
      </c>
      <c r="G793" s="23"/>
      <c r="H793" s="23" t="s">
        <v>5704</v>
      </c>
      <c r="I793" s="23" t="s">
        <v>3353</v>
      </c>
      <c r="J793" s="23" t="s">
        <v>4998</v>
      </c>
    </row>
    <row r="794" spans="1:10" ht="76" x14ac:dyDescent="0.2">
      <c r="A794" s="23" t="s">
        <v>3223</v>
      </c>
      <c r="B794" s="23">
        <v>2026</v>
      </c>
      <c r="C794" s="23" t="s">
        <v>5705</v>
      </c>
      <c r="D794" s="23" t="s">
        <v>5706</v>
      </c>
      <c r="E794" s="23" t="s">
        <v>5448</v>
      </c>
      <c r="F794" s="23" t="s">
        <v>4996</v>
      </c>
      <c r="G794" s="23"/>
      <c r="H794" s="23" t="s">
        <v>5707</v>
      </c>
      <c r="I794" s="23" t="s">
        <v>3353</v>
      </c>
      <c r="J794" s="23" t="s">
        <v>4998</v>
      </c>
    </row>
    <row r="795" spans="1:10" ht="57" x14ac:dyDescent="0.2">
      <c r="A795" s="23" t="s">
        <v>3223</v>
      </c>
      <c r="B795" s="23">
        <v>2026</v>
      </c>
      <c r="C795" s="23" t="s">
        <v>5708</v>
      </c>
      <c r="D795" s="23" t="s">
        <v>5709</v>
      </c>
      <c r="E795" s="23" t="s">
        <v>5448</v>
      </c>
      <c r="F795" s="23" t="s">
        <v>4996</v>
      </c>
      <c r="G795" s="23"/>
      <c r="H795" s="23" t="s">
        <v>5710</v>
      </c>
      <c r="I795" s="23" t="s">
        <v>3510</v>
      </c>
      <c r="J795" s="23" t="s">
        <v>4998</v>
      </c>
    </row>
    <row r="796" spans="1:10" ht="76" x14ac:dyDescent="0.2">
      <c r="A796" s="23" t="s">
        <v>3229</v>
      </c>
      <c r="B796" s="23">
        <v>2025</v>
      </c>
      <c r="C796" s="23" t="s">
        <v>5711</v>
      </c>
      <c r="D796" s="23" t="s">
        <v>5712</v>
      </c>
      <c r="E796" s="23" t="s">
        <v>5448</v>
      </c>
      <c r="F796" s="23" t="s">
        <v>4996</v>
      </c>
      <c r="G796" s="23"/>
      <c r="H796" s="23" t="s">
        <v>5713</v>
      </c>
      <c r="I796" s="23" t="s">
        <v>3510</v>
      </c>
      <c r="J796" s="23" t="s">
        <v>4998</v>
      </c>
    </row>
    <row r="797" spans="1:10" ht="57" x14ac:dyDescent="0.2">
      <c r="A797" s="23" t="s">
        <v>3236</v>
      </c>
      <c r="B797" s="23">
        <v>2025</v>
      </c>
      <c r="C797" s="23" t="s">
        <v>5714</v>
      </c>
      <c r="D797" s="23" t="s">
        <v>5715</v>
      </c>
      <c r="E797" s="23" t="s">
        <v>5448</v>
      </c>
      <c r="F797" s="23" t="s">
        <v>4996</v>
      </c>
      <c r="G797" s="23"/>
      <c r="H797" s="23" t="s">
        <v>5716</v>
      </c>
      <c r="I797" s="23" t="s">
        <v>3353</v>
      </c>
      <c r="J797" s="23" t="s">
        <v>4998</v>
      </c>
    </row>
    <row r="798" spans="1:10" ht="57" x14ac:dyDescent="0.2">
      <c r="A798" s="23" t="s">
        <v>3236</v>
      </c>
      <c r="B798" s="23">
        <v>2025</v>
      </c>
      <c r="C798" s="23" t="s">
        <v>5717</v>
      </c>
      <c r="D798" s="23" t="s">
        <v>5718</v>
      </c>
      <c r="E798" s="23" t="s">
        <v>5448</v>
      </c>
      <c r="F798" s="23" t="s">
        <v>4996</v>
      </c>
      <c r="G798" s="23"/>
      <c r="H798" s="23" t="s">
        <v>5719</v>
      </c>
      <c r="I798" s="23" t="s">
        <v>3510</v>
      </c>
      <c r="J798" s="23" t="s">
        <v>4998</v>
      </c>
    </row>
    <row r="799" spans="1:10" ht="57" x14ac:dyDescent="0.2">
      <c r="A799" s="23" t="s">
        <v>3243</v>
      </c>
      <c r="B799" s="23">
        <v>2026</v>
      </c>
      <c r="C799" s="23" t="s">
        <v>5720</v>
      </c>
      <c r="D799" s="23" t="s">
        <v>5721</v>
      </c>
      <c r="E799" s="23" t="s">
        <v>5448</v>
      </c>
      <c r="F799" s="23" t="s">
        <v>4996</v>
      </c>
      <c r="G799" s="23"/>
      <c r="H799" s="23" t="s">
        <v>5722</v>
      </c>
      <c r="I799" s="23" t="s">
        <v>3353</v>
      </c>
      <c r="J799" s="23" t="s">
        <v>4998</v>
      </c>
    </row>
    <row r="800" spans="1:10" ht="57" x14ac:dyDescent="0.2">
      <c r="A800" s="23" t="s">
        <v>3243</v>
      </c>
      <c r="B800" s="23">
        <v>2026</v>
      </c>
      <c r="C800" s="23" t="s">
        <v>5723</v>
      </c>
      <c r="D800" s="23" t="s">
        <v>5532</v>
      </c>
      <c r="E800" s="23" t="s">
        <v>5448</v>
      </c>
      <c r="F800" s="23" t="s">
        <v>4996</v>
      </c>
      <c r="G800" s="23"/>
      <c r="H800" s="23" t="s">
        <v>5724</v>
      </c>
      <c r="I800" s="23" t="s">
        <v>3510</v>
      </c>
      <c r="J800" s="23" t="s">
        <v>4998</v>
      </c>
    </row>
    <row r="801" spans="1:10" ht="76" x14ac:dyDescent="0.2">
      <c r="A801" s="23" t="s">
        <v>3248</v>
      </c>
      <c r="B801" s="23">
        <v>2024</v>
      </c>
      <c r="C801" s="23" t="s">
        <v>5725</v>
      </c>
      <c r="D801" s="23" t="s">
        <v>5726</v>
      </c>
      <c r="E801" s="23" t="s">
        <v>5448</v>
      </c>
      <c r="F801" s="23" t="s">
        <v>4996</v>
      </c>
      <c r="G801" s="23"/>
      <c r="H801" s="23" t="s">
        <v>5727</v>
      </c>
      <c r="I801" s="23" t="s">
        <v>3510</v>
      </c>
      <c r="J801" s="23" t="s">
        <v>4998</v>
      </c>
    </row>
    <row r="802" spans="1:10" ht="76" x14ac:dyDescent="0.2">
      <c r="A802" s="23" t="s">
        <v>3256</v>
      </c>
      <c r="B802" s="23">
        <v>2024</v>
      </c>
      <c r="C802" s="23" t="s">
        <v>5728</v>
      </c>
      <c r="D802" s="23" t="s">
        <v>5729</v>
      </c>
      <c r="E802" s="23" t="s">
        <v>5448</v>
      </c>
      <c r="F802" s="23" t="s">
        <v>4996</v>
      </c>
      <c r="G802" s="23"/>
      <c r="H802" s="23" t="s">
        <v>5730</v>
      </c>
      <c r="I802" s="23" t="s">
        <v>3353</v>
      </c>
      <c r="J802" s="23" t="s">
        <v>4998</v>
      </c>
    </row>
    <row r="803" spans="1:10" ht="76" x14ac:dyDescent="0.2">
      <c r="A803" s="23" t="s">
        <v>3264</v>
      </c>
      <c r="B803" s="23">
        <v>2024</v>
      </c>
      <c r="C803" s="23" t="s">
        <v>5731</v>
      </c>
      <c r="D803" s="23" t="s">
        <v>5732</v>
      </c>
      <c r="E803" s="23" t="s">
        <v>5448</v>
      </c>
      <c r="F803" s="23" t="s">
        <v>4996</v>
      </c>
      <c r="G803" s="23"/>
      <c r="H803" s="23" t="s">
        <v>5733</v>
      </c>
      <c r="I803" s="23" t="s">
        <v>3353</v>
      </c>
      <c r="J803" s="23" t="s">
        <v>4998</v>
      </c>
    </row>
    <row r="804" spans="1:10" ht="57" x14ac:dyDescent="0.2">
      <c r="A804" s="23" t="s">
        <v>3272</v>
      </c>
      <c r="B804" s="23">
        <v>2024</v>
      </c>
      <c r="C804" s="23" t="s">
        <v>5734</v>
      </c>
      <c r="D804" s="23" t="s">
        <v>5735</v>
      </c>
      <c r="E804" s="23" t="s">
        <v>5448</v>
      </c>
      <c r="F804" s="23" t="s">
        <v>4996</v>
      </c>
      <c r="G804" s="23"/>
      <c r="H804" s="23" t="s">
        <v>5736</v>
      </c>
      <c r="I804" s="23" t="s">
        <v>3353</v>
      </c>
      <c r="J804" s="23" t="s">
        <v>4998</v>
      </c>
    </row>
    <row r="805" spans="1:10" ht="57" x14ac:dyDescent="0.2">
      <c r="A805" s="23" t="s">
        <v>3278</v>
      </c>
      <c r="B805" s="23">
        <v>2025</v>
      </c>
      <c r="C805" s="23" t="s">
        <v>5737</v>
      </c>
      <c r="D805" s="23" t="s">
        <v>5738</v>
      </c>
      <c r="E805" s="23" t="s">
        <v>5448</v>
      </c>
      <c r="F805" s="23" t="s">
        <v>4996</v>
      </c>
      <c r="G805" s="23"/>
      <c r="H805" s="23" t="s">
        <v>5739</v>
      </c>
      <c r="I805" s="23" t="s">
        <v>3353</v>
      </c>
      <c r="J805" s="23" t="s">
        <v>4998</v>
      </c>
    </row>
    <row r="806" spans="1:10" ht="57" x14ac:dyDescent="0.2">
      <c r="A806" s="23" t="s">
        <v>3286</v>
      </c>
      <c r="B806" s="23">
        <v>2025</v>
      </c>
      <c r="C806" s="23" t="s">
        <v>5740</v>
      </c>
      <c r="D806" s="23" t="s">
        <v>5741</v>
      </c>
      <c r="E806" s="23" t="s">
        <v>5448</v>
      </c>
      <c r="F806" s="23" t="s">
        <v>4996</v>
      </c>
      <c r="G806" s="23"/>
      <c r="H806" s="23" t="s">
        <v>5742</v>
      </c>
      <c r="I806" s="23" t="s">
        <v>3353</v>
      </c>
      <c r="J806" s="23" t="s">
        <v>4998</v>
      </c>
    </row>
    <row r="807" spans="1:10" ht="76" x14ac:dyDescent="0.2">
      <c r="A807" s="23" t="s">
        <v>3290</v>
      </c>
      <c r="B807" s="23">
        <v>2024</v>
      </c>
      <c r="C807" s="23" t="s">
        <v>5743</v>
      </c>
      <c r="D807" s="23" t="s">
        <v>5744</v>
      </c>
      <c r="E807" s="23" t="s">
        <v>5448</v>
      </c>
      <c r="F807" s="23" t="s">
        <v>4996</v>
      </c>
      <c r="G807" s="23"/>
      <c r="H807" s="23" t="s">
        <v>5745</v>
      </c>
      <c r="I807" s="23" t="s">
        <v>3353</v>
      </c>
      <c r="J807" s="23" t="s">
        <v>4998</v>
      </c>
    </row>
    <row r="808" spans="1:10" ht="57" x14ac:dyDescent="0.2">
      <c r="A808" s="23" t="s">
        <v>3298</v>
      </c>
      <c r="B808" s="23">
        <v>2024</v>
      </c>
      <c r="C808" s="23" t="s">
        <v>5746</v>
      </c>
      <c r="D808" s="23" t="s">
        <v>5747</v>
      </c>
      <c r="E808" s="23" t="s">
        <v>5448</v>
      </c>
      <c r="F808" s="23" t="s">
        <v>4996</v>
      </c>
      <c r="G808" s="23"/>
      <c r="H808" s="23" t="s">
        <v>5748</v>
      </c>
      <c r="I808" s="23" t="s">
        <v>3353</v>
      </c>
      <c r="J808" s="23" t="s">
        <v>4998</v>
      </c>
    </row>
    <row r="809" spans="1:10" ht="57" x14ac:dyDescent="0.2">
      <c r="A809" s="23" t="s">
        <v>3306</v>
      </c>
      <c r="B809" s="23">
        <v>2024</v>
      </c>
      <c r="C809" s="23" t="s">
        <v>5749</v>
      </c>
      <c r="D809" s="23" t="s">
        <v>5750</v>
      </c>
      <c r="E809" s="23" t="s">
        <v>5448</v>
      </c>
      <c r="F809" s="23" t="s">
        <v>4996</v>
      </c>
      <c r="G809" s="23"/>
      <c r="H809" s="23" t="s">
        <v>3597</v>
      </c>
      <c r="I809" s="23" t="s">
        <v>3353</v>
      </c>
      <c r="J809" s="23" t="s">
        <v>4998</v>
      </c>
    </row>
    <row r="810" spans="1:10" ht="76" x14ac:dyDescent="0.2">
      <c r="A810" s="23" t="s">
        <v>3313</v>
      </c>
      <c r="B810" s="23">
        <v>2026</v>
      </c>
      <c r="C810" s="23" t="s">
        <v>5751</v>
      </c>
      <c r="D810" s="23" t="s">
        <v>5752</v>
      </c>
      <c r="E810" s="23" t="s">
        <v>5448</v>
      </c>
      <c r="F810" s="23" t="s">
        <v>4996</v>
      </c>
      <c r="G810" s="23"/>
      <c r="H810" s="23" t="s">
        <v>5753</v>
      </c>
      <c r="I810" s="23" t="s">
        <v>3353</v>
      </c>
      <c r="J810" s="23" t="s">
        <v>4998</v>
      </c>
    </row>
    <row r="811" spans="1:10" ht="57" x14ac:dyDescent="0.2">
      <c r="A811" s="23" t="s">
        <v>3318</v>
      </c>
      <c r="B811" s="23">
        <v>2025</v>
      </c>
      <c r="C811" s="23" t="s">
        <v>5754</v>
      </c>
      <c r="D811" s="23" t="s">
        <v>5755</v>
      </c>
      <c r="E811" s="23" t="s">
        <v>5448</v>
      </c>
      <c r="F811" s="23" t="s">
        <v>4996</v>
      </c>
      <c r="G811" s="23"/>
      <c r="H811" s="23" t="s">
        <v>5756</v>
      </c>
      <c r="I811" s="23" t="s">
        <v>3353</v>
      </c>
      <c r="J811" s="23" t="s">
        <v>4998</v>
      </c>
    </row>
    <row r="812" spans="1:10" ht="57" x14ac:dyDescent="0.2">
      <c r="A812" s="23" t="s">
        <v>3318</v>
      </c>
      <c r="B812" s="23">
        <v>2025</v>
      </c>
      <c r="C812" s="23" t="s">
        <v>5757</v>
      </c>
      <c r="D812" s="23" t="s">
        <v>5758</v>
      </c>
      <c r="E812" s="23" t="s">
        <v>5448</v>
      </c>
      <c r="F812" s="23" t="s">
        <v>4996</v>
      </c>
      <c r="G812" s="23"/>
      <c r="H812" s="23" t="s">
        <v>5759</v>
      </c>
      <c r="I812" s="23" t="s">
        <v>3510</v>
      </c>
      <c r="J812" s="23" t="s">
        <v>4998</v>
      </c>
    </row>
    <row r="813" spans="1:10" ht="57" x14ac:dyDescent="0.2">
      <c r="A813" s="23" t="s">
        <v>3325</v>
      </c>
      <c r="B813" s="23">
        <v>2026</v>
      </c>
      <c r="C813" s="23" t="s">
        <v>5760</v>
      </c>
      <c r="D813" s="23" t="s">
        <v>5761</v>
      </c>
      <c r="E813" s="23" t="s">
        <v>5448</v>
      </c>
      <c r="F813" s="23" t="s">
        <v>4996</v>
      </c>
      <c r="G813" s="23"/>
      <c r="H813" s="23" t="s">
        <v>5762</v>
      </c>
      <c r="I813" s="23" t="s">
        <v>3353</v>
      </c>
      <c r="J813" s="23" t="s">
        <v>4998</v>
      </c>
    </row>
    <row r="814" spans="1:10" ht="57" x14ac:dyDescent="0.2">
      <c r="A814" s="23" t="s">
        <v>3325</v>
      </c>
      <c r="B814" s="23">
        <v>2026</v>
      </c>
      <c r="C814" s="23" t="s">
        <v>5763</v>
      </c>
      <c r="D814" s="23" t="s">
        <v>5764</v>
      </c>
      <c r="E814" s="23" t="s">
        <v>5448</v>
      </c>
      <c r="F814" s="23" t="s">
        <v>4996</v>
      </c>
      <c r="G814" s="23"/>
      <c r="H814" s="23" t="s">
        <v>5765</v>
      </c>
      <c r="I814" s="23" t="s">
        <v>3510</v>
      </c>
      <c r="J814" s="23" t="s">
        <v>4998</v>
      </c>
    </row>
    <row r="815" spans="1:10" ht="57" x14ac:dyDescent="0.2">
      <c r="A815" s="23" t="s">
        <v>3332</v>
      </c>
      <c r="B815" s="23">
        <v>2026</v>
      </c>
      <c r="C815" s="23" t="s">
        <v>5766</v>
      </c>
      <c r="D815" s="23" t="s">
        <v>5767</v>
      </c>
      <c r="E815" s="23" t="s">
        <v>5448</v>
      </c>
      <c r="F815" s="23" t="s">
        <v>4996</v>
      </c>
      <c r="G815" s="23"/>
      <c r="H815" s="23" t="s">
        <v>5768</v>
      </c>
      <c r="I815" s="23" t="s">
        <v>3353</v>
      </c>
      <c r="J815" s="23" t="s">
        <v>4998</v>
      </c>
    </row>
    <row r="816" spans="1:10" ht="57" x14ac:dyDescent="0.2">
      <c r="A816" s="23" t="s">
        <v>3332</v>
      </c>
      <c r="B816" s="23">
        <v>2026</v>
      </c>
      <c r="C816" s="23" t="s">
        <v>5769</v>
      </c>
      <c r="D816" s="23" t="s">
        <v>5770</v>
      </c>
      <c r="E816" s="23" t="s">
        <v>5448</v>
      </c>
      <c r="F816" s="23" t="s">
        <v>4996</v>
      </c>
      <c r="G816" s="23"/>
      <c r="H816" s="23" t="s">
        <v>5771</v>
      </c>
      <c r="I816" s="23" t="s">
        <v>3510</v>
      </c>
      <c r="J816" s="23" t="s">
        <v>4998</v>
      </c>
    </row>
    <row r="817" spans="1:10" ht="76" x14ac:dyDescent="0.2">
      <c r="A817" s="23" t="s">
        <v>2825</v>
      </c>
      <c r="B817" s="23">
        <v>2025</v>
      </c>
      <c r="C817" s="23" t="s">
        <v>5772</v>
      </c>
      <c r="D817" s="23" t="s">
        <v>5773</v>
      </c>
      <c r="E817" s="23" t="s">
        <v>5774</v>
      </c>
      <c r="F817" s="23" t="s">
        <v>5775</v>
      </c>
      <c r="G817" s="23" t="s">
        <v>5776</v>
      </c>
      <c r="H817" s="23" t="s">
        <v>5509</v>
      </c>
      <c r="I817" s="23" t="s">
        <v>3510</v>
      </c>
      <c r="J817" s="23" t="s">
        <v>5777</v>
      </c>
    </row>
    <row r="818" spans="1:10" ht="95" x14ac:dyDescent="0.2">
      <c r="A818" s="23" t="s">
        <v>2833</v>
      </c>
      <c r="B818" s="23">
        <v>2026</v>
      </c>
      <c r="C818" s="23" t="s">
        <v>5778</v>
      </c>
      <c r="D818" s="23" t="s">
        <v>5779</v>
      </c>
      <c r="E818" s="23" t="s">
        <v>5774</v>
      </c>
      <c r="F818" s="23" t="s">
        <v>5775</v>
      </c>
      <c r="G818" s="23" t="s">
        <v>5780</v>
      </c>
      <c r="H818" s="23" t="s">
        <v>5781</v>
      </c>
      <c r="I818" s="23" t="s">
        <v>3353</v>
      </c>
      <c r="J818" s="23" t="s">
        <v>5777</v>
      </c>
    </row>
    <row r="819" spans="1:10" ht="76" x14ac:dyDescent="0.2">
      <c r="A819" s="23" t="s">
        <v>2841</v>
      </c>
      <c r="B819" s="23">
        <v>2026</v>
      </c>
      <c r="C819" s="23" t="s">
        <v>5782</v>
      </c>
      <c r="D819" s="23" t="s">
        <v>5783</v>
      </c>
      <c r="E819" s="23" t="s">
        <v>5774</v>
      </c>
      <c r="F819" s="23" t="s">
        <v>5775</v>
      </c>
      <c r="G819" s="23" t="s">
        <v>5780</v>
      </c>
      <c r="H819" s="23" t="s">
        <v>5784</v>
      </c>
      <c r="I819" s="23" t="s">
        <v>3361</v>
      </c>
      <c r="J819" s="23" t="s">
        <v>5777</v>
      </c>
    </row>
    <row r="820" spans="1:10" ht="76" x14ac:dyDescent="0.2">
      <c r="A820" s="23" t="s">
        <v>2881</v>
      </c>
      <c r="B820" s="23">
        <v>2026</v>
      </c>
      <c r="C820" s="23" t="s">
        <v>5785</v>
      </c>
      <c r="D820" s="23" t="s">
        <v>5786</v>
      </c>
      <c r="E820" s="23" t="s">
        <v>5774</v>
      </c>
      <c r="F820" s="23" t="s">
        <v>5775</v>
      </c>
      <c r="G820" s="23" t="s">
        <v>5780</v>
      </c>
      <c r="H820" s="23" t="s">
        <v>5787</v>
      </c>
      <c r="I820" s="23" t="s">
        <v>3353</v>
      </c>
      <c r="J820" s="23" t="s">
        <v>5777</v>
      </c>
    </row>
    <row r="821" spans="1:10" ht="95" x14ac:dyDescent="0.2">
      <c r="A821" s="23" t="s">
        <v>2889</v>
      </c>
      <c r="B821" s="23">
        <v>2026</v>
      </c>
      <c r="C821" s="23" t="s">
        <v>5788</v>
      </c>
      <c r="D821" s="23" t="s">
        <v>5789</v>
      </c>
      <c r="E821" s="23" t="s">
        <v>5774</v>
      </c>
      <c r="F821" s="23" t="s">
        <v>5775</v>
      </c>
      <c r="G821" s="23" t="s">
        <v>5780</v>
      </c>
      <c r="H821" s="23" t="s">
        <v>5790</v>
      </c>
      <c r="I821" s="23" t="s">
        <v>3353</v>
      </c>
      <c r="J821" s="23" t="s">
        <v>5777</v>
      </c>
    </row>
    <row r="822" spans="1:10" ht="95" x14ac:dyDescent="0.2">
      <c r="A822" s="23" t="s">
        <v>2897</v>
      </c>
      <c r="B822" s="23">
        <v>2026</v>
      </c>
      <c r="C822" s="23" t="s">
        <v>5791</v>
      </c>
      <c r="D822" s="23" t="s">
        <v>5792</v>
      </c>
      <c r="E822" s="23" t="s">
        <v>5774</v>
      </c>
      <c r="F822" s="23" t="s">
        <v>5775</v>
      </c>
      <c r="G822" s="23" t="s">
        <v>5780</v>
      </c>
      <c r="H822" s="23" t="s">
        <v>5793</v>
      </c>
      <c r="I822" s="23" t="s">
        <v>3353</v>
      </c>
      <c r="J822" s="23" t="s">
        <v>5777</v>
      </c>
    </row>
    <row r="823" spans="1:10" ht="95" x14ac:dyDescent="0.2">
      <c r="A823" s="23" t="s">
        <v>2904</v>
      </c>
      <c r="B823" s="23">
        <v>2026</v>
      </c>
      <c r="C823" s="23" t="s">
        <v>5794</v>
      </c>
      <c r="D823" s="23" t="s">
        <v>5795</v>
      </c>
      <c r="E823" s="23" t="s">
        <v>5774</v>
      </c>
      <c r="F823" s="23" t="s">
        <v>5775</v>
      </c>
      <c r="G823" s="23" t="s">
        <v>5780</v>
      </c>
      <c r="H823" s="23" t="s">
        <v>5796</v>
      </c>
      <c r="I823" s="23" t="s">
        <v>3353</v>
      </c>
      <c r="J823" s="23" t="s">
        <v>5777</v>
      </c>
    </row>
    <row r="824" spans="1:10" ht="95" x14ac:dyDescent="0.2">
      <c r="A824" s="23" t="s">
        <v>2912</v>
      </c>
      <c r="B824" s="23">
        <v>2026</v>
      </c>
      <c r="C824" s="23" t="s">
        <v>5797</v>
      </c>
      <c r="D824" s="23" t="s">
        <v>5798</v>
      </c>
      <c r="E824" s="23" t="s">
        <v>5774</v>
      </c>
      <c r="F824" s="23" t="s">
        <v>5775</v>
      </c>
      <c r="G824" s="23" t="s">
        <v>5780</v>
      </c>
      <c r="H824" s="23" t="s">
        <v>5799</v>
      </c>
      <c r="I824" s="23" t="s">
        <v>3353</v>
      </c>
      <c r="J824" s="23" t="s">
        <v>5777</v>
      </c>
    </row>
    <row r="825" spans="1:10" ht="133" x14ac:dyDescent="0.2">
      <c r="A825" s="23" t="s">
        <v>2920</v>
      </c>
      <c r="B825" s="23">
        <v>2026</v>
      </c>
      <c r="C825" s="23" t="s">
        <v>5800</v>
      </c>
      <c r="D825" s="23" t="s">
        <v>5801</v>
      </c>
      <c r="E825" s="23" t="s">
        <v>5774</v>
      </c>
      <c r="F825" s="23" t="s">
        <v>5775</v>
      </c>
      <c r="G825" s="23" t="s">
        <v>5780</v>
      </c>
      <c r="H825" s="23" t="s">
        <v>5802</v>
      </c>
      <c r="I825" s="23" t="s">
        <v>3353</v>
      </c>
      <c r="J825" s="23" t="s">
        <v>5777</v>
      </c>
    </row>
    <row r="826" spans="1:10" ht="114" x14ac:dyDescent="0.2">
      <c r="A826" s="23" t="s">
        <v>2928</v>
      </c>
      <c r="B826" s="23">
        <v>2025</v>
      </c>
      <c r="C826" s="23" t="s">
        <v>5803</v>
      </c>
      <c r="D826" s="23" t="s">
        <v>5804</v>
      </c>
      <c r="E826" s="23" t="s">
        <v>5774</v>
      </c>
      <c r="F826" s="23" t="s">
        <v>5775</v>
      </c>
      <c r="G826" s="23" t="s">
        <v>5780</v>
      </c>
      <c r="H826" s="23" t="s">
        <v>5805</v>
      </c>
      <c r="I826" s="23" t="s">
        <v>3353</v>
      </c>
      <c r="J826" s="23" t="s">
        <v>5777</v>
      </c>
    </row>
    <row r="827" spans="1:10" ht="76" x14ac:dyDescent="0.2">
      <c r="A827" s="23" t="s">
        <v>2936</v>
      </c>
      <c r="B827" s="23">
        <v>2025</v>
      </c>
      <c r="C827" s="23" t="s">
        <v>5806</v>
      </c>
      <c r="D827" s="23" t="s">
        <v>5807</v>
      </c>
      <c r="E827" s="23" t="s">
        <v>5774</v>
      </c>
      <c r="F827" s="23" t="s">
        <v>5775</v>
      </c>
      <c r="G827" s="23" t="s">
        <v>5776</v>
      </c>
      <c r="H827" s="23" t="s">
        <v>5808</v>
      </c>
      <c r="I827" s="23" t="s">
        <v>3361</v>
      </c>
      <c r="J827" s="23" t="s">
        <v>5777</v>
      </c>
    </row>
    <row r="828" spans="1:10" ht="95" x14ac:dyDescent="0.2">
      <c r="A828" s="23" t="s">
        <v>2944</v>
      </c>
      <c r="B828" s="23">
        <v>2026</v>
      </c>
      <c r="C828" s="23" t="s">
        <v>5809</v>
      </c>
      <c r="D828" s="23" t="s">
        <v>5810</v>
      </c>
      <c r="E828" s="23" t="s">
        <v>5774</v>
      </c>
      <c r="F828" s="23" t="s">
        <v>5775</v>
      </c>
      <c r="G828" s="23" t="s">
        <v>5780</v>
      </c>
      <c r="H828" s="23" t="s">
        <v>5811</v>
      </c>
      <c r="I828" s="23" t="s">
        <v>3353</v>
      </c>
      <c r="J828" s="23" t="s">
        <v>5777</v>
      </c>
    </row>
    <row r="829" spans="1:10" ht="57" x14ac:dyDescent="0.2">
      <c r="A829" s="23" t="s">
        <v>2952</v>
      </c>
      <c r="B829" s="23">
        <v>2026</v>
      </c>
      <c r="C829" s="23" t="s">
        <v>5812</v>
      </c>
      <c r="D829" s="23" t="s">
        <v>5813</v>
      </c>
      <c r="E829" s="23" t="s">
        <v>5774</v>
      </c>
      <c r="F829" s="23" t="s">
        <v>5775</v>
      </c>
      <c r="G829" s="23" t="s">
        <v>5776</v>
      </c>
      <c r="H829" s="23" t="s">
        <v>5814</v>
      </c>
      <c r="I829" s="23" t="s">
        <v>3361</v>
      </c>
      <c r="J829" s="23" t="s">
        <v>5777</v>
      </c>
    </row>
    <row r="830" spans="1:10" ht="57" x14ac:dyDescent="0.2">
      <c r="A830" s="23" t="s">
        <v>2959</v>
      </c>
      <c r="B830" s="23">
        <v>2025</v>
      </c>
      <c r="C830" s="23" t="s">
        <v>5815</v>
      </c>
      <c r="D830" s="23" t="s">
        <v>5816</v>
      </c>
      <c r="E830" s="23" t="s">
        <v>5774</v>
      </c>
      <c r="F830" s="23" t="s">
        <v>5775</v>
      </c>
      <c r="G830" s="23" t="s">
        <v>5780</v>
      </c>
      <c r="H830" s="23" t="s">
        <v>5817</v>
      </c>
      <c r="I830" s="23" t="s">
        <v>3361</v>
      </c>
      <c r="J830" s="23" t="s">
        <v>5777</v>
      </c>
    </row>
    <row r="831" spans="1:10" ht="114" x14ac:dyDescent="0.2">
      <c r="A831" s="23" t="s">
        <v>2983</v>
      </c>
      <c r="B831" s="23">
        <v>2026</v>
      </c>
      <c r="C831" s="23" t="s">
        <v>5818</v>
      </c>
      <c r="D831" s="23" t="s">
        <v>5819</v>
      </c>
      <c r="E831" s="23" t="s">
        <v>5774</v>
      </c>
      <c r="F831" s="23" t="s">
        <v>5775</v>
      </c>
      <c r="G831" s="23" t="s">
        <v>5780</v>
      </c>
      <c r="H831" s="23" t="s">
        <v>5820</v>
      </c>
      <c r="I831" s="23" t="s">
        <v>3353</v>
      </c>
      <c r="J831" s="23" t="s">
        <v>5777</v>
      </c>
    </row>
    <row r="832" spans="1:10" ht="76" x14ac:dyDescent="0.2">
      <c r="A832" s="24" t="s">
        <v>2989</v>
      </c>
      <c r="B832" s="24">
        <v>2026</v>
      </c>
      <c r="C832" s="24" t="s">
        <v>5821</v>
      </c>
      <c r="D832" s="24" t="s">
        <v>5822</v>
      </c>
      <c r="E832" s="24" t="s">
        <v>5774</v>
      </c>
      <c r="F832" s="24" t="s">
        <v>5775</v>
      </c>
      <c r="G832" s="24" t="s">
        <v>5780</v>
      </c>
      <c r="H832" s="24" t="s">
        <v>5823</v>
      </c>
      <c r="I832" s="24" t="s">
        <v>3353</v>
      </c>
      <c r="J832" s="24" t="s">
        <v>5777</v>
      </c>
    </row>
    <row r="833" spans="1:10" ht="76" x14ac:dyDescent="0.2">
      <c r="A833" s="24" t="s">
        <v>2996</v>
      </c>
      <c r="B833" s="24">
        <v>2026</v>
      </c>
      <c r="C833" s="24" t="s">
        <v>5824</v>
      </c>
      <c r="D833" s="24" t="s">
        <v>5825</v>
      </c>
      <c r="E833" s="24" t="s">
        <v>5774</v>
      </c>
      <c r="F833" s="24" t="s">
        <v>5775</v>
      </c>
      <c r="G833" s="24" t="s">
        <v>5780</v>
      </c>
      <c r="H833" s="24" t="s">
        <v>5826</v>
      </c>
      <c r="I833" s="24" t="s">
        <v>3361</v>
      </c>
      <c r="J833" s="24" t="s">
        <v>5777</v>
      </c>
    </row>
    <row r="834" spans="1:10" ht="57" x14ac:dyDescent="0.2">
      <c r="A834" s="24" t="s">
        <v>3012</v>
      </c>
      <c r="B834" s="24">
        <v>2025</v>
      </c>
      <c r="C834" s="24" t="s">
        <v>5827</v>
      </c>
      <c r="D834" s="24" t="s">
        <v>5828</v>
      </c>
      <c r="E834" s="24" t="s">
        <v>5774</v>
      </c>
      <c r="F834" s="24" t="s">
        <v>5775</v>
      </c>
      <c r="G834" s="24" t="s">
        <v>5776</v>
      </c>
      <c r="H834" s="24" t="s">
        <v>5829</v>
      </c>
      <c r="I834" s="24" t="s">
        <v>3361</v>
      </c>
      <c r="J834" s="24" t="s">
        <v>5777</v>
      </c>
    </row>
    <row r="835" spans="1:10" ht="95" x14ac:dyDescent="0.2">
      <c r="A835" s="24" t="s">
        <v>3043</v>
      </c>
      <c r="B835" s="24">
        <v>2026</v>
      </c>
      <c r="C835" s="24" t="s">
        <v>5830</v>
      </c>
      <c r="D835" s="24" t="s">
        <v>5831</v>
      </c>
      <c r="E835" s="24" t="s">
        <v>5774</v>
      </c>
      <c r="F835" s="24" t="s">
        <v>5775</v>
      </c>
      <c r="G835" s="24" t="s">
        <v>5780</v>
      </c>
      <c r="H835" s="24" t="s">
        <v>5832</v>
      </c>
      <c r="I835" s="24" t="s">
        <v>3361</v>
      </c>
      <c r="J835" s="24" t="s">
        <v>5777</v>
      </c>
    </row>
    <row r="836" spans="1:10" ht="76" x14ac:dyDescent="0.2">
      <c r="A836" s="24" t="s">
        <v>3058</v>
      </c>
      <c r="B836" s="24">
        <v>2025</v>
      </c>
      <c r="C836" s="24" t="s">
        <v>5833</v>
      </c>
      <c r="D836" s="24" t="s">
        <v>5834</v>
      </c>
      <c r="E836" s="24" t="s">
        <v>5774</v>
      </c>
      <c r="F836" s="24" t="s">
        <v>5775</v>
      </c>
      <c r="G836" s="24" t="s">
        <v>5776</v>
      </c>
      <c r="H836" s="24" t="s">
        <v>5835</v>
      </c>
      <c r="I836" s="24" t="s">
        <v>3361</v>
      </c>
      <c r="J836" s="24" t="s">
        <v>5777</v>
      </c>
    </row>
    <row r="837" spans="1:10" ht="114" x14ac:dyDescent="0.2">
      <c r="A837" s="24" t="s">
        <v>3080</v>
      </c>
      <c r="B837" s="24">
        <v>2026</v>
      </c>
      <c r="C837" s="24" t="s">
        <v>5836</v>
      </c>
      <c r="D837" s="24" t="s">
        <v>5837</v>
      </c>
      <c r="E837" s="24" t="s">
        <v>5774</v>
      </c>
      <c r="F837" s="24" t="s">
        <v>5775</v>
      </c>
      <c r="G837" s="24" t="s">
        <v>5780</v>
      </c>
      <c r="H837" s="24" t="s">
        <v>5838</v>
      </c>
      <c r="I837" s="24" t="s">
        <v>3353</v>
      </c>
      <c r="J837" s="24" t="s">
        <v>5777</v>
      </c>
    </row>
    <row r="838" spans="1:10" ht="95" x14ac:dyDescent="0.2">
      <c r="A838" s="24" t="s">
        <v>3087</v>
      </c>
      <c r="B838" s="24">
        <v>2026</v>
      </c>
      <c r="C838" s="24" t="s">
        <v>5839</v>
      </c>
      <c r="D838" s="24" t="s">
        <v>5840</v>
      </c>
      <c r="E838" s="24" t="s">
        <v>5774</v>
      </c>
      <c r="F838" s="24" t="s">
        <v>5775</v>
      </c>
      <c r="G838" s="24" t="s">
        <v>5780</v>
      </c>
      <c r="H838" s="24" t="s">
        <v>5841</v>
      </c>
      <c r="I838" s="24" t="s">
        <v>3353</v>
      </c>
      <c r="J838" s="24" t="s">
        <v>5777</v>
      </c>
    </row>
    <row r="839" spans="1:10" ht="57" x14ac:dyDescent="0.2">
      <c r="A839" s="24" t="s">
        <v>3095</v>
      </c>
      <c r="B839" s="24">
        <v>2026</v>
      </c>
      <c r="C839" s="24" t="s">
        <v>5842</v>
      </c>
      <c r="D839" s="24" t="s">
        <v>5843</v>
      </c>
      <c r="E839" s="24" t="s">
        <v>5774</v>
      </c>
      <c r="F839" s="24" t="s">
        <v>5775</v>
      </c>
      <c r="G839" s="24" t="s">
        <v>5780</v>
      </c>
      <c r="H839" s="24" t="s">
        <v>5844</v>
      </c>
      <c r="I839" s="24" t="s">
        <v>3361</v>
      </c>
      <c r="J839" s="24" t="s">
        <v>5777</v>
      </c>
    </row>
    <row r="840" spans="1:10" ht="76" x14ac:dyDescent="0.2">
      <c r="A840" s="24" t="s">
        <v>3109</v>
      </c>
      <c r="B840" s="24">
        <v>2026</v>
      </c>
      <c r="C840" s="24" t="s">
        <v>5845</v>
      </c>
      <c r="D840" s="24" t="s">
        <v>5846</v>
      </c>
      <c r="E840" s="24" t="s">
        <v>5774</v>
      </c>
      <c r="F840" s="24" t="s">
        <v>5775</v>
      </c>
      <c r="G840" s="24" t="s">
        <v>5780</v>
      </c>
      <c r="H840" s="24" t="s">
        <v>5847</v>
      </c>
      <c r="I840" s="24" t="s">
        <v>3353</v>
      </c>
      <c r="J840" s="24" t="s">
        <v>5777</v>
      </c>
    </row>
    <row r="841" spans="1:10" ht="95" x14ac:dyDescent="0.2">
      <c r="A841" s="24" t="s">
        <v>3117</v>
      </c>
      <c r="B841" s="24">
        <v>2026</v>
      </c>
      <c r="C841" s="24" t="s">
        <v>5848</v>
      </c>
      <c r="D841" s="24" t="s">
        <v>5849</v>
      </c>
      <c r="E841" s="24" t="s">
        <v>5774</v>
      </c>
      <c r="F841" s="24" t="s">
        <v>5775</v>
      </c>
      <c r="G841" s="24" t="s">
        <v>5780</v>
      </c>
      <c r="H841" s="24" t="s">
        <v>5850</v>
      </c>
      <c r="I841" s="24" t="s">
        <v>3353</v>
      </c>
      <c r="J841" s="24" t="s">
        <v>5777</v>
      </c>
    </row>
    <row r="842" spans="1:10" ht="76" x14ac:dyDescent="0.2">
      <c r="A842" s="24" t="s">
        <v>3125</v>
      </c>
      <c r="B842" s="24">
        <v>2025</v>
      </c>
      <c r="C842" s="24" t="s">
        <v>5851</v>
      </c>
      <c r="D842" s="24" t="s">
        <v>5852</v>
      </c>
      <c r="E842" s="24" t="s">
        <v>5774</v>
      </c>
      <c r="F842" s="24" t="s">
        <v>5775</v>
      </c>
      <c r="G842" s="24" t="s">
        <v>5780</v>
      </c>
      <c r="H842" s="24" t="s">
        <v>5853</v>
      </c>
      <c r="I842" s="24" t="s">
        <v>3353</v>
      </c>
      <c r="J842" s="24" t="s">
        <v>5777</v>
      </c>
    </row>
    <row r="843" spans="1:10" ht="76" x14ac:dyDescent="0.2">
      <c r="A843" s="24" t="s">
        <v>3155</v>
      </c>
      <c r="B843" s="24">
        <v>2026</v>
      </c>
      <c r="C843" s="24" t="s">
        <v>5854</v>
      </c>
      <c r="D843" s="24" t="s">
        <v>5855</v>
      </c>
      <c r="E843" s="24" t="s">
        <v>5774</v>
      </c>
      <c r="F843" s="24" t="s">
        <v>5775</v>
      </c>
      <c r="G843" s="24" t="s">
        <v>5780</v>
      </c>
      <c r="H843" s="24" t="s">
        <v>5856</v>
      </c>
      <c r="I843" s="24" t="s">
        <v>3353</v>
      </c>
      <c r="J843" s="24" t="s">
        <v>5777</v>
      </c>
    </row>
    <row r="844" spans="1:10" ht="76" x14ac:dyDescent="0.2">
      <c r="A844" s="24" t="s">
        <v>3171</v>
      </c>
      <c r="B844" s="24">
        <v>2026</v>
      </c>
      <c r="C844" s="24" t="s">
        <v>5857</v>
      </c>
      <c r="D844" s="24" t="s">
        <v>5858</v>
      </c>
      <c r="E844" s="24" t="s">
        <v>5774</v>
      </c>
      <c r="F844" s="24" t="s">
        <v>5775</v>
      </c>
      <c r="G844" s="24" t="s">
        <v>5780</v>
      </c>
      <c r="H844" s="24" t="s">
        <v>5859</v>
      </c>
      <c r="I844" s="24" t="s">
        <v>3361</v>
      </c>
      <c r="J844" s="24" t="s">
        <v>5777</v>
      </c>
    </row>
    <row r="845" spans="1:10" ht="76" x14ac:dyDescent="0.2">
      <c r="A845" s="24" t="s">
        <v>3179</v>
      </c>
      <c r="B845" s="24">
        <v>2026</v>
      </c>
      <c r="C845" s="24" t="s">
        <v>5860</v>
      </c>
      <c r="D845" s="24" t="s">
        <v>5861</v>
      </c>
      <c r="E845" s="24" t="s">
        <v>5774</v>
      </c>
      <c r="F845" s="24" t="s">
        <v>5775</v>
      </c>
      <c r="G845" s="24" t="s">
        <v>5780</v>
      </c>
      <c r="H845" s="24" t="s">
        <v>5862</v>
      </c>
      <c r="I845" s="24" t="s">
        <v>3353</v>
      </c>
      <c r="J845" s="24" t="s">
        <v>5777</v>
      </c>
    </row>
    <row r="846" spans="1:10" ht="76" x14ac:dyDescent="0.2">
      <c r="A846" s="24" t="s">
        <v>3187</v>
      </c>
      <c r="B846" s="24">
        <v>2026</v>
      </c>
      <c r="C846" s="24" t="s">
        <v>5863</v>
      </c>
      <c r="D846" s="24" t="s">
        <v>5864</v>
      </c>
      <c r="E846" s="24" t="s">
        <v>5774</v>
      </c>
      <c r="F846" s="24" t="s">
        <v>5775</v>
      </c>
      <c r="G846" s="24" t="s">
        <v>5780</v>
      </c>
      <c r="H846" s="24" t="s">
        <v>5865</v>
      </c>
      <c r="I846" s="24" t="s">
        <v>3353</v>
      </c>
      <c r="J846" s="24" t="s">
        <v>5777</v>
      </c>
    </row>
    <row r="847" spans="1:10" ht="57" x14ac:dyDescent="0.2">
      <c r="A847" s="24" t="s">
        <v>3256</v>
      </c>
      <c r="B847" s="24">
        <v>2024</v>
      </c>
      <c r="C847" s="24" t="s">
        <v>5866</v>
      </c>
      <c r="D847" s="24" t="s">
        <v>5867</v>
      </c>
      <c r="E847" s="24" t="s">
        <v>5774</v>
      </c>
      <c r="F847" s="24" t="s">
        <v>5775</v>
      </c>
      <c r="G847" s="24" t="s">
        <v>5780</v>
      </c>
      <c r="H847" s="24" t="s">
        <v>5868</v>
      </c>
      <c r="I847" s="24" t="s">
        <v>3353</v>
      </c>
      <c r="J847" s="24" t="s">
        <v>5777</v>
      </c>
    </row>
    <row r="848" spans="1:10" ht="76" x14ac:dyDescent="0.2">
      <c r="A848" s="24" t="s">
        <v>3332</v>
      </c>
      <c r="B848" s="24">
        <v>2026</v>
      </c>
      <c r="C848" s="24" t="s">
        <v>5869</v>
      </c>
      <c r="D848" s="24" t="s">
        <v>5870</v>
      </c>
      <c r="E848" s="24" t="s">
        <v>5774</v>
      </c>
      <c r="F848" s="24" t="s">
        <v>5775</v>
      </c>
      <c r="G848" s="24" t="s">
        <v>5780</v>
      </c>
      <c r="H848" s="24" t="s">
        <v>5871</v>
      </c>
      <c r="I848" s="24" t="s">
        <v>3353</v>
      </c>
      <c r="J848" s="24" t="s">
        <v>5777</v>
      </c>
    </row>
    <row r="849" spans="1:10" ht="76" x14ac:dyDescent="0.2">
      <c r="A849" s="24" t="s">
        <v>2825</v>
      </c>
      <c r="B849" s="24">
        <v>2025</v>
      </c>
      <c r="C849" s="24" t="s">
        <v>5872</v>
      </c>
      <c r="D849" s="24" t="s">
        <v>5873</v>
      </c>
      <c r="E849" s="24" t="s">
        <v>5874</v>
      </c>
      <c r="F849" s="24" t="s">
        <v>5775</v>
      </c>
      <c r="G849" s="24" t="s">
        <v>5780</v>
      </c>
      <c r="H849" s="24" t="s">
        <v>5875</v>
      </c>
      <c r="I849" s="24" t="s">
        <v>3353</v>
      </c>
      <c r="J849" s="24" t="s">
        <v>5777</v>
      </c>
    </row>
    <row r="850" spans="1:10" ht="114" x14ac:dyDescent="0.2">
      <c r="A850" s="24" t="s">
        <v>2833</v>
      </c>
      <c r="B850" s="24">
        <v>2026</v>
      </c>
      <c r="C850" s="24" t="s">
        <v>5876</v>
      </c>
      <c r="D850" s="24" t="s">
        <v>5877</v>
      </c>
      <c r="E850" s="24" t="s">
        <v>5874</v>
      </c>
      <c r="F850" s="24" t="s">
        <v>5775</v>
      </c>
      <c r="G850" s="24" t="s">
        <v>5780</v>
      </c>
      <c r="H850" s="24" t="s">
        <v>5878</v>
      </c>
      <c r="I850" s="24" t="s">
        <v>3353</v>
      </c>
      <c r="J850" s="24" t="s">
        <v>5777</v>
      </c>
    </row>
    <row r="851" spans="1:10" ht="76" x14ac:dyDescent="0.2">
      <c r="A851" s="24" t="s">
        <v>2833</v>
      </c>
      <c r="B851" s="24">
        <v>2026</v>
      </c>
      <c r="C851" s="24" t="s">
        <v>5879</v>
      </c>
      <c r="D851" s="24" t="s">
        <v>5880</v>
      </c>
      <c r="E851" s="24" t="s">
        <v>5874</v>
      </c>
      <c r="F851" s="24" t="s">
        <v>5775</v>
      </c>
      <c r="G851" s="24" t="s">
        <v>5780</v>
      </c>
      <c r="H851" s="24" t="s">
        <v>5881</v>
      </c>
      <c r="I851" s="24" t="s">
        <v>3353</v>
      </c>
      <c r="J851" s="24" t="s">
        <v>5777</v>
      </c>
    </row>
    <row r="852" spans="1:10" ht="76" x14ac:dyDescent="0.2">
      <c r="A852" s="24" t="s">
        <v>2841</v>
      </c>
      <c r="B852" s="24">
        <v>2026</v>
      </c>
      <c r="C852" s="24" t="s">
        <v>5882</v>
      </c>
      <c r="D852" s="24" t="s">
        <v>5883</v>
      </c>
      <c r="E852" s="24" t="s">
        <v>5874</v>
      </c>
      <c r="F852" s="24" t="s">
        <v>5775</v>
      </c>
      <c r="G852" s="24" t="s">
        <v>5776</v>
      </c>
      <c r="H852" s="24" t="s">
        <v>5509</v>
      </c>
      <c r="I852" s="24" t="s">
        <v>3510</v>
      </c>
      <c r="J852" s="24" t="s">
        <v>5777</v>
      </c>
    </row>
    <row r="853" spans="1:10" ht="95" x14ac:dyDescent="0.2">
      <c r="A853" s="24" t="s">
        <v>2849</v>
      </c>
      <c r="B853" s="24">
        <v>2026</v>
      </c>
      <c r="C853" s="24" t="s">
        <v>5884</v>
      </c>
      <c r="D853" s="24" t="s">
        <v>5885</v>
      </c>
      <c r="E853" s="24" t="s">
        <v>5874</v>
      </c>
      <c r="F853" s="24" t="s">
        <v>5775</v>
      </c>
      <c r="G853" s="24" t="s">
        <v>5780</v>
      </c>
      <c r="H853" s="24" t="s">
        <v>4353</v>
      </c>
      <c r="I853" s="24" t="s">
        <v>3353</v>
      </c>
      <c r="J853" s="24" t="s">
        <v>5777</v>
      </c>
    </row>
    <row r="854" spans="1:10" ht="76" x14ac:dyDescent="0.2">
      <c r="A854" s="24" t="s">
        <v>2865</v>
      </c>
      <c r="B854" s="24">
        <v>2025</v>
      </c>
      <c r="C854" s="24" t="s">
        <v>5886</v>
      </c>
      <c r="D854" s="24" t="s">
        <v>5887</v>
      </c>
      <c r="E854" s="24" t="s">
        <v>5874</v>
      </c>
      <c r="F854" s="24" t="s">
        <v>5775</v>
      </c>
      <c r="G854" s="24" t="s">
        <v>5780</v>
      </c>
      <c r="H854" s="24" t="s">
        <v>5888</v>
      </c>
      <c r="I854" s="24" t="s">
        <v>3353</v>
      </c>
      <c r="J854" s="24" t="s">
        <v>5777</v>
      </c>
    </row>
    <row r="855" spans="1:10" ht="76" x14ac:dyDescent="0.2">
      <c r="A855" s="24" t="s">
        <v>2881</v>
      </c>
      <c r="B855" s="24">
        <v>2026</v>
      </c>
      <c r="C855" s="24" t="s">
        <v>5889</v>
      </c>
      <c r="D855" s="24" t="s">
        <v>5890</v>
      </c>
      <c r="E855" s="24" t="s">
        <v>5874</v>
      </c>
      <c r="F855" s="24" t="s">
        <v>5775</v>
      </c>
      <c r="G855" s="24" t="s">
        <v>5780</v>
      </c>
      <c r="H855" s="24" t="s">
        <v>5891</v>
      </c>
      <c r="I855" s="24" t="s">
        <v>3353</v>
      </c>
      <c r="J855" s="24" t="s">
        <v>5777</v>
      </c>
    </row>
    <row r="856" spans="1:10" ht="95" x14ac:dyDescent="0.2">
      <c r="A856" s="24" t="s">
        <v>2889</v>
      </c>
      <c r="B856" s="24">
        <v>2026</v>
      </c>
      <c r="C856" s="24" t="s">
        <v>5892</v>
      </c>
      <c r="D856" s="24" t="s">
        <v>5893</v>
      </c>
      <c r="E856" s="24" t="s">
        <v>5874</v>
      </c>
      <c r="F856" s="24" t="s">
        <v>5775</v>
      </c>
      <c r="G856" s="24" t="s">
        <v>5780</v>
      </c>
      <c r="H856" s="24" t="s">
        <v>5894</v>
      </c>
      <c r="I856" s="24" t="s">
        <v>3353</v>
      </c>
      <c r="J856" s="24" t="s">
        <v>5777</v>
      </c>
    </row>
    <row r="857" spans="1:10" ht="76" x14ac:dyDescent="0.2">
      <c r="A857" s="24" t="s">
        <v>2897</v>
      </c>
      <c r="B857" s="24">
        <v>2026</v>
      </c>
      <c r="C857" s="24" t="s">
        <v>5895</v>
      </c>
      <c r="D857" s="24" t="s">
        <v>5896</v>
      </c>
      <c r="E857" s="24" t="s">
        <v>5874</v>
      </c>
      <c r="F857" s="24" t="s">
        <v>5775</v>
      </c>
      <c r="G857" s="24" t="s">
        <v>5780</v>
      </c>
      <c r="H857" s="24" t="s">
        <v>5897</v>
      </c>
      <c r="I857" s="24" t="s">
        <v>3361</v>
      </c>
      <c r="J857" s="24" t="s">
        <v>5777</v>
      </c>
    </row>
    <row r="858" spans="1:10" ht="95" x14ac:dyDescent="0.2">
      <c r="A858" s="24" t="s">
        <v>2904</v>
      </c>
      <c r="B858" s="24">
        <v>2026</v>
      </c>
      <c r="C858" s="24" t="s">
        <v>5898</v>
      </c>
      <c r="D858" s="24" t="s">
        <v>5899</v>
      </c>
      <c r="E858" s="24" t="s">
        <v>5874</v>
      </c>
      <c r="F858" s="24" t="s">
        <v>5775</v>
      </c>
      <c r="G858" s="24" t="s">
        <v>5780</v>
      </c>
      <c r="H858" s="24" t="s">
        <v>5900</v>
      </c>
      <c r="I858" s="24" t="s">
        <v>3353</v>
      </c>
      <c r="J858" s="24" t="s">
        <v>5777</v>
      </c>
    </row>
    <row r="859" spans="1:10" ht="114" x14ac:dyDescent="0.2">
      <c r="A859" s="24" t="s">
        <v>2912</v>
      </c>
      <c r="B859" s="24">
        <v>2026</v>
      </c>
      <c r="C859" s="24" t="s">
        <v>5901</v>
      </c>
      <c r="D859" s="24" t="s">
        <v>5902</v>
      </c>
      <c r="E859" s="24" t="s">
        <v>5874</v>
      </c>
      <c r="F859" s="24" t="s">
        <v>5775</v>
      </c>
      <c r="G859" s="24" t="s">
        <v>5780</v>
      </c>
      <c r="H859" s="24" t="s">
        <v>5903</v>
      </c>
      <c r="I859" s="24" t="s">
        <v>3353</v>
      </c>
      <c r="J859" s="24" t="s">
        <v>5777</v>
      </c>
    </row>
    <row r="860" spans="1:10" ht="95" x14ac:dyDescent="0.2">
      <c r="A860" s="24" t="s">
        <v>2920</v>
      </c>
      <c r="B860" s="24">
        <v>2026</v>
      </c>
      <c r="C860" s="24" t="s">
        <v>5904</v>
      </c>
      <c r="D860" s="24" t="s">
        <v>5905</v>
      </c>
      <c r="E860" s="24" t="s">
        <v>5874</v>
      </c>
      <c r="F860" s="24" t="s">
        <v>5775</v>
      </c>
      <c r="G860" s="24" t="s">
        <v>5780</v>
      </c>
      <c r="H860" s="24" t="s">
        <v>5906</v>
      </c>
      <c r="I860" s="24" t="s">
        <v>3361</v>
      </c>
      <c r="J860" s="24" t="s">
        <v>5777</v>
      </c>
    </row>
    <row r="861" spans="1:10" ht="114" x14ac:dyDescent="0.2">
      <c r="A861" s="24" t="s">
        <v>2928</v>
      </c>
      <c r="B861" s="24">
        <v>2025</v>
      </c>
      <c r="C861" s="24" t="s">
        <v>5907</v>
      </c>
      <c r="D861" s="24" t="s">
        <v>5908</v>
      </c>
      <c r="E861" s="24" t="s">
        <v>5874</v>
      </c>
      <c r="F861" s="24" t="s">
        <v>5775</v>
      </c>
      <c r="G861" s="24" t="s">
        <v>5780</v>
      </c>
      <c r="H861" s="24" t="s">
        <v>5909</v>
      </c>
      <c r="I861" s="24" t="s">
        <v>3353</v>
      </c>
      <c r="J861" s="24" t="s">
        <v>5777</v>
      </c>
    </row>
    <row r="862" spans="1:10" ht="114" x14ac:dyDescent="0.2">
      <c r="A862" s="24" t="s">
        <v>2936</v>
      </c>
      <c r="B862" s="24">
        <v>2025</v>
      </c>
      <c r="C862" s="24" t="s">
        <v>5910</v>
      </c>
      <c r="D862" s="24" t="s">
        <v>5911</v>
      </c>
      <c r="E862" s="24" t="s">
        <v>5874</v>
      </c>
      <c r="F862" s="24" t="s">
        <v>5775</v>
      </c>
      <c r="G862" s="24" t="s">
        <v>5780</v>
      </c>
      <c r="H862" s="24" t="s">
        <v>5912</v>
      </c>
      <c r="I862" s="24" t="s">
        <v>3353</v>
      </c>
      <c r="J862" s="24" t="s">
        <v>5777</v>
      </c>
    </row>
    <row r="863" spans="1:10" ht="95" x14ac:dyDescent="0.2">
      <c r="A863" s="24" t="s">
        <v>2944</v>
      </c>
      <c r="B863" s="24">
        <v>2026</v>
      </c>
      <c r="C863" s="24" t="s">
        <v>5913</v>
      </c>
      <c r="D863" s="24" t="s">
        <v>5914</v>
      </c>
      <c r="E863" s="24" t="s">
        <v>5874</v>
      </c>
      <c r="F863" s="24" t="s">
        <v>5775</v>
      </c>
      <c r="G863" s="24" t="s">
        <v>5780</v>
      </c>
      <c r="H863" s="24" t="s">
        <v>5915</v>
      </c>
      <c r="I863" s="24" t="s">
        <v>3361</v>
      </c>
      <c r="J863" s="24" t="s">
        <v>5777</v>
      </c>
    </row>
    <row r="864" spans="1:10" ht="76" x14ac:dyDescent="0.2">
      <c r="A864" s="24" t="s">
        <v>2952</v>
      </c>
      <c r="B864" s="24">
        <v>2026</v>
      </c>
      <c r="C864" s="24" t="s">
        <v>5916</v>
      </c>
      <c r="D864" s="24" t="s">
        <v>5883</v>
      </c>
      <c r="E864" s="24" t="s">
        <v>5874</v>
      </c>
      <c r="F864" s="24" t="s">
        <v>5775</v>
      </c>
      <c r="G864" s="24" t="s">
        <v>5776</v>
      </c>
      <c r="H864" s="24" t="s">
        <v>5917</v>
      </c>
      <c r="I864" s="24" t="s">
        <v>3510</v>
      </c>
      <c r="J864" s="24" t="s">
        <v>5777</v>
      </c>
    </row>
    <row r="865" spans="1:10" ht="57" x14ac:dyDescent="0.2">
      <c r="A865" s="24" t="s">
        <v>2959</v>
      </c>
      <c r="B865" s="24">
        <v>2025</v>
      </c>
      <c r="C865" s="24" t="s">
        <v>5918</v>
      </c>
      <c r="D865" s="24" t="s">
        <v>5919</v>
      </c>
      <c r="E865" s="24" t="s">
        <v>5874</v>
      </c>
      <c r="F865" s="24" t="s">
        <v>5775</v>
      </c>
      <c r="G865" s="24" t="s">
        <v>5776</v>
      </c>
      <c r="H865" s="24" t="s">
        <v>5920</v>
      </c>
      <c r="I865" s="24" t="s">
        <v>3510</v>
      </c>
      <c r="J865" s="24" t="s">
        <v>5777</v>
      </c>
    </row>
    <row r="866" spans="1:10" ht="57" x14ac:dyDescent="0.2">
      <c r="A866" s="24" t="s">
        <v>2967</v>
      </c>
      <c r="B866" s="24">
        <v>2025</v>
      </c>
      <c r="C866" s="24" t="s">
        <v>5921</v>
      </c>
      <c r="D866" s="24" t="s">
        <v>5922</v>
      </c>
      <c r="E866" s="24" t="s">
        <v>5874</v>
      </c>
      <c r="F866" s="24" t="s">
        <v>5775</v>
      </c>
      <c r="G866" s="24" t="s">
        <v>5776</v>
      </c>
      <c r="H866" s="24" t="s">
        <v>5923</v>
      </c>
      <c r="I866" s="24" t="s">
        <v>3361</v>
      </c>
      <c r="J866" s="24" t="s">
        <v>5777</v>
      </c>
    </row>
    <row r="867" spans="1:10" ht="95" x14ac:dyDescent="0.2">
      <c r="A867" s="24" t="s">
        <v>2975</v>
      </c>
      <c r="B867" s="24">
        <v>2025</v>
      </c>
      <c r="C867" s="24" t="s">
        <v>5924</v>
      </c>
      <c r="D867" s="24" t="s">
        <v>5925</v>
      </c>
      <c r="E867" s="24" t="s">
        <v>5874</v>
      </c>
      <c r="F867" s="24" t="s">
        <v>5775</v>
      </c>
      <c r="G867" s="24" t="s">
        <v>5780</v>
      </c>
      <c r="H867" s="24" t="s">
        <v>5926</v>
      </c>
      <c r="I867" s="24" t="s">
        <v>3353</v>
      </c>
      <c r="J867" s="24" t="s">
        <v>5777</v>
      </c>
    </row>
    <row r="868" spans="1:10" ht="76" x14ac:dyDescent="0.2">
      <c r="A868" s="24" t="s">
        <v>2983</v>
      </c>
      <c r="B868" s="24">
        <v>2026</v>
      </c>
      <c r="C868" s="24" t="s">
        <v>5927</v>
      </c>
      <c r="D868" s="24" t="s">
        <v>5928</v>
      </c>
      <c r="E868" s="24" t="s">
        <v>5874</v>
      </c>
      <c r="F868" s="24" t="s">
        <v>5775</v>
      </c>
      <c r="G868" s="24" t="s">
        <v>5780</v>
      </c>
      <c r="H868" s="24" t="s">
        <v>5929</v>
      </c>
      <c r="I868" s="24" t="s">
        <v>3353</v>
      </c>
      <c r="J868" s="24" t="s">
        <v>5777</v>
      </c>
    </row>
    <row r="869" spans="1:10" ht="76" x14ac:dyDescent="0.2">
      <c r="A869" s="24" t="s">
        <v>2996</v>
      </c>
      <c r="B869" s="24">
        <v>2026</v>
      </c>
      <c r="C869" s="24" t="s">
        <v>5930</v>
      </c>
      <c r="D869" s="24" t="s">
        <v>5931</v>
      </c>
      <c r="E869" s="24" t="s">
        <v>5874</v>
      </c>
      <c r="F869" s="24" t="s">
        <v>5775</v>
      </c>
      <c r="G869" s="24" t="s">
        <v>5780</v>
      </c>
      <c r="H869" s="24" t="s">
        <v>5932</v>
      </c>
      <c r="I869" s="24" t="s">
        <v>3361</v>
      </c>
      <c r="J869" s="24" t="s">
        <v>5777</v>
      </c>
    </row>
    <row r="870" spans="1:10" ht="76" x14ac:dyDescent="0.2">
      <c r="A870" s="24" t="s">
        <v>3004</v>
      </c>
      <c r="B870" s="24">
        <v>2024</v>
      </c>
      <c r="C870" s="24" t="s">
        <v>5933</v>
      </c>
      <c r="D870" s="24" t="s">
        <v>5934</v>
      </c>
      <c r="E870" s="24" t="s">
        <v>5874</v>
      </c>
      <c r="F870" s="24" t="s">
        <v>5775</v>
      </c>
      <c r="G870" s="24" t="s">
        <v>5780</v>
      </c>
      <c r="H870" s="24" t="s">
        <v>5935</v>
      </c>
      <c r="I870" s="24" t="s">
        <v>3361</v>
      </c>
      <c r="J870" s="24" t="s">
        <v>5777</v>
      </c>
    </row>
    <row r="871" spans="1:10" ht="95" x14ac:dyDescent="0.2">
      <c r="A871" s="24" t="s">
        <v>3035</v>
      </c>
      <c r="B871" s="24">
        <v>2024</v>
      </c>
      <c r="C871" s="24" t="s">
        <v>5936</v>
      </c>
      <c r="D871" s="24" t="s">
        <v>5937</v>
      </c>
      <c r="E871" s="24" t="s">
        <v>5874</v>
      </c>
      <c r="F871" s="24" t="s">
        <v>5775</v>
      </c>
      <c r="G871" s="24" t="s">
        <v>5780</v>
      </c>
      <c r="H871" s="24" t="s">
        <v>5938</v>
      </c>
      <c r="I871" s="24" t="s">
        <v>3353</v>
      </c>
      <c r="J871" s="24" t="s">
        <v>5777</v>
      </c>
    </row>
    <row r="872" spans="1:10" ht="76" x14ac:dyDescent="0.2">
      <c r="A872" s="24" t="s">
        <v>3051</v>
      </c>
      <c r="B872" s="24">
        <v>2025</v>
      </c>
      <c r="C872" s="24" t="s">
        <v>5939</v>
      </c>
      <c r="D872" s="24" t="s">
        <v>5940</v>
      </c>
      <c r="E872" s="24" t="s">
        <v>5874</v>
      </c>
      <c r="F872" s="24" t="s">
        <v>5775</v>
      </c>
      <c r="G872" s="24" t="s">
        <v>5780</v>
      </c>
      <c r="H872" s="24" t="s">
        <v>5941</v>
      </c>
      <c r="I872" s="24" t="s">
        <v>3361</v>
      </c>
      <c r="J872" s="24" t="s">
        <v>5777</v>
      </c>
    </row>
    <row r="873" spans="1:10" ht="76" x14ac:dyDescent="0.2">
      <c r="A873" s="24" t="s">
        <v>3058</v>
      </c>
      <c r="B873" s="24">
        <v>2025</v>
      </c>
      <c r="C873" s="24" t="s">
        <v>5942</v>
      </c>
      <c r="D873" s="24" t="s">
        <v>5943</v>
      </c>
      <c r="E873" s="24" t="s">
        <v>5874</v>
      </c>
      <c r="F873" s="24" t="s">
        <v>5775</v>
      </c>
      <c r="G873" s="24" t="s">
        <v>5780</v>
      </c>
      <c r="H873" s="24" t="s">
        <v>5944</v>
      </c>
      <c r="I873" s="24" t="s">
        <v>3353</v>
      </c>
      <c r="J873" s="24" t="s">
        <v>5777</v>
      </c>
    </row>
    <row r="874" spans="1:10" ht="114" x14ac:dyDescent="0.2">
      <c r="A874" s="24" t="s">
        <v>3072</v>
      </c>
      <c r="B874" s="24">
        <v>2026</v>
      </c>
      <c r="C874" s="24" t="s">
        <v>5945</v>
      </c>
      <c r="D874" s="24" t="s">
        <v>5946</v>
      </c>
      <c r="E874" s="24" t="s">
        <v>5874</v>
      </c>
      <c r="F874" s="24" t="s">
        <v>5775</v>
      </c>
      <c r="G874" s="24" t="s">
        <v>5780</v>
      </c>
      <c r="H874" s="24" t="s">
        <v>5947</v>
      </c>
      <c r="I874" s="24" t="s">
        <v>3353</v>
      </c>
      <c r="J874" s="24" t="s">
        <v>5777</v>
      </c>
    </row>
    <row r="875" spans="1:10" ht="76" x14ac:dyDescent="0.2">
      <c r="A875" s="24" t="s">
        <v>3102</v>
      </c>
      <c r="B875" s="24">
        <v>2026</v>
      </c>
      <c r="C875" s="24" t="s">
        <v>5948</v>
      </c>
      <c r="D875" s="24" t="s">
        <v>5949</v>
      </c>
      <c r="E875" s="24" t="s">
        <v>5874</v>
      </c>
      <c r="F875" s="24" t="s">
        <v>5775</v>
      </c>
      <c r="G875" s="24" t="s">
        <v>5776</v>
      </c>
      <c r="H875" s="24" t="s">
        <v>5950</v>
      </c>
      <c r="I875" s="24" t="s">
        <v>3361</v>
      </c>
      <c r="J875" s="24" t="s">
        <v>5777</v>
      </c>
    </row>
    <row r="876" spans="1:10" ht="95" x14ac:dyDescent="0.2">
      <c r="A876" s="24" t="s">
        <v>3109</v>
      </c>
      <c r="B876" s="24">
        <v>2026</v>
      </c>
      <c r="C876" s="24" t="s">
        <v>5951</v>
      </c>
      <c r="D876" s="24" t="s">
        <v>5952</v>
      </c>
      <c r="E876" s="24" t="s">
        <v>5874</v>
      </c>
      <c r="F876" s="24" t="s">
        <v>5775</v>
      </c>
      <c r="G876" s="24" t="s">
        <v>5780</v>
      </c>
      <c r="H876" s="24" t="s">
        <v>5953</v>
      </c>
      <c r="I876" s="24" t="s">
        <v>3353</v>
      </c>
      <c r="J876" s="24" t="s">
        <v>5777</v>
      </c>
    </row>
    <row r="877" spans="1:10" ht="57" x14ac:dyDescent="0.2">
      <c r="A877" s="24" t="s">
        <v>3117</v>
      </c>
      <c r="B877" s="24">
        <v>2026</v>
      </c>
      <c r="C877" s="24" t="s">
        <v>5954</v>
      </c>
      <c r="D877" s="24" t="s">
        <v>5955</v>
      </c>
      <c r="E877" s="24" t="s">
        <v>5874</v>
      </c>
      <c r="F877" s="24" t="s">
        <v>5775</v>
      </c>
      <c r="G877" s="24" t="s">
        <v>5780</v>
      </c>
      <c r="H877" s="24" t="s">
        <v>5956</v>
      </c>
      <c r="I877" s="24" t="s">
        <v>3353</v>
      </c>
      <c r="J877" s="24" t="s">
        <v>5777</v>
      </c>
    </row>
    <row r="878" spans="1:10" ht="114" x14ac:dyDescent="0.2">
      <c r="A878" s="24" t="s">
        <v>3125</v>
      </c>
      <c r="B878" s="24">
        <v>2025</v>
      </c>
      <c r="C878" s="24" t="s">
        <v>5957</v>
      </c>
      <c r="D878" s="24" t="s">
        <v>5958</v>
      </c>
      <c r="E878" s="24" t="s">
        <v>5874</v>
      </c>
      <c r="F878" s="24" t="s">
        <v>5775</v>
      </c>
      <c r="G878" s="24" t="s">
        <v>5780</v>
      </c>
      <c r="H878" s="24" t="s">
        <v>5959</v>
      </c>
      <c r="I878" s="24" t="s">
        <v>3353</v>
      </c>
      <c r="J878" s="24" t="s">
        <v>5777</v>
      </c>
    </row>
    <row r="879" spans="1:10" ht="95" x14ac:dyDescent="0.2">
      <c r="A879" s="24" t="s">
        <v>3140</v>
      </c>
      <c r="B879" s="24">
        <v>2026</v>
      </c>
      <c r="C879" s="24" t="s">
        <v>5960</v>
      </c>
      <c r="D879" s="24" t="s">
        <v>5961</v>
      </c>
      <c r="E879" s="24" t="s">
        <v>5874</v>
      </c>
      <c r="F879" s="24" t="s">
        <v>5775</v>
      </c>
      <c r="G879" s="24" t="s">
        <v>5780</v>
      </c>
      <c r="H879" s="24" t="s">
        <v>5962</v>
      </c>
      <c r="I879" s="24" t="s">
        <v>3353</v>
      </c>
      <c r="J879" s="24" t="s">
        <v>5777</v>
      </c>
    </row>
    <row r="880" spans="1:10" ht="95" x14ac:dyDescent="0.2">
      <c r="A880" s="24" t="s">
        <v>3163</v>
      </c>
      <c r="B880" s="24">
        <v>2025</v>
      </c>
      <c r="C880" s="24" t="s">
        <v>5963</v>
      </c>
      <c r="D880" s="24" t="s">
        <v>5964</v>
      </c>
      <c r="E880" s="24" t="s">
        <v>5874</v>
      </c>
      <c r="F880" s="24" t="s">
        <v>5775</v>
      </c>
      <c r="G880" s="24" t="s">
        <v>5780</v>
      </c>
      <c r="H880" s="24" t="s">
        <v>5965</v>
      </c>
      <c r="I880" s="24" t="s">
        <v>3353</v>
      </c>
      <c r="J880" s="24" t="s">
        <v>5777</v>
      </c>
    </row>
    <row r="881" spans="1:10" ht="76" x14ac:dyDescent="0.2">
      <c r="A881" s="24" t="s">
        <v>3171</v>
      </c>
      <c r="B881" s="24">
        <v>2026</v>
      </c>
      <c r="C881" s="24" t="s">
        <v>5966</v>
      </c>
      <c r="D881" s="24" t="s">
        <v>5967</v>
      </c>
      <c r="E881" s="24" t="s">
        <v>5874</v>
      </c>
      <c r="F881" s="24" t="s">
        <v>5775</v>
      </c>
      <c r="G881" s="24" t="s">
        <v>5780</v>
      </c>
      <c r="H881" s="24" t="s">
        <v>4925</v>
      </c>
      <c r="I881" s="24" t="s">
        <v>3353</v>
      </c>
      <c r="J881" s="24" t="s">
        <v>5777</v>
      </c>
    </row>
    <row r="882" spans="1:10" ht="95" x14ac:dyDescent="0.2">
      <c r="A882" s="24" t="s">
        <v>3187</v>
      </c>
      <c r="B882" s="24">
        <v>2026</v>
      </c>
      <c r="C882" s="24" t="s">
        <v>5968</v>
      </c>
      <c r="D882" s="24" t="s">
        <v>5969</v>
      </c>
      <c r="E882" s="24" t="s">
        <v>5874</v>
      </c>
      <c r="F882" s="24" t="s">
        <v>5775</v>
      </c>
      <c r="G882" s="24" t="s">
        <v>5780</v>
      </c>
      <c r="H882" s="24" t="s">
        <v>5970</v>
      </c>
      <c r="I882" s="24" t="s">
        <v>3353</v>
      </c>
      <c r="J882" s="24" t="s">
        <v>5777</v>
      </c>
    </row>
    <row r="883" spans="1:10" ht="114" x14ac:dyDescent="0.2">
      <c r="A883" s="24" t="s">
        <v>3223</v>
      </c>
      <c r="B883" s="24">
        <v>2026</v>
      </c>
      <c r="C883" s="24" t="s">
        <v>5971</v>
      </c>
      <c r="D883" s="24" t="s">
        <v>5972</v>
      </c>
      <c r="E883" s="24" t="s">
        <v>5874</v>
      </c>
      <c r="F883" s="24" t="s">
        <v>5775</v>
      </c>
      <c r="G883" s="24" t="s">
        <v>5780</v>
      </c>
      <c r="H883" s="24" t="s">
        <v>5973</v>
      </c>
      <c r="I883" s="24" t="s">
        <v>3353</v>
      </c>
      <c r="J883" s="24" t="s">
        <v>5777</v>
      </c>
    </row>
    <row r="884" spans="1:10" ht="95" x14ac:dyDescent="0.2">
      <c r="A884" s="24" t="s">
        <v>3236</v>
      </c>
      <c r="B884" s="24">
        <v>2025</v>
      </c>
      <c r="C884" s="24" t="s">
        <v>5974</v>
      </c>
      <c r="D884" s="24" t="s">
        <v>5975</v>
      </c>
      <c r="E884" s="24" t="s">
        <v>5874</v>
      </c>
      <c r="F884" s="24" t="s">
        <v>5775</v>
      </c>
      <c r="G884" s="24" t="s">
        <v>5780</v>
      </c>
      <c r="H884" s="24" t="s">
        <v>5976</v>
      </c>
      <c r="I884" s="24" t="s">
        <v>3353</v>
      </c>
      <c r="J884" s="24" t="s">
        <v>5777</v>
      </c>
    </row>
    <row r="885" spans="1:10" ht="95" x14ac:dyDescent="0.2">
      <c r="A885" s="24" t="s">
        <v>3243</v>
      </c>
      <c r="B885" s="24">
        <v>2026</v>
      </c>
      <c r="C885" s="24" t="s">
        <v>5977</v>
      </c>
      <c r="D885" s="24" t="s">
        <v>5978</v>
      </c>
      <c r="E885" s="24" t="s">
        <v>5874</v>
      </c>
      <c r="F885" s="24" t="s">
        <v>5775</v>
      </c>
      <c r="G885" s="24" t="s">
        <v>5780</v>
      </c>
      <c r="H885" s="24" t="s">
        <v>5979</v>
      </c>
      <c r="I885" s="24" t="s">
        <v>3353</v>
      </c>
      <c r="J885" s="24" t="s">
        <v>5777</v>
      </c>
    </row>
    <row r="886" spans="1:10" ht="76" x14ac:dyDescent="0.2">
      <c r="A886" s="24" t="s">
        <v>3264</v>
      </c>
      <c r="B886" s="24">
        <v>2024</v>
      </c>
      <c r="C886" s="24" t="s">
        <v>5980</v>
      </c>
      <c r="D886" s="24" t="s">
        <v>5981</v>
      </c>
      <c r="E886" s="24" t="s">
        <v>5874</v>
      </c>
      <c r="F886" s="24" t="s">
        <v>5775</v>
      </c>
      <c r="G886" s="24" t="s">
        <v>5780</v>
      </c>
      <c r="H886" s="24" t="s">
        <v>5982</v>
      </c>
      <c r="I886" s="24" t="s">
        <v>3353</v>
      </c>
      <c r="J886" s="24" t="s">
        <v>5777</v>
      </c>
    </row>
    <row r="887" spans="1:10" ht="95" x14ac:dyDescent="0.2">
      <c r="A887" s="24" t="s">
        <v>3272</v>
      </c>
      <c r="B887" s="24">
        <v>2024</v>
      </c>
      <c r="C887" s="24" t="s">
        <v>5983</v>
      </c>
      <c r="D887" s="24" t="s">
        <v>5984</v>
      </c>
      <c r="E887" s="24" t="s">
        <v>5874</v>
      </c>
      <c r="F887" s="24" t="s">
        <v>5775</v>
      </c>
      <c r="G887" s="24" t="s">
        <v>5780</v>
      </c>
      <c r="H887" s="24" t="s">
        <v>5985</v>
      </c>
      <c r="I887" s="24" t="s">
        <v>3353</v>
      </c>
      <c r="J887" s="24" t="s">
        <v>5777</v>
      </c>
    </row>
    <row r="888" spans="1:10" ht="76" x14ac:dyDescent="0.2">
      <c r="A888" s="24" t="s">
        <v>3278</v>
      </c>
      <c r="B888" s="24">
        <v>2025</v>
      </c>
      <c r="C888" s="24" t="s">
        <v>5986</v>
      </c>
      <c r="D888" s="24" t="s">
        <v>5987</v>
      </c>
      <c r="E888" s="24" t="s">
        <v>5874</v>
      </c>
      <c r="F888" s="24" t="s">
        <v>5775</v>
      </c>
      <c r="G888" s="24" t="s">
        <v>5780</v>
      </c>
      <c r="H888" s="24" t="s">
        <v>5988</v>
      </c>
      <c r="I888" s="24" t="s">
        <v>3353</v>
      </c>
      <c r="J888" s="24" t="s">
        <v>5777</v>
      </c>
    </row>
    <row r="889" spans="1:10" ht="76" x14ac:dyDescent="0.2">
      <c r="A889" s="24" t="s">
        <v>3286</v>
      </c>
      <c r="B889" s="24">
        <v>2025</v>
      </c>
      <c r="C889" s="24" t="s">
        <v>5989</v>
      </c>
      <c r="D889" s="24" t="s">
        <v>5990</v>
      </c>
      <c r="E889" s="24" t="s">
        <v>5874</v>
      </c>
      <c r="F889" s="24" t="s">
        <v>5775</v>
      </c>
      <c r="G889" s="24" t="s">
        <v>5780</v>
      </c>
      <c r="H889" s="24" t="s">
        <v>5991</v>
      </c>
      <c r="I889" s="24" t="s">
        <v>3353</v>
      </c>
      <c r="J889" s="24" t="s">
        <v>5777</v>
      </c>
    </row>
    <row r="890" spans="1:10" ht="76" x14ac:dyDescent="0.2">
      <c r="A890" s="24" t="s">
        <v>3298</v>
      </c>
      <c r="B890" s="24">
        <v>2024</v>
      </c>
      <c r="C890" s="24" t="s">
        <v>5992</v>
      </c>
      <c r="D890" s="24" t="s">
        <v>5993</v>
      </c>
      <c r="E890" s="24" t="s">
        <v>5874</v>
      </c>
      <c r="F890" s="24" t="s">
        <v>5775</v>
      </c>
      <c r="G890" s="24" t="s">
        <v>5780</v>
      </c>
      <c r="H890" s="24" t="s">
        <v>5994</v>
      </c>
      <c r="I890" s="24" t="s">
        <v>3353</v>
      </c>
      <c r="J890" s="24" t="s">
        <v>5777</v>
      </c>
    </row>
    <row r="891" spans="1:10" ht="95" x14ac:dyDescent="0.2">
      <c r="A891" s="24" t="s">
        <v>3313</v>
      </c>
      <c r="B891" s="24">
        <v>2026</v>
      </c>
      <c r="C891" s="24" t="s">
        <v>5995</v>
      </c>
      <c r="D891" s="24" t="s">
        <v>5996</v>
      </c>
      <c r="E891" s="24" t="s">
        <v>5874</v>
      </c>
      <c r="F891" s="24" t="s">
        <v>5775</v>
      </c>
      <c r="G891" s="24" t="s">
        <v>5780</v>
      </c>
      <c r="H891" s="24" t="s">
        <v>5997</v>
      </c>
      <c r="I891" s="24" t="s">
        <v>3353</v>
      </c>
      <c r="J891" s="24" t="s">
        <v>5777</v>
      </c>
    </row>
    <row r="892" spans="1:10" ht="76" x14ac:dyDescent="0.2">
      <c r="A892" s="24" t="s">
        <v>2825</v>
      </c>
      <c r="B892" s="24">
        <v>2025</v>
      </c>
      <c r="C892" s="24" t="s">
        <v>5998</v>
      </c>
      <c r="D892" s="24" t="s">
        <v>5999</v>
      </c>
      <c r="E892" s="24" t="s">
        <v>6000</v>
      </c>
      <c r="F892" s="24" t="s">
        <v>5775</v>
      </c>
      <c r="G892" s="24" t="s">
        <v>5780</v>
      </c>
      <c r="H892" s="24" t="s">
        <v>6001</v>
      </c>
      <c r="I892" s="24" t="s">
        <v>3353</v>
      </c>
      <c r="J892" s="24" t="s">
        <v>5777</v>
      </c>
    </row>
    <row r="893" spans="1:10" ht="76" x14ac:dyDescent="0.2">
      <c r="A893" s="24" t="s">
        <v>2833</v>
      </c>
      <c r="B893" s="24">
        <v>2026</v>
      </c>
      <c r="C893" s="24" t="s">
        <v>6002</v>
      </c>
      <c r="D893" s="24" t="s">
        <v>6003</v>
      </c>
      <c r="E893" s="24" t="s">
        <v>6000</v>
      </c>
      <c r="F893" s="24" t="s">
        <v>5775</v>
      </c>
      <c r="G893" s="24" t="s">
        <v>5780</v>
      </c>
      <c r="H893" s="24" t="s">
        <v>6004</v>
      </c>
      <c r="I893" s="24" t="s">
        <v>3353</v>
      </c>
      <c r="J893" s="24" t="s">
        <v>5777</v>
      </c>
    </row>
    <row r="894" spans="1:10" ht="76" x14ac:dyDescent="0.2">
      <c r="A894" s="24" t="s">
        <v>2833</v>
      </c>
      <c r="B894" s="24">
        <v>2026</v>
      </c>
      <c r="C894" s="24" t="s">
        <v>6005</v>
      </c>
      <c r="D894" s="24" t="s">
        <v>6006</v>
      </c>
      <c r="E894" s="24" t="s">
        <v>6000</v>
      </c>
      <c r="F894" s="24" t="s">
        <v>5775</v>
      </c>
      <c r="G894" s="24" t="s">
        <v>5780</v>
      </c>
      <c r="H894" s="24" t="s">
        <v>6007</v>
      </c>
      <c r="I894" s="24" t="s">
        <v>3353</v>
      </c>
      <c r="J894" s="24" t="s">
        <v>5777</v>
      </c>
    </row>
    <row r="895" spans="1:10" ht="76" x14ac:dyDescent="0.2">
      <c r="A895" s="24" t="s">
        <v>2841</v>
      </c>
      <c r="B895" s="24">
        <v>2026</v>
      </c>
      <c r="C895" s="24" t="s">
        <v>6008</v>
      </c>
      <c r="D895" s="24" t="s">
        <v>6009</v>
      </c>
      <c r="E895" s="24" t="s">
        <v>6000</v>
      </c>
      <c r="F895" s="24" t="s">
        <v>5775</v>
      </c>
      <c r="G895" s="24" t="s">
        <v>5780</v>
      </c>
      <c r="H895" s="24" t="s">
        <v>6010</v>
      </c>
      <c r="I895" s="24" t="s">
        <v>3353</v>
      </c>
      <c r="J895" s="24" t="s">
        <v>5777</v>
      </c>
    </row>
    <row r="896" spans="1:10" ht="57" x14ac:dyDescent="0.2">
      <c r="A896" s="24" t="s">
        <v>2849</v>
      </c>
      <c r="B896" s="24">
        <v>2026</v>
      </c>
      <c r="C896" s="24" t="s">
        <v>6011</v>
      </c>
      <c r="D896" s="24" t="s">
        <v>6012</v>
      </c>
      <c r="E896" s="24" t="s">
        <v>6000</v>
      </c>
      <c r="F896" s="24" t="s">
        <v>5775</v>
      </c>
      <c r="G896" s="24" t="s">
        <v>5780</v>
      </c>
      <c r="H896" s="24" t="s">
        <v>4157</v>
      </c>
      <c r="I896" s="24" t="s">
        <v>3353</v>
      </c>
      <c r="J896" s="24" t="s">
        <v>5777</v>
      </c>
    </row>
    <row r="897" spans="1:10" ht="57" x14ac:dyDescent="0.2">
      <c r="A897" s="24" t="s">
        <v>2857</v>
      </c>
      <c r="B897" s="24">
        <v>2026</v>
      </c>
      <c r="C897" s="24" t="s">
        <v>6013</v>
      </c>
      <c r="D897" s="24" t="s">
        <v>6014</v>
      </c>
      <c r="E897" s="24" t="s">
        <v>6000</v>
      </c>
      <c r="F897" s="24" t="s">
        <v>5775</v>
      </c>
      <c r="G897" s="24" t="s">
        <v>5780</v>
      </c>
      <c r="H897" s="24" t="s">
        <v>3961</v>
      </c>
      <c r="I897" s="24" t="s">
        <v>3353</v>
      </c>
      <c r="J897" s="24" t="s">
        <v>5777</v>
      </c>
    </row>
    <row r="898" spans="1:10" ht="76" x14ac:dyDescent="0.2">
      <c r="A898" s="24" t="s">
        <v>2865</v>
      </c>
      <c r="B898" s="24">
        <v>2025</v>
      </c>
      <c r="C898" s="24" t="s">
        <v>6015</v>
      </c>
      <c r="D898" s="24" t="s">
        <v>6016</v>
      </c>
      <c r="E898" s="24" t="s">
        <v>6000</v>
      </c>
      <c r="F898" s="24" t="s">
        <v>5775</v>
      </c>
      <c r="G898" s="24" t="s">
        <v>5780</v>
      </c>
      <c r="H898" s="24" t="s">
        <v>6017</v>
      </c>
      <c r="I898" s="24" t="s">
        <v>3353</v>
      </c>
      <c r="J898" s="24" t="s">
        <v>5777</v>
      </c>
    </row>
    <row r="899" spans="1:10" ht="76" x14ac:dyDescent="0.2">
      <c r="A899" s="24" t="s">
        <v>2873</v>
      </c>
      <c r="B899" s="24">
        <v>2025</v>
      </c>
      <c r="C899" s="24" t="s">
        <v>6018</v>
      </c>
      <c r="D899" s="24" t="s">
        <v>6019</v>
      </c>
      <c r="E899" s="24" t="s">
        <v>6000</v>
      </c>
      <c r="F899" s="24" t="s">
        <v>5775</v>
      </c>
      <c r="G899" s="24" t="s">
        <v>5780</v>
      </c>
      <c r="H899" s="24" t="s">
        <v>6020</v>
      </c>
      <c r="I899" s="24" t="s">
        <v>3353</v>
      </c>
      <c r="J899" s="24" t="s">
        <v>5777</v>
      </c>
    </row>
    <row r="900" spans="1:10" ht="133" x14ac:dyDescent="0.2">
      <c r="A900" s="24" t="s">
        <v>2881</v>
      </c>
      <c r="B900" s="24">
        <v>2026</v>
      </c>
      <c r="C900" s="24" t="s">
        <v>6021</v>
      </c>
      <c r="D900" s="24" t="s">
        <v>6022</v>
      </c>
      <c r="E900" s="24" t="s">
        <v>6000</v>
      </c>
      <c r="F900" s="24" t="s">
        <v>5775</v>
      </c>
      <c r="G900" s="24" t="s">
        <v>5780</v>
      </c>
      <c r="H900" s="24" t="s">
        <v>6023</v>
      </c>
      <c r="I900" s="24" t="s">
        <v>3353</v>
      </c>
      <c r="J900" s="24" t="s">
        <v>5777</v>
      </c>
    </row>
    <row r="901" spans="1:10" ht="114" x14ac:dyDescent="0.2">
      <c r="A901" s="24" t="s">
        <v>2889</v>
      </c>
      <c r="B901" s="24">
        <v>2026</v>
      </c>
      <c r="C901" s="24" t="s">
        <v>6024</v>
      </c>
      <c r="D901" s="24" t="s">
        <v>6025</v>
      </c>
      <c r="E901" s="24" t="s">
        <v>6000</v>
      </c>
      <c r="F901" s="24" t="s">
        <v>5775</v>
      </c>
      <c r="G901" s="24" t="s">
        <v>5780</v>
      </c>
      <c r="H901" s="24" t="s">
        <v>6026</v>
      </c>
      <c r="I901" s="24" t="s">
        <v>3353</v>
      </c>
      <c r="J901" s="24" t="s">
        <v>5777</v>
      </c>
    </row>
    <row r="902" spans="1:10" ht="95" x14ac:dyDescent="0.2">
      <c r="A902" s="24" t="s">
        <v>2897</v>
      </c>
      <c r="B902" s="24">
        <v>2026</v>
      </c>
      <c r="C902" s="24" t="s">
        <v>6027</v>
      </c>
      <c r="D902" s="24" t="s">
        <v>6028</v>
      </c>
      <c r="E902" s="24" t="s">
        <v>6000</v>
      </c>
      <c r="F902" s="24" t="s">
        <v>5775</v>
      </c>
      <c r="G902" s="24" t="s">
        <v>5780</v>
      </c>
      <c r="H902" s="24" t="s">
        <v>6029</v>
      </c>
      <c r="I902" s="24" t="s">
        <v>3353</v>
      </c>
      <c r="J902" s="24" t="s">
        <v>5777</v>
      </c>
    </row>
    <row r="903" spans="1:10" ht="95" x14ac:dyDescent="0.2">
      <c r="A903" s="24" t="s">
        <v>2904</v>
      </c>
      <c r="B903" s="24">
        <v>2026</v>
      </c>
      <c r="C903" s="24" t="s">
        <v>6030</v>
      </c>
      <c r="D903" s="24" t="s">
        <v>6031</v>
      </c>
      <c r="E903" s="24" t="s">
        <v>6000</v>
      </c>
      <c r="F903" s="24" t="s">
        <v>5775</v>
      </c>
      <c r="G903" s="24" t="s">
        <v>5780</v>
      </c>
      <c r="H903" s="24" t="s">
        <v>3979</v>
      </c>
      <c r="I903" s="24" t="s">
        <v>3353</v>
      </c>
      <c r="J903" s="24" t="s">
        <v>5777</v>
      </c>
    </row>
    <row r="904" spans="1:10" ht="76" x14ac:dyDescent="0.2">
      <c r="A904" s="24" t="s">
        <v>2912</v>
      </c>
      <c r="B904" s="24">
        <v>2026</v>
      </c>
      <c r="C904" s="24" t="s">
        <v>6032</v>
      </c>
      <c r="D904" s="24" t="s">
        <v>6033</v>
      </c>
      <c r="E904" s="24" t="s">
        <v>6000</v>
      </c>
      <c r="F904" s="24" t="s">
        <v>5775</v>
      </c>
      <c r="G904" s="24" t="s">
        <v>5780</v>
      </c>
      <c r="H904" s="24" t="s">
        <v>6034</v>
      </c>
      <c r="I904" s="24" t="s">
        <v>3353</v>
      </c>
      <c r="J904" s="24" t="s">
        <v>5777</v>
      </c>
    </row>
    <row r="905" spans="1:10" ht="114" x14ac:dyDescent="0.2">
      <c r="A905" s="24" t="s">
        <v>2920</v>
      </c>
      <c r="B905" s="24">
        <v>2026</v>
      </c>
      <c r="C905" s="24" t="s">
        <v>6035</v>
      </c>
      <c r="D905" s="24" t="s">
        <v>6036</v>
      </c>
      <c r="E905" s="24" t="s">
        <v>6000</v>
      </c>
      <c r="F905" s="24" t="s">
        <v>5775</v>
      </c>
      <c r="G905" s="24" t="s">
        <v>5780</v>
      </c>
      <c r="H905" s="24" t="s">
        <v>6037</v>
      </c>
      <c r="I905" s="24" t="s">
        <v>3353</v>
      </c>
      <c r="J905" s="24" t="s">
        <v>5777</v>
      </c>
    </row>
    <row r="906" spans="1:10" ht="114" x14ac:dyDescent="0.2">
      <c r="A906" s="24" t="s">
        <v>2928</v>
      </c>
      <c r="B906" s="24">
        <v>2025</v>
      </c>
      <c r="C906" s="24" t="s">
        <v>6038</v>
      </c>
      <c r="D906" s="24" t="s">
        <v>6039</v>
      </c>
      <c r="E906" s="24" t="s">
        <v>6000</v>
      </c>
      <c r="F906" s="24" t="s">
        <v>5775</v>
      </c>
      <c r="G906" s="24" t="s">
        <v>5780</v>
      </c>
      <c r="H906" s="24" t="s">
        <v>6040</v>
      </c>
      <c r="I906" s="24" t="s">
        <v>3353</v>
      </c>
      <c r="J906" s="24" t="s">
        <v>5777</v>
      </c>
    </row>
    <row r="907" spans="1:10" ht="76" x14ac:dyDescent="0.2">
      <c r="A907" s="24" t="s">
        <v>2936</v>
      </c>
      <c r="B907" s="24">
        <v>2025</v>
      </c>
      <c r="C907" s="24" t="s">
        <v>6041</v>
      </c>
      <c r="D907" s="24" t="s">
        <v>6042</v>
      </c>
      <c r="E907" s="24" t="s">
        <v>6000</v>
      </c>
      <c r="F907" s="24" t="s">
        <v>5775</v>
      </c>
      <c r="G907" s="24" t="s">
        <v>5776</v>
      </c>
      <c r="H907" s="24" t="s">
        <v>6043</v>
      </c>
      <c r="I907" s="24" t="s">
        <v>3510</v>
      </c>
      <c r="J907" s="24" t="s">
        <v>5777</v>
      </c>
    </row>
    <row r="908" spans="1:10" ht="114" x14ac:dyDescent="0.2">
      <c r="A908" s="24" t="s">
        <v>2944</v>
      </c>
      <c r="B908" s="24">
        <v>2026</v>
      </c>
      <c r="C908" s="24" t="s">
        <v>6044</v>
      </c>
      <c r="D908" s="24" t="s">
        <v>6045</v>
      </c>
      <c r="E908" s="24" t="s">
        <v>6000</v>
      </c>
      <c r="F908" s="24" t="s">
        <v>5775</v>
      </c>
      <c r="G908" s="24" t="s">
        <v>5780</v>
      </c>
      <c r="H908" s="24" t="s">
        <v>6046</v>
      </c>
      <c r="I908" s="24" t="s">
        <v>3353</v>
      </c>
      <c r="J908" s="24" t="s">
        <v>5777</v>
      </c>
    </row>
    <row r="909" spans="1:10" ht="76" x14ac:dyDescent="0.2">
      <c r="A909" s="24" t="s">
        <v>2952</v>
      </c>
      <c r="B909" s="24">
        <v>2026</v>
      </c>
      <c r="C909" s="24" t="s">
        <v>6047</v>
      </c>
      <c r="D909" s="24" t="s">
        <v>6048</v>
      </c>
      <c r="E909" s="24" t="s">
        <v>6000</v>
      </c>
      <c r="F909" s="24" t="s">
        <v>5775</v>
      </c>
      <c r="G909" s="24" t="s">
        <v>5780</v>
      </c>
      <c r="H909" s="24" t="s">
        <v>6049</v>
      </c>
      <c r="I909" s="24" t="s">
        <v>3353</v>
      </c>
      <c r="J909" s="24" t="s">
        <v>5777</v>
      </c>
    </row>
    <row r="910" spans="1:10" ht="76" x14ac:dyDescent="0.2">
      <c r="A910" s="24" t="s">
        <v>2959</v>
      </c>
      <c r="B910" s="24">
        <v>2025</v>
      </c>
      <c r="C910" s="24" t="s">
        <v>6050</v>
      </c>
      <c r="D910" s="24" t="s">
        <v>6051</v>
      </c>
      <c r="E910" s="24" t="s">
        <v>6000</v>
      </c>
      <c r="F910" s="24" t="s">
        <v>5775</v>
      </c>
      <c r="G910" s="24" t="s">
        <v>5780</v>
      </c>
      <c r="H910" s="24" t="s">
        <v>4000</v>
      </c>
      <c r="I910" s="24" t="s">
        <v>3353</v>
      </c>
      <c r="J910" s="24" t="s">
        <v>5777</v>
      </c>
    </row>
    <row r="911" spans="1:10" ht="95" x14ac:dyDescent="0.2">
      <c r="A911" s="24" t="s">
        <v>2967</v>
      </c>
      <c r="B911" s="24">
        <v>2025</v>
      </c>
      <c r="C911" s="24" t="s">
        <v>6052</v>
      </c>
      <c r="D911" s="24" t="s">
        <v>6053</v>
      </c>
      <c r="E911" s="24" t="s">
        <v>6000</v>
      </c>
      <c r="F911" s="24" t="s">
        <v>5775</v>
      </c>
      <c r="G911" s="24" t="s">
        <v>5780</v>
      </c>
      <c r="H911" s="24" t="s">
        <v>6054</v>
      </c>
      <c r="I911" s="24" t="s">
        <v>3353</v>
      </c>
      <c r="J911" s="24" t="s">
        <v>5777</v>
      </c>
    </row>
    <row r="912" spans="1:10" ht="76" x14ac:dyDescent="0.2">
      <c r="A912" s="24" t="s">
        <v>2975</v>
      </c>
      <c r="B912" s="24">
        <v>2025</v>
      </c>
      <c r="C912" s="24" t="s">
        <v>6055</v>
      </c>
      <c r="D912" s="24" t="s">
        <v>6056</v>
      </c>
      <c r="E912" s="24" t="s">
        <v>6000</v>
      </c>
      <c r="F912" s="24" t="s">
        <v>5775</v>
      </c>
      <c r="G912" s="24" t="s">
        <v>5780</v>
      </c>
      <c r="H912" s="24" t="s">
        <v>6057</v>
      </c>
      <c r="I912" s="24" t="s">
        <v>3353</v>
      </c>
      <c r="J912" s="24" t="s">
        <v>5777</v>
      </c>
    </row>
    <row r="913" spans="1:10" ht="57" x14ac:dyDescent="0.2">
      <c r="A913" s="24" t="s">
        <v>2983</v>
      </c>
      <c r="B913" s="24">
        <v>2026</v>
      </c>
      <c r="C913" s="24" t="s">
        <v>6058</v>
      </c>
      <c r="D913" s="24" t="s">
        <v>6059</v>
      </c>
      <c r="E913" s="24" t="s">
        <v>6000</v>
      </c>
      <c r="F913" s="24" t="s">
        <v>5775</v>
      </c>
      <c r="G913" s="24" t="s">
        <v>5780</v>
      </c>
      <c r="H913" s="24" t="s">
        <v>4009</v>
      </c>
      <c r="I913" s="24" t="s">
        <v>3353</v>
      </c>
      <c r="J913" s="24" t="s">
        <v>5777</v>
      </c>
    </row>
    <row r="914" spans="1:10" ht="76" x14ac:dyDescent="0.2">
      <c r="A914" s="24" t="s">
        <v>2996</v>
      </c>
      <c r="B914" s="24">
        <v>2026</v>
      </c>
      <c r="C914" s="24" t="s">
        <v>6060</v>
      </c>
      <c r="D914" s="24" t="s">
        <v>6061</v>
      </c>
      <c r="E914" s="24" t="s">
        <v>6000</v>
      </c>
      <c r="F914" s="24" t="s">
        <v>5775</v>
      </c>
      <c r="G914" s="24" t="s">
        <v>5780</v>
      </c>
      <c r="H914" s="24" t="s">
        <v>4012</v>
      </c>
      <c r="I914" s="24" t="s">
        <v>3353</v>
      </c>
      <c r="J914" s="24" t="s">
        <v>5777</v>
      </c>
    </row>
    <row r="915" spans="1:10" ht="76" x14ac:dyDescent="0.2">
      <c r="A915" s="24" t="s">
        <v>3004</v>
      </c>
      <c r="B915" s="24">
        <v>2024</v>
      </c>
      <c r="C915" s="24" t="s">
        <v>6062</v>
      </c>
      <c r="D915" s="24" t="s">
        <v>6063</v>
      </c>
      <c r="E915" s="24" t="s">
        <v>6000</v>
      </c>
      <c r="F915" s="24" t="s">
        <v>5775</v>
      </c>
      <c r="G915" s="24" t="s">
        <v>5780</v>
      </c>
      <c r="H915" s="24" t="s">
        <v>6064</v>
      </c>
      <c r="I915" s="24" t="s">
        <v>3353</v>
      </c>
      <c r="J915" s="24" t="s">
        <v>5777</v>
      </c>
    </row>
    <row r="916" spans="1:10" ht="95" x14ac:dyDescent="0.2">
      <c r="A916" s="24" t="s">
        <v>3012</v>
      </c>
      <c r="B916" s="24">
        <v>2025</v>
      </c>
      <c r="C916" s="24" t="s">
        <v>6065</v>
      </c>
      <c r="D916" s="24" t="s">
        <v>6066</v>
      </c>
      <c r="E916" s="24" t="s">
        <v>6000</v>
      </c>
      <c r="F916" s="24" t="s">
        <v>5775</v>
      </c>
      <c r="G916" s="24" t="s">
        <v>5780</v>
      </c>
      <c r="H916" s="24" t="s">
        <v>6067</v>
      </c>
      <c r="I916" s="24" t="s">
        <v>3353</v>
      </c>
      <c r="J916" s="24" t="s">
        <v>5777</v>
      </c>
    </row>
    <row r="917" spans="1:10" ht="95" x14ac:dyDescent="0.2">
      <c r="A917" s="24" t="s">
        <v>3020</v>
      </c>
      <c r="B917" s="24">
        <v>2026</v>
      </c>
      <c r="C917" s="24" t="s">
        <v>6068</v>
      </c>
      <c r="D917" s="24" t="s">
        <v>6069</v>
      </c>
      <c r="E917" s="24" t="s">
        <v>6000</v>
      </c>
      <c r="F917" s="24" t="s">
        <v>5775</v>
      </c>
      <c r="G917" s="24" t="s">
        <v>5780</v>
      </c>
      <c r="H917" s="24" t="s">
        <v>6070</v>
      </c>
      <c r="I917" s="24" t="s">
        <v>3353</v>
      </c>
      <c r="J917" s="24" t="s">
        <v>5777</v>
      </c>
    </row>
    <row r="918" spans="1:10" ht="114" x14ac:dyDescent="0.2">
      <c r="A918" s="24" t="s">
        <v>3028</v>
      </c>
      <c r="B918" s="24">
        <v>2026</v>
      </c>
      <c r="C918" s="24" t="s">
        <v>6071</v>
      </c>
      <c r="D918" s="24" t="s">
        <v>6072</v>
      </c>
      <c r="E918" s="24" t="s">
        <v>6000</v>
      </c>
      <c r="F918" s="24" t="s">
        <v>5775</v>
      </c>
      <c r="G918" s="24" t="s">
        <v>5780</v>
      </c>
      <c r="H918" s="24" t="s">
        <v>6073</v>
      </c>
      <c r="I918" s="24" t="s">
        <v>3353</v>
      </c>
      <c r="J918" s="24" t="s">
        <v>5777</v>
      </c>
    </row>
    <row r="919" spans="1:10" ht="76" x14ac:dyDescent="0.2">
      <c r="A919" s="24" t="s">
        <v>3043</v>
      </c>
      <c r="B919" s="24">
        <v>2026</v>
      </c>
      <c r="C919" s="24" t="s">
        <v>6074</v>
      </c>
      <c r="D919" s="24" t="s">
        <v>6075</v>
      </c>
      <c r="E919" s="24" t="s">
        <v>6000</v>
      </c>
      <c r="F919" s="24" t="s">
        <v>5775</v>
      </c>
      <c r="G919" s="24" t="s">
        <v>5780</v>
      </c>
      <c r="H919" s="24" t="s">
        <v>6076</v>
      </c>
      <c r="I919" s="24" t="s">
        <v>3353</v>
      </c>
      <c r="J919" s="24" t="s">
        <v>5777</v>
      </c>
    </row>
    <row r="920" spans="1:10" ht="95" x14ac:dyDescent="0.2">
      <c r="A920" s="24" t="s">
        <v>3051</v>
      </c>
      <c r="B920" s="24">
        <v>2025</v>
      </c>
      <c r="C920" s="24" t="s">
        <v>6077</v>
      </c>
      <c r="D920" s="24" t="s">
        <v>6078</v>
      </c>
      <c r="E920" s="24" t="s">
        <v>6000</v>
      </c>
      <c r="F920" s="24" t="s">
        <v>5775</v>
      </c>
      <c r="G920" s="24" t="s">
        <v>5780</v>
      </c>
      <c r="H920" s="24" t="s">
        <v>6079</v>
      </c>
      <c r="I920" s="24" t="s">
        <v>3353</v>
      </c>
      <c r="J920" s="24" t="s">
        <v>5777</v>
      </c>
    </row>
    <row r="921" spans="1:10" ht="57" x14ac:dyDescent="0.2">
      <c r="A921" s="24" t="s">
        <v>3058</v>
      </c>
      <c r="B921" s="24">
        <v>2025</v>
      </c>
      <c r="C921" s="24" t="s">
        <v>6080</v>
      </c>
      <c r="D921" s="24" t="s">
        <v>6081</v>
      </c>
      <c r="E921" s="24" t="s">
        <v>6000</v>
      </c>
      <c r="F921" s="24" t="s">
        <v>5775</v>
      </c>
      <c r="G921" s="24" t="s">
        <v>5776</v>
      </c>
      <c r="H921" s="24" t="s">
        <v>6082</v>
      </c>
      <c r="I921" s="24" t="s">
        <v>3361</v>
      </c>
      <c r="J921" s="24" t="s">
        <v>5777</v>
      </c>
    </row>
    <row r="922" spans="1:10" ht="57" x14ac:dyDescent="0.2">
      <c r="A922" s="24" t="s">
        <v>3065</v>
      </c>
      <c r="B922" s="24">
        <v>2026</v>
      </c>
      <c r="C922" s="24" t="s">
        <v>6083</v>
      </c>
      <c r="D922" s="24" t="s">
        <v>6084</v>
      </c>
      <c r="E922" s="24" t="s">
        <v>6000</v>
      </c>
      <c r="F922" s="24" t="s">
        <v>5775</v>
      </c>
      <c r="G922" s="24" t="s">
        <v>5780</v>
      </c>
      <c r="H922" s="24" t="s">
        <v>6085</v>
      </c>
      <c r="I922" s="24" t="s">
        <v>3361</v>
      </c>
      <c r="J922" s="24" t="s">
        <v>5777</v>
      </c>
    </row>
    <row r="923" spans="1:10" ht="95" x14ac:dyDescent="0.2">
      <c r="A923" s="24" t="s">
        <v>3080</v>
      </c>
      <c r="B923" s="24">
        <v>2026</v>
      </c>
      <c r="C923" s="24" t="s">
        <v>6086</v>
      </c>
      <c r="D923" s="24" t="s">
        <v>6087</v>
      </c>
      <c r="E923" s="24" t="s">
        <v>6000</v>
      </c>
      <c r="F923" s="24" t="s">
        <v>5775</v>
      </c>
      <c r="G923" s="24" t="s">
        <v>5780</v>
      </c>
      <c r="H923" s="24" t="s">
        <v>6088</v>
      </c>
      <c r="I923" s="24" t="s">
        <v>3353</v>
      </c>
      <c r="J923" s="24" t="s">
        <v>5777</v>
      </c>
    </row>
    <row r="924" spans="1:10" ht="95" x14ac:dyDescent="0.2">
      <c r="A924" s="24" t="s">
        <v>3087</v>
      </c>
      <c r="B924" s="24">
        <v>2026</v>
      </c>
      <c r="C924" s="24" t="s">
        <v>6089</v>
      </c>
      <c r="D924" s="24" t="s">
        <v>6090</v>
      </c>
      <c r="E924" s="24" t="s">
        <v>6000</v>
      </c>
      <c r="F924" s="24" t="s">
        <v>5775</v>
      </c>
      <c r="G924" s="24" t="s">
        <v>5780</v>
      </c>
      <c r="H924" s="24" t="s">
        <v>6091</v>
      </c>
      <c r="I924" s="24" t="s">
        <v>3353</v>
      </c>
      <c r="J924" s="24" t="s">
        <v>5777</v>
      </c>
    </row>
    <row r="925" spans="1:10" ht="57" x14ac:dyDescent="0.2">
      <c r="A925" s="24" t="s">
        <v>3095</v>
      </c>
      <c r="B925" s="24">
        <v>2026</v>
      </c>
      <c r="C925" s="24" t="s">
        <v>6092</v>
      </c>
      <c r="D925" s="24" t="s">
        <v>6093</v>
      </c>
      <c r="E925" s="24" t="s">
        <v>6000</v>
      </c>
      <c r="F925" s="24" t="s">
        <v>5775</v>
      </c>
      <c r="G925" s="24" t="s">
        <v>5780</v>
      </c>
      <c r="H925" s="24" t="s">
        <v>4051</v>
      </c>
      <c r="I925" s="24" t="s">
        <v>3353</v>
      </c>
      <c r="J925" s="24" t="s">
        <v>5777</v>
      </c>
    </row>
    <row r="926" spans="1:10" ht="95" x14ac:dyDescent="0.2">
      <c r="A926" s="24" t="s">
        <v>3102</v>
      </c>
      <c r="B926" s="24">
        <v>2026</v>
      </c>
      <c r="C926" s="24" t="s">
        <v>6094</v>
      </c>
      <c r="D926" s="24" t="s">
        <v>6095</v>
      </c>
      <c r="E926" s="24" t="s">
        <v>6000</v>
      </c>
      <c r="F926" s="24" t="s">
        <v>5775</v>
      </c>
      <c r="G926" s="24" t="s">
        <v>5780</v>
      </c>
      <c r="H926" s="24" t="s">
        <v>6096</v>
      </c>
      <c r="I926" s="24" t="s">
        <v>3353</v>
      </c>
      <c r="J926" s="24" t="s">
        <v>5777</v>
      </c>
    </row>
    <row r="927" spans="1:10" ht="114" x14ac:dyDescent="0.2">
      <c r="A927" s="24" t="s">
        <v>3109</v>
      </c>
      <c r="B927" s="24">
        <v>2026</v>
      </c>
      <c r="C927" s="24" t="s">
        <v>6097</v>
      </c>
      <c r="D927" s="24" t="s">
        <v>6098</v>
      </c>
      <c r="E927" s="24" t="s">
        <v>6000</v>
      </c>
      <c r="F927" s="24" t="s">
        <v>5775</v>
      </c>
      <c r="G927" s="24" t="s">
        <v>5780</v>
      </c>
      <c r="H927" s="24" t="s">
        <v>6099</v>
      </c>
      <c r="I927" s="24" t="s">
        <v>3353</v>
      </c>
      <c r="J927" s="24" t="s">
        <v>5777</v>
      </c>
    </row>
    <row r="928" spans="1:10" ht="38" x14ac:dyDescent="0.2">
      <c r="A928" s="24" t="s">
        <v>3117</v>
      </c>
      <c r="B928" s="24">
        <v>2026</v>
      </c>
      <c r="C928" s="24" t="s">
        <v>6100</v>
      </c>
      <c r="D928" s="24" t="s">
        <v>6101</v>
      </c>
      <c r="E928" s="24" t="s">
        <v>6000</v>
      </c>
      <c r="F928" s="24" t="s">
        <v>5775</v>
      </c>
      <c r="G928" s="24" t="s">
        <v>5780</v>
      </c>
      <c r="H928" s="24" t="s">
        <v>6102</v>
      </c>
      <c r="I928" s="24" t="s">
        <v>3361</v>
      </c>
      <c r="J928" s="24" t="s">
        <v>5777</v>
      </c>
    </row>
    <row r="929" spans="1:10" ht="38" x14ac:dyDescent="0.2">
      <c r="A929" s="24" t="s">
        <v>3140</v>
      </c>
      <c r="B929" s="24">
        <v>2026</v>
      </c>
      <c r="C929" s="24" t="s">
        <v>6103</v>
      </c>
      <c r="D929" s="24" t="s">
        <v>6104</v>
      </c>
      <c r="E929" s="24" t="s">
        <v>6000</v>
      </c>
      <c r="F929" s="24" t="s">
        <v>5775</v>
      </c>
      <c r="G929" s="24" t="s">
        <v>5780</v>
      </c>
      <c r="H929" s="24" t="s">
        <v>6105</v>
      </c>
      <c r="I929" s="24" t="s">
        <v>3361</v>
      </c>
      <c r="J929" s="24" t="s">
        <v>5777</v>
      </c>
    </row>
    <row r="930" spans="1:10" ht="95" x14ac:dyDescent="0.2">
      <c r="A930" s="24" t="s">
        <v>3147</v>
      </c>
      <c r="B930" s="24">
        <v>2026</v>
      </c>
      <c r="C930" s="24" t="s">
        <v>6106</v>
      </c>
      <c r="D930" s="24" t="s">
        <v>6107</v>
      </c>
      <c r="E930" s="24" t="s">
        <v>6000</v>
      </c>
      <c r="F930" s="24" t="s">
        <v>5775</v>
      </c>
      <c r="G930" s="24" t="s">
        <v>5780</v>
      </c>
      <c r="H930" s="24" t="s">
        <v>4069</v>
      </c>
      <c r="I930" s="24" t="s">
        <v>3353</v>
      </c>
      <c r="J930" s="24" t="s">
        <v>5777</v>
      </c>
    </row>
    <row r="931" spans="1:10" ht="95" x14ac:dyDescent="0.2">
      <c r="A931" s="24" t="s">
        <v>3155</v>
      </c>
      <c r="B931" s="24">
        <v>2026</v>
      </c>
      <c r="C931" s="24" t="s">
        <v>6108</v>
      </c>
      <c r="D931" s="24" t="s">
        <v>6109</v>
      </c>
      <c r="E931" s="24" t="s">
        <v>6000</v>
      </c>
      <c r="F931" s="24" t="s">
        <v>5775</v>
      </c>
      <c r="G931" s="24" t="s">
        <v>5780</v>
      </c>
      <c r="H931" s="24" t="s">
        <v>6110</v>
      </c>
      <c r="I931" s="24" t="s">
        <v>3353</v>
      </c>
      <c r="J931" s="24" t="s">
        <v>5777</v>
      </c>
    </row>
    <row r="932" spans="1:10" ht="95" x14ac:dyDescent="0.2">
      <c r="A932" s="24" t="s">
        <v>3171</v>
      </c>
      <c r="B932" s="24">
        <v>2026</v>
      </c>
      <c r="C932" s="24" t="s">
        <v>6111</v>
      </c>
      <c r="D932" s="24" t="s">
        <v>6112</v>
      </c>
      <c r="E932" s="24" t="s">
        <v>6000</v>
      </c>
      <c r="F932" s="24" t="s">
        <v>5775</v>
      </c>
      <c r="G932" s="24" t="s">
        <v>5780</v>
      </c>
      <c r="H932" s="24" t="s">
        <v>6113</v>
      </c>
      <c r="I932" s="24" t="s">
        <v>3353</v>
      </c>
      <c r="J932" s="24" t="s">
        <v>5777</v>
      </c>
    </row>
    <row r="933" spans="1:10" ht="76" x14ac:dyDescent="0.2">
      <c r="A933" s="24" t="s">
        <v>3179</v>
      </c>
      <c r="B933" s="24">
        <v>2026</v>
      </c>
      <c r="C933" s="24" t="s">
        <v>6114</v>
      </c>
      <c r="D933" s="24" t="s">
        <v>6115</v>
      </c>
      <c r="E933" s="24" t="s">
        <v>6000</v>
      </c>
      <c r="F933" s="24" t="s">
        <v>5775</v>
      </c>
      <c r="G933" s="24" t="s">
        <v>5780</v>
      </c>
      <c r="H933" s="24" t="s">
        <v>6116</v>
      </c>
      <c r="I933" s="24" t="s">
        <v>3353</v>
      </c>
      <c r="J933" s="24" t="s">
        <v>5777</v>
      </c>
    </row>
    <row r="934" spans="1:10" ht="95" x14ac:dyDescent="0.2">
      <c r="A934" s="24" t="s">
        <v>3194</v>
      </c>
      <c r="B934" s="24">
        <v>2025</v>
      </c>
      <c r="C934" s="24" t="s">
        <v>6117</v>
      </c>
      <c r="D934" s="24" t="s">
        <v>6118</v>
      </c>
      <c r="E934" s="24" t="s">
        <v>6000</v>
      </c>
      <c r="F934" s="24" t="s">
        <v>5775</v>
      </c>
      <c r="G934" s="24" t="s">
        <v>5780</v>
      </c>
      <c r="H934" s="24" t="s">
        <v>6119</v>
      </c>
      <c r="I934" s="24" t="s">
        <v>3353</v>
      </c>
      <c r="J934" s="24" t="s">
        <v>5777</v>
      </c>
    </row>
    <row r="935" spans="1:10" ht="95" x14ac:dyDescent="0.2">
      <c r="A935" s="24" t="s">
        <v>3201</v>
      </c>
      <c r="B935" s="24">
        <v>2026</v>
      </c>
      <c r="C935" s="24" t="s">
        <v>6120</v>
      </c>
      <c r="D935" s="24" t="s">
        <v>6121</v>
      </c>
      <c r="E935" s="24" t="s">
        <v>6000</v>
      </c>
      <c r="F935" s="24" t="s">
        <v>5775</v>
      </c>
      <c r="G935" s="24" t="s">
        <v>5780</v>
      </c>
      <c r="H935" s="24" t="s">
        <v>6122</v>
      </c>
      <c r="I935" s="24" t="s">
        <v>3353</v>
      </c>
      <c r="J935" s="24" t="s">
        <v>5777</v>
      </c>
    </row>
    <row r="936" spans="1:10" ht="95" x14ac:dyDescent="0.2">
      <c r="A936" s="24" t="s">
        <v>3209</v>
      </c>
      <c r="B936" s="24">
        <v>2026</v>
      </c>
      <c r="C936" s="24" t="s">
        <v>6123</v>
      </c>
      <c r="D936" s="24" t="s">
        <v>6124</v>
      </c>
      <c r="E936" s="24" t="s">
        <v>6000</v>
      </c>
      <c r="F936" s="24" t="s">
        <v>5775</v>
      </c>
      <c r="G936" s="24" t="s">
        <v>5780</v>
      </c>
      <c r="H936" s="24" t="s">
        <v>6125</v>
      </c>
      <c r="I936" s="24" t="s">
        <v>3353</v>
      </c>
      <c r="J936" s="24" t="s">
        <v>5777</v>
      </c>
    </row>
    <row r="937" spans="1:10" ht="95" x14ac:dyDescent="0.2">
      <c r="A937" s="24" t="s">
        <v>3223</v>
      </c>
      <c r="B937" s="24">
        <v>2026</v>
      </c>
      <c r="C937" s="24" t="s">
        <v>6126</v>
      </c>
      <c r="D937" s="24" t="s">
        <v>6127</v>
      </c>
      <c r="E937" s="24" t="s">
        <v>6000</v>
      </c>
      <c r="F937" s="24" t="s">
        <v>5775</v>
      </c>
      <c r="G937" s="24" t="s">
        <v>5780</v>
      </c>
      <c r="H937" s="24" t="s">
        <v>6128</v>
      </c>
      <c r="I937" s="24" t="s">
        <v>3353</v>
      </c>
      <c r="J937" s="24" t="s">
        <v>5777</v>
      </c>
    </row>
    <row r="938" spans="1:10" ht="95" x14ac:dyDescent="0.2">
      <c r="A938" s="24" t="s">
        <v>3229</v>
      </c>
      <c r="B938" s="24">
        <v>2025</v>
      </c>
      <c r="C938" s="24" t="s">
        <v>6129</v>
      </c>
      <c r="D938" s="24" t="s">
        <v>6130</v>
      </c>
      <c r="E938" s="24" t="s">
        <v>6000</v>
      </c>
      <c r="F938" s="24" t="s">
        <v>5775</v>
      </c>
      <c r="G938" s="24" t="s">
        <v>5780</v>
      </c>
      <c r="H938" s="24" t="s">
        <v>6131</v>
      </c>
      <c r="I938" s="24" t="s">
        <v>3353</v>
      </c>
      <c r="J938" s="24" t="s">
        <v>5777</v>
      </c>
    </row>
    <row r="939" spans="1:10" ht="114" x14ac:dyDescent="0.2">
      <c r="A939" s="24" t="s">
        <v>3236</v>
      </c>
      <c r="B939" s="24">
        <v>2025</v>
      </c>
      <c r="C939" s="24" t="s">
        <v>6132</v>
      </c>
      <c r="D939" s="24" t="s">
        <v>6133</v>
      </c>
      <c r="E939" s="24" t="s">
        <v>6000</v>
      </c>
      <c r="F939" s="24" t="s">
        <v>5775</v>
      </c>
      <c r="G939" s="24" t="s">
        <v>5780</v>
      </c>
      <c r="H939" s="24" t="s">
        <v>6134</v>
      </c>
      <c r="I939" s="24" t="s">
        <v>3353</v>
      </c>
      <c r="J939" s="24" t="s">
        <v>5777</v>
      </c>
    </row>
    <row r="940" spans="1:10" ht="95" x14ac:dyDescent="0.2">
      <c r="A940" s="24" t="s">
        <v>3248</v>
      </c>
      <c r="B940" s="24">
        <v>2024</v>
      </c>
      <c r="C940" s="24" t="s">
        <v>6135</v>
      </c>
      <c r="D940" s="24" t="s">
        <v>6136</v>
      </c>
      <c r="E940" s="24" t="s">
        <v>6000</v>
      </c>
      <c r="F940" s="24" t="s">
        <v>5775</v>
      </c>
      <c r="G940" s="24" t="s">
        <v>5780</v>
      </c>
      <c r="H940" s="24" t="s">
        <v>6137</v>
      </c>
      <c r="I940" s="24" t="s">
        <v>3353</v>
      </c>
      <c r="J940" s="24" t="s">
        <v>5777</v>
      </c>
    </row>
    <row r="941" spans="1:10" ht="76" x14ac:dyDescent="0.2">
      <c r="A941" s="24" t="s">
        <v>3256</v>
      </c>
      <c r="B941" s="24">
        <v>2024</v>
      </c>
      <c r="C941" s="24" t="s">
        <v>6138</v>
      </c>
      <c r="D941" s="24" t="s">
        <v>6139</v>
      </c>
      <c r="E941" s="24" t="s">
        <v>6000</v>
      </c>
      <c r="F941" s="24" t="s">
        <v>5775</v>
      </c>
      <c r="G941" s="24" t="s">
        <v>5780</v>
      </c>
      <c r="H941" s="24" t="s">
        <v>6140</v>
      </c>
      <c r="I941" s="24" t="s">
        <v>3353</v>
      </c>
      <c r="J941" s="24" t="s">
        <v>5777</v>
      </c>
    </row>
    <row r="942" spans="1:10" ht="95" x14ac:dyDescent="0.2">
      <c r="A942" s="24" t="s">
        <v>3278</v>
      </c>
      <c r="B942" s="24">
        <v>2025</v>
      </c>
      <c r="C942" s="24" t="s">
        <v>6141</v>
      </c>
      <c r="D942" s="24" t="s">
        <v>6142</v>
      </c>
      <c r="E942" s="24" t="s">
        <v>6000</v>
      </c>
      <c r="F942" s="24" t="s">
        <v>5775</v>
      </c>
      <c r="G942" s="24" t="s">
        <v>5780</v>
      </c>
      <c r="H942" s="24" t="s">
        <v>6143</v>
      </c>
      <c r="I942" s="24" t="s">
        <v>3353</v>
      </c>
      <c r="J942" s="24" t="s">
        <v>5777</v>
      </c>
    </row>
    <row r="943" spans="1:10" ht="76" x14ac:dyDescent="0.2">
      <c r="A943" s="24" t="s">
        <v>3298</v>
      </c>
      <c r="B943" s="24">
        <v>2024</v>
      </c>
      <c r="C943" s="24" t="s">
        <v>6144</v>
      </c>
      <c r="D943" s="24" t="s">
        <v>6145</v>
      </c>
      <c r="E943" s="24" t="s">
        <v>6000</v>
      </c>
      <c r="F943" s="24" t="s">
        <v>5775</v>
      </c>
      <c r="G943" s="24" t="s">
        <v>5780</v>
      </c>
      <c r="H943" s="24" t="s">
        <v>6146</v>
      </c>
      <c r="I943" s="24" t="s">
        <v>3353</v>
      </c>
      <c r="J943" s="24" t="s">
        <v>5777</v>
      </c>
    </row>
    <row r="944" spans="1:10" ht="114" x14ac:dyDescent="0.2">
      <c r="A944" s="24" t="s">
        <v>3325</v>
      </c>
      <c r="B944" s="24">
        <v>2026</v>
      </c>
      <c r="C944" s="24" t="s">
        <v>6147</v>
      </c>
      <c r="D944" s="24" t="s">
        <v>6148</v>
      </c>
      <c r="E944" s="24" t="s">
        <v>6000</v>
      </c>
      <c r="F944" s="24" t="s">
        <v>5775</v>
      </c>
      <c r="G944" s="24" t="s">
        <v>5780</v>
      </c>
      <c r="H944" s="24" t="s">
        <v>6149</v>
      </c>
      <c r="I944" s="24" t="s">
        <v>3353</v>
      </c>
      <c r="J944" s="24" t="s">
        <v>5777</v>
      </c>
    </row>
    <row r="945" spans="1:10" ht="114" x14ac:dyDescent="0.2">
      <c r="A945" s="24" t="s">
        <v>3332</v>
      </c>
      <c r="B945" s="24">
        <v>2026</v>
      </c>
      <c r="C945" s="24" t="s">
        <v>6150</v>
      </c>
      <c r="D945" s="24" t="s">
        <v>6151</v>
      </c>
      <c r="E945" s="24" t="s">
        <v>6000</v>
      </c>
      <c r="F945" s="24" t="s">
        <v>5775</v>
      </c>
      <c r="G945" s="24" t="s">
        <v>5780</v>
      </c>
      <c r="H945" s="24" t="s">
        <v>6152</v>
      </c>
      <c r="I945" s="24" t="s">
        <v>3353</v>
      </c>
      <c r="J945" s="24" t="s">
        <v>5777</v>
      </c>
    </row>
    <row r="946" spans="1:10" ht="95" x14ac:dyDescent="0.2">
      <c r="A946" s="24" t="s">
        <v>2825</v>
      </c>
      <c r="B946" s="24">
        <v>2025</v>
      </c>
      <c r="C946" s="24" t="s">
        <v>6153</v>
      </c>
      <c r="D946" s="24" t="s">
        <v>6154</v>
      </c>
      <c r="E946" s="24" t="s">
        <v>6155</v>
      </c>
      <c r="F946" s="24" t="s">
        <v>5775</v>
      </c>
      <c r="G946" s="24" t="s">
        <v>5780</v>
      </c>
      <c r="H946" s="24" t="s">
        <v>6156</v>
      </c>
      <c r="I946" s="24" t="s">
        <v>3353</v>
      </c>
      <c r="J946" s="24" t="s">
        <v>5777</v>
      </c>
    </row>
    <row r="947" spans="1:10" ht="95" x14ac:dyDescent="0.2">
      <c r="A947" s="24" t="s">
        <v>2825</v>
      </c>
      <c r="B947" s="24">
        <v>2025</v>
      </c>
      <c r="C947" s="24" t="s">
        <v>6157</v>
      </c>
      <c r="D947" s="24" t="s">
        <v>6158</v>
      </c>
      <c r="E947" s="24" t="s">
        <v>6155</v>
      </c>
      <c r="F947" s="24" t="s">
        <v>5775</v>
      </c>
      <c r="G947" s="24" t="s">
        <v>5780</v>
      </c>
      <c r="H947" s="24" t="s">
        <v>6159</v>
      </c>
      <c r="I947" s="24" t="s">
        <v>3353</v>
      </c>
      <c r="J947" s="24" t="s">
        <v>5777</v>
      </c>
    </row>
    <row r="948" spans="1:10" ht="114" x14ac:dyDescent="0.2">
      <c r="A948" s="24" t="s">
        <v>2833</v>
      </c>
      <c r="B948" s="24">
        <v>2026</v>
      </c>
      <c r="C948" s="24" t="s">
        <v>6160</v>
      </c>
      <c r="D948" s="24" t="s">
        <v>6161</v>
      </c>
      <c r="E948" s="24" t="s">
        <v>6155</v>
      </c>
      <c r="F948" s="24" t="s">
        <v>5775</v>
      </c>
      <c r="G948" s="24" t="s">
        <v>5780</v>
      </c>
      <c r="H948" s="24" t="s">
        <v>5881</v>
      </c>
      <c r="I948" s="24" t="s">
        <v>3353</v>
      </c>
      <c r="J948" s="24" t="s">
        <v>5777</v>
      </c>
    </row>
    <row r="949" spans="1:10" ht="114" x14ac:dyDescent="0.2">
      <c r="A949" s="24" t="s">
        <v>2833</v>
      </c>
      <c r="B949" s="24">
        <v>2026</v>
      </c>
      <c r="C949" s="24" t="s">
        <v>6162</v>
      </c>
      <c r="D949" s="24" t="s">
        <v>6163</v>
      </c>
      <c r="E949" s="24" t="s">
        <v>6155</v>
      </c>
      <c r="F949" s="24" t="s">
        <v>5775</v>
      </c>
      <c r="G949" s="24" t="s">
        <v>5780</v>
      </c>
      <c r="H949" s="24" t="s">
        <v>6164</v>
      </c>
      <c r="I949" s="24" t="s">
        <v>3353</v>
      </c>
      <c r="J949" s="24" t="s">
        <v>5777</v>
      </c>
    </row>
    <row r="950" spans="1:10" ht="95" x14ac:dyDescent="0.2">
      <c r="A950" s="24" t="s">
        <v>2841</v>
      </c>
      <c r="B950" s="24">
        <v>2026</v>
      </c>
      <c r="C950" s="24" t="s">
        <v>6165</v>
      </c>
      <c r="D950" s="24" t="s">
        <v>6166</v>
      </c>
      <c r="E950" s="24" t="s">
        <v>6155</v>
      </c>
      <c r="F950" s="24" t="s">
        <v>5775</v>
      </c>
      <c r="G950" s="24" t="s">
        <v>5780</v>
      </c>
      <c r="H950" s="24" t="s">
        <v>6167</v>
      </c>
      <c r="I950" s="24" t="s">
        <v>3361</v>
      </c>
      <c r="J950" s="24" t="s">
        <v>5777</v>
      </c>
    </row>
    <row r="951" spans="1:10" ht="57" x14ac:dyDescent="0.2">
      <c r="A951" s="24" t="s">
        <v>2849</v>
      </c>
      <c r="B951" s="24">
        <v>2026</v>
      </c>
      <c r="C951" s="24" t="s">
        <v>6168</v>
      </c>
      <c r="D951" s="24" t="s">
        <v>6169</v>
      </c>
      <c r="E951" s="24" t="s">
        <v>6155</v>
      </c>
      <c r="F951" s="24" t="s">
        <v>5775</v>
      </c>
      <c r="G951" s="24" t="s">
        <v>5780</v>
      </c>
      <c r="H951" s="24" t="s">
        <v>6034</v>
      </c>
      <c r="I951" s="24" t="s">
        <v>3361</v>
      </c>
      <c r="J951" s="24" t="s">
        <v>5777</v>
      </c>
    </row>
    <row r="952" spans="1:10" ht="76" x14ac:dyDescent="0.2">
      <c r="A952" s="24" t="s">
        <v>2857</v>
      </c>
      <c r="B952" s="24">
        <v>2026</v>
      </c>
      <c r="C952" s="24" t="s">
        <v>6170</v>
      </c>
      <c r="D952" s="24" t="s">
        <v>6171</v>
      </c>
      <c r="E952" s="24" t="s">
        <v>6155</v>
      </c>
      <c r="F952" s="24" t="s">
        <v>5775</v>
      </c>
      <c r="G952" s="24" t="s">
        <v>5780</v>
      </c>
      <c r="H952" s="24" t="s">
        <v>6172</v>
      </c>
      <c r="I952" s="24" t="s">
        <v>3361</v>
      </c>
      <c r="J952" s="24" t="s">
        <v>5777</v>
      </c>
    </row>
    <row r="953" spans="1:10" ht="76" x14ac:dyDescent="0.2">
      <c r="A953" s="24" t="s">
        <v>2881</v>
      </c>
      <c r="B953" s="24">
        <v>2026</v>
      </c>
      <c r="C953" s="24" t="s">
        <v>6173</v>
      </c>
      <c r="D953" s="24" t="s">
        <v>6174</v>
      </c>
      <c r="E953" s="24" t="s">
        <v>6155</v>
      </c>
      <c r="F953" s="24" t="s">
        <v>5775</v>
      </c>
      <c r="G953" s="24" t="s">
        <v>5780</v>
      </c>
      <c r="H953" s="24" t="s">
        <v>6175</v>
      </c>
      <c r="I953" s="24" t="s">
        <v>3353</v>
      </c>
      <c r="J953" s="24" t="s">
        <v>5777</v>
      </c>
    </row>
    <row r="954" spans="1:10" ht="114" x14ac:dyDescent="0.2">
      <c r="A954" s="24" t="s">
        <v>2889</v>
      </c>
      <c r="B954" s="24">
        <v>2026</v>
      </c>
      <c r="C954" s="24" t="s">
        <v>6176</v>
      </c>
      <c r="D954" s="24" t="s">
        <v>6177</v>
      </c>
      <c r="E954" s="24" t="s">
        <v>6155</v>
      </c>
      <c r="F954" s="24" t="s">
        <v>5775</v>
      </c>
      <c r="G954" s="24" t="s">
        <v>5780</v>
      </c>
      <c r="H954" s="24" t="s">
        <v>6178</v>
      </c>
      <c r="I954" s="24" t="s">
        <v>3353</v>
      </c>
      <c r="J954" s="24" t="s">
        <v>5777</v>
      </c>
    </row>
    <row r="955" spans="1:10" ht="76" x14ac:dyDescent="0.2">
      <c r="A955" s="24" t="s">
        <v>2897</v>
      </c>
      <c r="B955" s="24">
        <v>2026</v>
      </c>
      <c r="C955" s="24" t="s">
        <v>6179</v>
      </c>
      <c r="D955" s="24" t="s">
        <v>6180</v>
      </c>
      <c r="E955" s="24" t="s">
        <v>6155</v>
      </c>
      <c r="F955" s="24" t="s">
        <v>5775</v>
      </c>
      <c r="G955" s="24" t="s">
        <v>5780</v>
      </c>
      <c r="H955" s="24" t="s">
        <v>6181</v>
      </c>
      <c r="I955" s="24" t="s">
        <v>3361</v>
      </c>
      <c r="J955" s="24" t="s">
        <v>5777</v>
      </c>
    </row>
    <row r="956" spans="1:10" ht="76" x14ac:dyDescent="0.2">
      <c r="A956" s="24" t="s">
        <v>2904</v>
      </c>
      <c r="B956" s="24">
        <v>2026</v>
      </c>
      <c r="C956" s="24" t="s">
        <v>6182</v>
      </c>
      <c r="D956" s="24" t="s">
        <v>6183</v>
      </c>
      <c r="E956" s="24" t="s">
        <v>6155</v>
      </c>
      <c r="F956" s="24" t="s">
        <v>5775</v>
      </c>
      <c r="G956" s="24" t="s">
        <v>5780</v>
      </c>
      <c r="H956" s="24" t="s">
        <v>6184</v>
      </c>
      <c r="I956" s="24" t="s">
        <v>3361</v>
      </c>
      <c r="J956" s="24" t="s">
        <v>5777</v>
      </c>
    </row>
    <row r="957" spans="1:10" ht="76" x14ac:dyDescent="0.2">
      <c r="A957" s="24" t="s">
        <v>2912</v>
      </c>
      <c r="B957" s="24">
        <v>2026</v>
      </c>
      <c r="C957" s="24" t="s">
        <v>6185</v>
      </c>
      <c r="D957" s="24" t="s">
        <v>6186</v>
      </c>
      <c r="E957" s="24" t="s">
        <v>6155</v>
      </c>
      <c r="F957" s="24" t="s">
        <v>5775</v>
      </c>
      <c r="G957" s="24" t="s">
        <v>5780</v>
      </c>
      <c r="H957" s="24" t="s">
        <v>6187</v>
      </c>
      <c r="I957" s="24" t="s">
        <v>3353</v>
      </c>
      <c r="J957" s="24" t="s">
        <v>5777</v>
      </c>
    </row>
    <row r="958" spans="1:10" ht="114" x14ac:dyDescent="0.2">
      <c r="A958" s="24" t="s">
        <v>2920</v>
      </c>
      <c r="B958" s="24">
        <v>2026</v>
      </c>
      <c r="C958" s="24" t="s">
        <v>6188</v>
      </c>
      <c r="D958" s="24" t="s">
        <v>6189</v>
      </c>
      <c r="E958" s="24" t="s">
        <v>6155</v>
      </c>
      <c r="F958" s="24" t="s">
        <v>5775</v>
      </c>
      <c r="G958" s="24" t="s">
        <v>5780</v>
      </c>
      <c r="H958" s="24" t="s">
        <v>6190</v>
      </c>
      <c r="I958" s="24" t="s">
        <v>3361</v>
      </c>
      <c r="J958" s="24" t="s">
        <v>5777</v>
      </c>
    </row>
    <row r="959" spans="1:10" ht="95" x14ac:dyDescent="0.2">
      <c r="A959" s="24" t="s">
        <v>2928</v>
      </c>
      <c r="B959" s="24">
        <v>2025</v>
      </c>
      <c r="C959" s="24" t="s">
        <v>6191</v>
      </c>
      <c r="D959" s="24" t="s">
        <v>6192</v>
      </c>
      <c r="E959" s="24" t="s">
        <v>6155</v>
      </c>
      <c r="F959" s="24" t="s">
        <v>5775</v>
      </c>
      <c r="G959" s="24" t="s">
        <v>5776</v>
      </c>
      <c r="H959" s="24" t="s">
        <v>4624</v>
      </c>
      <c r="I959" s="24" t="s">
        <v>3361</v>
      </c>
      <c r="J959" s="24" t="s">
        <v>5777</v>
      </c>
    </row>
    <row r="960" spans="1:10" ht="76" x14ac:dyDescent="0.2">
      <c r="A960" s="24" t="s">
        <v>2936</v>
      </c>
      <c r="B960" s="24">
        <v>2025</v>
      </c>
      <c r="C960" s="24" t="s">
        <v>6193</v>
      </c>
      <c r="D960" s="24" t="s">
        <v>6194</v>
      </c>
      <c r="E960" s="24" t="s">
        <v>6155</v>
      </c>
      <c r="F960" s="24" t="s">
        <v>5775</v>
      </c>
      <c r="G960" s="24" t="s">
        <v>5776</v>
      </c>
      <c r="H960" s="24" t="s">
        <v>6195</v>
      </c>
      <c r="I960" s="24" t="s">
        <v>3361</v>
      </c>
      <c r="J960" s="24" t="s">
        <v>5777</v>
      </c>
    </row>
    <row r="961" spans="1:10" ht="95" x14ac:dyDescent="0.2">
      <c r="A961" s="24" t="s">
        <v>2944</v>
      </c>
      <c r="B961" s="24">
        <v>2026</v>
      </c>
      <c r="C961" s="24" t="s">
        <v>6196</v>
      </c>
      <c r="D961" s="24" t="s">
        <v>6197</v>
      </c>
      <c r="E961" s="24" t="s">
        <v>6155</v>
      </c>
      <c r="F961" s="24" t="s">
        <v>5775</v>
      </c>
      <c r="G961" s="24" t="s">
        <v>5776</v>
      </c>
      <c r="H961" s="24" t="s">
        <v>6198</v>
      </c>
      <c r="I961" s="24" t="s">
        <v>3361</v>
      </c>
      <c r="J961" s="24" t="s">
        <v>5777</v>
      </c>
    </row>
    <row r="962" spans="1:10" ht="76" x14ac:dyDescent="0.2">
      <c r="A962" s="24" t="s">
        <v>2952</v>
      </c>
      <c r="B962" s="24">
        <v>2026</v>
      </c>
      <c r="C962" s="24" t="s">
        <v>6199</v>
      </c>
      <c r="D962" s="24" t="s">
        <v>6200</v>
      </c>
      <c r="E962" s="24" t="s">
        <v>6155</v>
      </c>
      <c r="F962" s="24" t="s">
        <v>5775</v>
      </c>
      <c r="G962" s="24" t="s">
        <v>5780</v>
      </c>
      <c r="H962" s="24" t="s">
        <v>6201</v>
      </c>
      <c r="I962" s="24" t="s">
        <v>3361</v>
      </c>
      <c r="J962" s="24" t="s">
        <v>5777</v>
      </c>
    </row>
    <row r="963" spans="1:10" ht="57" x14ac:dyDescent="0.2">
      <c r="A963" s="24" t="s">
        <v>2959</v>
      </c>
      <c r="B963" s="24">
        <v>2025</v>
      </c>
      <c r="C963" s="24" t="s">
        <v>6202</v>
      </c>
      <c r="D963" s="24" t="s">
        <v>6203</v>
      </c>
      <c r="E963" s="24" t="s">
        <v>6155</v>
      </c>
      <c r="F963" s="24" t="s">
        <v>5775</v>
      </c>
      <c r="G963" s="24" t="s">
        <v>5776</v>
      </c>
      <c r="H963" s="24" t="s">
        <v>5509</v>
      </c>
      <c r="I963" s="24" t="s">
        <v>3510</v>
      </c>
      <c r="J963" s="24" t="s">
        <v>5777</v>
      </c>
    </row>
    <row r="964" spans="1:10" ht="57" x14ac:dyDescent="0.2">
      <c r="A964" s="24" t="s">
        <v>2967</v>
      </c>
      <c r="B964" s="24">
        <v>2025</v>
      </c>
      <c r="C964" s="24" t="s">
        <v>6204</v>
      </c>
      <c r="D964" s="24" t="s">
        <v>6205</v>
      </c>
      <c r="E964" s="24" t="s">
        <v>6155</v>
      </c>
      <c r="F964" s="24" t="s">
        <v>5775</v>
      </c>
      <c r="G964" s="24" t="s">
        <v>5776</v>
      </c>
      <c r="H964" s="24" t="s">
        <v>6206</v>
      </c>
      <c r="I964" s="24" t="s">
        <v>3510</v>
      </c>
      <c r="J964" s="24" t="s">
        <v>5777</v>
      </c>
    </row>
    <row r="965" spans="1:10" ht="114" x14ac:dyDescent="0.2">
      <c r="A965" s="24" t="s">
        <v>2975</v>
      </c>
      <c r="B965" s="24">
        <v>2025</v>
      </c>
      <c r="C965" s="24" t="s">
        <v>6207</v>
      </c>
      <c r="D965" s="24" t="s">
        <v>6208</v>
      </c>
      <c r="E965" s="24" t="s">
        <v>6155</v>
      </c>
      <c r="F965" s="24" t="s">
        <v>5775</v>
      </c>
      <c r="G965" s="24" t="s">
        <v>5776</v>
      </c>
      <c r="H965" s="24" t="s">
        <v>6209</v>
      </c>
      <c r="I965" s="24" t="s">
        <v>3361</v>
      </c>
      <c r="J965" s="24" t="s">
        <v>5777</v>
      </c>
    </row>
    <row r="966" spans="1:10" ht="76" x14ac:dyDescent="0.2">
      <c r="A966" s="24" t="s">
        <v>2983</v>
      </c>
      <c r="B966" s="24">
        <v>2026</v>
      </c>
      <c r="C966" s="24" t="s">
        <v>6210</v>
      </c>
      <c r="D966" s="24" t="s">
        <v>6211</v>
      </c>
      <c r="E966" s="24" t="s">
        <v>6155</v>
      </c>
      <c r="F966" s="24" t="s">
        <v>5775</v>
      </c>
      <c r="G966" s="24" t="s">
        <v>5776</v>
      </c>
      <c r="H966" s="24" t="s">
        <v>6212</v>
      </c>
      <c r="I966" s="24" t="s">
        <v>3361</v>
      </c>
      <c r="J966" s="24" t="s">
        <v>5777</v>
      </c>
    </row>
    <row r="967" spans="1:10" ht="95" x14ac:dyDescent="0.2">
      <c r="A967" s="24" t="s">
        <v>2996</v>
      </c>
      <c r="B967" s="24">
        <v>2026</v>
      </c>
      <c r="C967" s="24" t="s">
        <v>6213</v>
      </c>
      <c r="D967" s="24" t="s">
        <v>6214</v>
      </c>
      <c r="E967" s="24" t="s">
        <v>6155</v>
      </c>
      <c r="F967" s="24" t="s">
        <v>5775</v>
      </c>
      <c r="G967" s="24" t="s">
        <v>5780</v>
      </c>
      <c r="H967" s="24" t="s">
        <v>6215</v>
      </c>
      <c r="I967" s="24" t="s">
        <v>3353</v>
      </c>
      <c r="J967" s="24" t="s">
        <v>5777</v>
      </c>
    </row>
    <row r="968" spans="1:10" ht="95" x14ac:dyDescent="0.2">
      <c r="A968" s="24" t="s">
        <v>3035</v>
      </c>
      <c r="B968" s="24">
        <v>2024</v>
      </c>
      <c r="C968" s="24" t="s">
        <v>6216</v>
      </c>
      <c r="D968" s="24" t="s">
        <v>6217</v>
      </c>
      <c r="E968" s="24" t="s">
        <v>6155</v>
      </c>
      <c r="F968" s="24" t="s">
        <v>5775</v>
      </c>
      <c r="G968" s="24" t="s">
        <v>5776</v>
      </c>
      <c r="H968" s="24" t="s">
        <v>6218</v>
      </c>
      <c r="I968" s="24" t="s">
        <v>3361</v>
      </c>
      <c r="J968" s="24" t="s">
        <v>5777</v>
      </c>
    </row>
    <row r="969" spans="1:10" ht="57" x14ac:dyDescent="0.2">
      <c r="A969" s="24" t="s">
        <v>3043</v>
      </c>
      <c r="B969" s="24">
        <v>2026</v>
      </c>
      <c r="C969" s="24" t="s">
        <v>6219</v>
      </c>
      <c r="D969" s="24" t="s">
        <v>6220</v>
      </c>
      <c r="E969" s="24" t="s">
        <v>6155</v>
      </c>
      <c r="F969" s="24" t="s">
        <v>5775</v>
      </c>
      <c r="G969" s="24" t="s">
        <v>5780</v>
      </c>
      <c r="H969" s="24" t="s">
        <v>5832</v>
      </c>
      <c r="I969" s="24" t="s">
        <v>3361</v>
      </c>
      <c r="J969" s="24" t="s">
        <v>5777</v>
      </c>
    </row>
    <row r="970" spans="1:10" ht="95" x14ac:dyDescent="0.2">
      <c r="A970" s="24" t="s">
        <v>3051</v>
      </c>
      <c r="B970" s="24">
        <v>2025</v>
      </c>
      <c r="C970" s="24" t="s">
        <v>6221</v>
      </c>
      <c r="D970" s="24" t="s">
        <v>6222</v>
      </c>
      <c r="E970" s="24" t="s">
        <v>6155</v>
      </c>
      <c r="F970" s="24" t="s">
        <v>5775</v>
      </c>
      <c r="G970" s="24" t="s">
        <v>5780</v>
      </c>
      <c r="H970" s="24" t="s">
        <v>6079</v>
      </c>
      <c r="I970" s="24" t="s">
        <v>3361</v>
      </c>
      <c r="J970" s="24" t="s">
        <v>5777</v>
      </c>
    </row>
    <row r="971" spans="1:10" ht="114" x14ac:dyDescent="0.2">
      <c r="A971" s="24" t="s">
        <v>3058</v>
      </c>
      <c r="B971" s="24">
        <v>2025</v>
      </c>
      <c r="C971" s="24" t="s">
        <v>6223</v>
      </c>
      <c r="D971" s="24" t="s">
        <v>6224</v>
      </c>
      <c r="E971" s="24" t="s">
        <v>6155</v>
      </c>
      <c r="F971" s="24" t="s">
        <v>5775</v>
      </c>
      <c r="G971" s="24" t="s">
        <v>5780</v>
      </c>
      <c r="H971" s="24" t="s">
        <v>6225</v>
      </c>
      <c r="I971" s="24" t="s">
        <v>3353</v>
      </c>
      <c r="J971" s="24" t="s">
        <v>5777</v>
      </c>
    </row>
    <row r="972" spans="1:10" ht="95" x14ac:dyDescent="0.2">
      <c r="A972" s="24" t="s">
        <v>3065</v>
      </c>
      <c r="B972" s="24">
        <v>2026</v>
      </c>
      <c r="C972" s="24" t="s">
        <v>6226</v>
      </c>
      <c r="D972" s="24" t="s">
        <v>6227</v>
      </c>
      <c r="E972" s="24" t="s">
        <v>6155</v>
      </c>
      <c r="F972" s="24" t="s">
        <v>5775</v>
      </c>
      <c r="G972" s="24" t="s">
        <v>5780</v>
      </c>
      <c r="H972" s="24" t="s">
        <v>6228</v>
      </c>
      <c r="I972" s="24" t="s">
        <v>3361</v>
      </c>
      <c r="J972" s="24" t="s">
        <v>5777</v>
      </c>
    </row>
    <row r="973" spans="1:10" ht="76" x14ac:dyDescent="0.2">
      <c r="A973" s="24" t="s">
        <v>3080</v>
      </c>
      <c r="B973" s="24">
        <v>2026</v>
      </c>
      <c r="C973" s="24" t="s">
        <v>6229</v>
      </c>
      <c r="D973" s="24" t="s">
        <v>6230</v>
      </c>
      <c r="E973" s="24" t="s">
        <v>6155</v>
      </c>
      <c r="F973" s="24" t="s">
        <v>5775</v>
      </c>
      <c r="G973" s="24" t="s">
        <v>5780</v>
      </c>
      <c r="H973" s="24" t="s">
        <v>6231</v>
      </c>
      <c r="I973" s="24" t="s">
        <v>3353</v>
      </c>
      <c r="J973" s="24" t="s">
        <v>5777</v>
      </c>
    </row>
    <row r="974" spans="1:10" ht="57" x14ac:dyDescent="0.2">
      <c r="A974" s="24" t="s">
        <v>3087</v>
      </c>
      <c r="B974" s="24">
        <v>2026</v>
      </c>
      <c r="C974" s="24" t="s">
        <v>6232</v>
      </c>
      <c r="D974" s="24" t="s">
        <v>6233</v>
      </c>
      <c r="E974" s="24" t="s">
        <v>6155</v>
      </c>
      <c r="F974" s="24" t="s">
        <v>5775</v>
      </c>
      <c r="G974" s="24" t="s">
        <v>5780</v>
      </c>
      <c r="H974" s="24" t="s">
        <v>6234</v>
      </c>
      <c r="I974" s="24" t="s">
        <v>3361</v>
      </c>
      <c r="J974" s="24" t="s">
        <v>5777</v>
      </c>
    </row>
    <row r="975" spans="1:10" ht="57" x14ac:dyDescent="0.2">
      <c r="A975" s="24" t="s">
        <v>3095</v>
      </c>
      <c r="B975" s="24">
        <v>2026</v>
      </c>
      <c r="C975" s="24" t="s">
        <v>6235</v>
      </c>
      <c r="D975" s="24" t="s">
        <v>6236</v>
      </c>
      <c r="E975" s="24" t="s">
        <v>6155</v>
      </c>
      <c r="F975" s="24" t="s">
        <v>5775</v>
      </c>
      <c r="G975" s="24" t="s">
        <v>5780</v>
      </c>
      <c r="H975" s="24" t="s">
        <v>5844</v>
      </c>
      <c r="I975" s="24" t="s">
        <v>3361</v>
      </c>
      <c r="J975" s="24" t="s">
        <v>5777</v>
      </c>
    </row>
    <row r="976" spans="1:10" ht="57" x14ac:dyDescent="0.2">
      <c r="A976" s="24" t="s">
        <v>3102</v>
      </c>
      <c r="B976" s="24">
        <v>2026</v>
      </c>
      <c r="C976" s="24" t="s">
        <v>6237</v>
      </c>
      <c r="D976" s="24" t="s">
        <v>6205</v>
      </c>
      <c r="E976" s="24" t="s">
        <v>6155</v>
      </c>
      <c r="F976" s="24" t="s">
        <v>5775</v>
      </c>
      <c r="G976" s="24" t="s">
        <v>5776</v>
      </c>
      <c r="H976" s="24" t="s">
        <v>6238</v>
      </c>
      <c r="I976" s="24" t="s">
        <v>3510</v>
      </c>
      <c r="J976" s="24" t="s">
        <v>5777</v>
      </c>
    </row>
    <row r="977" spans="1:10" ht="76" x14ac:dyDescent="0.2">
      <c r="A977" s="24" t="s">
        <v>3109</v>
      </c>
      <c r="B977" s="24">
        <v>2026</v>
      </c>
      <c r="C977" s="24" t="s">
        <v>6239</v>
      </c>
      <c r="D977" s="24" t="s">
        <v>6240</v>
      </c>
      <c r="E977" s="24" t="s">
        <v>6155</v>
      </c>
      <c r="F977" s="24" t="s">
        <v>5775</v>
      </c>
      <c r="G977" s="24" t="s">
        <v>5780</v>
      </c>
      <c r="H977" s="24" t="s">
        <v>6241</v>
      </c>
      <c r="I977" s="24" t="s">
        <v>3361</v>
      </c>
      <c r="J977" s="24" t="s">
        <v>5777</v>
      </c>
    </row>
    <row r="978" spans="1:10" ht="76" x14ac:dyDescent="0.2">
      <c r="A978" s="24" t="s">
        <v>3117</v>
      </c>
      <c r="B978" s="24">
        <v>2026</v>
      </c>
      <c r="C978" s="24" t="s">
        <v>6242</v>
      </c>
      <c r="D978" s="24" t="s">
        <v>6243</v>
      </c>
      <c r="E978" s="24" t="s">
        <v>6155</v>
      </c>
      <c r="F978" s="24" t="s">
        <v>5775</v>
      </c>
      <c r="G978" s="24" t="s">
        <v>5776</v>
      </c>
      <c r="H978" s="24" t="s">
        <v>6244</v>
      </c>
      <c r="I978" s="24" t="s">
        <v>3510</v>
      </c>
      <c r="J978" s="24" t="s">
        <v>5777</v>
      </c>
    </row>
    <row r="979" spans="1:10" ht="57" x14ac:dyDescent="0.2">
      <c r="A979" s="24" t="s">
        <v>3125</v>
      </c>
      <c r="B979" s="24">
        <v>2025</v>
      </c>
      <c r="C979" s="24" t="s">
        <v>6245</v>
      </c>
      <c r="D979" s="24" t="s">
        <v>6246</v>
      </c>
      <c r="E979" s="24" t="s">
        <v>6155</v>
      </c>
      <c r="F979" s="24" t="s">
        <v>5775</v>
      </c>
      <c r="G979" s="24" t="s">
        <v>5776</v>
      </c>
      <c r="H979" s="24" t="s">
        <v>6247</v>
      </c>
      <c r="I979" s="24" t="s">
        <v>3510</v>
      </c>
      <c r="J979" s="24" t="s">
        <v>5777</v>
      </c>
    </row>
    <row r="980" spans="1:10" ht="57" x14ac:dyDescent="0.2">
      <c r="A980" s="24" t="s">
        <v>3132</v>
      </c>
      <c r="B980" s="24">
        <v>2026</v>
      </c>
      <c r="C980" s="24" t="s">
        <v>6248</v>
      </c>
      <c r="D980" s="24" t="s">
        <v>6249</v>
      </c>
      <c r="E980" s="24" t="s">
        <v>6155</v>
      </c>
      <c r="F980" s="24" t="s">
        <v>5775</v>
      </c>
      <c r="G980" s="24" t="s">
        <v>5776</v>
      </c>
      <c r="H980" s="24" t="s">
        <v>6250</v>
      </c>
      <c r="I980" s="24" t="s">
        <v>3510</v>
      </c>
      <c r="J980" s="24" t="s">
        <v>5777</v>
      </c>
    </row>
    <row r="981" spans="1:10" ht="57" x14ac:dyDescent="0.2">
      <c r="A981" s="24" t="s">
        <v>3140</v>
      </c>
      <c r="B981" s="24">
        <v>2026</v>
      </c>
      <c r="C981" s="24" t="s">
        <v>6251</v>
      </c>
      <c r="D981" s="24" t="s">
        <v>6252</v>
      </c>
      <c r="E981" s="24" t="s">
        <v>6155</v>
      </c>
      <c r="F981" s="24" t="s">
        <v>5775</v>
      </c>
      <c r="G981" s="24" t="s">
        <v>5776</v>
      </c>
      <c r="H981" s="24" t="s">
        <v>4705</v>
      </c>
      <c r="I981" s="24" t="s">
        <v>3510</v>
      </c>
      <c r="J981" s="24" t="s">
        <v>5777</v>
      </c>
    </row>
    <row r="982" spans="1:10" ht="57" x14ac:dyDescent="0.2">
      <c r="A982" s="24" t="s">
        <v>3147</v>
      </c>
      <c r="B982" s="24">
        <v>2026</v>
      </c>
      <c r="C982" s="24" t="s">
        <v>6253</v>
      </c>
      <c r="D982" s="24" t="s">
        <v>6205</v>
      </c>
      <c r="E982" s="24" t="s">
        <v>6155</v>
      </c>
      <c r="F982" s="24" t="s">
        <v>5775</v>
      </c>
      <c r="G982" s="24" t="s">
        <v>5776</v>
      </c>
      <c r="H982" s="24" t="s">
        <v>6254</v>
      </c>
      <c r="I982" s="24" t="s">
        <v>3510</v>
      </c>
      <c r="J982" s="24" t="s">
        <v>5777</v>
      </c>
    </row>
    <row r="983" spans="1:10" ht="76" x14ac:dyDescent="0.2">
      <c r="A983" s="24" t="s">
        <v>3155</v>
      </c>
      <c r="B983" s="24">
        <v>2026</v>
      </c>
      <c r="C983" s="24" t="s">
        <v>6255</v>
      </c>
      <c r="D983" s="24" t="s">
        <v>6256</v>
      </c>
      <c r="E983" s="24" t="s">
        <v>6155</v>
      </c>
      <c r="F983" s="24" t="s">
        <v>5775</v>
      </c>
      <c r="G983" s="24" t="s">
        <v>5780</v>
      </c>
      <c r="H983" s="24" t="s">
        <v>6257</v>
      </c>
      <c r="I983" s="24" t="s">
        <v>3353</v>
      </c>
      <c r="J983" s="24" t="s">
        <v>5777</v>
      </c>
    </row>
    <row r="984" spans="1:10" ht="57" x14ac:dyDescent="0.2">
      <c r="A984" s="24" t="s">
        <v>3163</v>
      </c>
      <c r="B984" s="24">
        <v>2025</v>
      </c>
      <c r="C984" s="24" t="s">
        <v>6258</v>
      </c>
      <c r="D984" s="24" t="s">
        <v>6259</v>
      </c>
      <c r="E984" s="24" t="s">
        <v>6155</v>
      </c>
      <c r="F984" s="24" t="s">
        <v>5775</v>
      </c>
      <c r="G984" s="24" t="s">
        <v>5776</v>
      </c>
      <c r="H984" s="24" t="s">
        <v>6260</v>
      </c>
      <c r="I984" s="24" t="s">
        <v>3510</v>
      </c>
      <c r="J984" s="24" t="s">
        <v>5777</v>
      </c>
    </row>
    <row r="985" spans="1:10" ht="114" x14ac:dyDescent="0.2">
      <c r="A985" s="24" t="s">
        <v>3171</v>
      </c>
      <c r="B985" s="24">
        <v>2026</v>
      </c>
      <c r="C985" s="24" t="s">
        <v>6261</v>
      </c>
      <c r="D985" s="24" t="s">
        <v>6262</v>
      </c>
      <c r="E985" s="24" t="s">
        <v>6155</v>
      </c>
      <c r="F985" s="24" t="s">
        <v>5775</v>
      </c>
      <c r="G985" s="24" t="s">
        <v>5780</v>
      </c>
      <c r="H985" s="24" t="s">
        <v>6263</v>
      </c>
      <c r="I985" s="24" t="s">
        <v>3353</v>
      </c>
      <c r="J985" s="24" t="s">
        <v>5777</v>
      </c>
    </row>
    <row r="986" spans="1:10" ht="57" x14ac:dyDescent="0.2">
      <c r="A986" s="24" t="s">
        <v>3179</v>
      </c>
      <c r="B986" s="24">
        <v>2026</v>
      </c>
      <c r="C986" s="24" t="s">
        <v>6264</v>
      </c>
      <c r="D986" s="24" t="s">
        <v>6265</v>
      </c>
      <c r="E986" s="24" t="s">
        <v>6155</v>
      </c>
      <c r="F986" s="24" t="s">
        <v>5775</v>
      </c>
      <c r="G986" s="24" t="s">
        <v>5776</v>
      </c>
      <c r="H986" s="24" t="s">
        <v>6266</v>
      </c>
      <c r="I986" s="24" t="s">
        <v>3510</v>
      </c>
      <c r="J986" s="24" t="s">
        <v>5777</v>
      </c>
    </row>
    <row r="987" spans="1:10" ht="95" x14ac:dyDescent="0.2">
      <c r="A987" s="24" t="s">
        <v>3187</v>
      </c>
      <c r="B987" s="24">
        <v>2026</v>
      </c>
      <c r="C987" s="24" t="s">
        <v>6267</v>
      </c>
      <c r="D987" s="24" t="s">
        <v>6268</v>
      </c>
      <c r="E987" s="24" t="s">
        <v>6155</v>
      </c>
      <c r="F987" s="24" t="s">
        <v>5775</v>
      </c>
      <c r="G987" s="24" t="s">
        <v>5780</v>
      </c>
      <c r="H987" s="24" t="s">
        <v>6269</v>
      </c>
      <c r="I987" s="24" t="s">
        <v>3361</v>
      </c>
      <c r="J987" s="24" t="s">
        <v>5777</v>
      </c>
    </row>
    <row r="988" spans="1:10" ht="57" x14ac:dyDescent="0.2">
      <c r="A988" s="24" t="s">
        <v>3194</v>
      </c>
      <c r="B988" s="24">
        <v>2025</v>
      </c>
      <c r="C988" s="24" t="s">
        <v>6270</v>
      </c>
      <c r="D988" s="24" t="s">
        <v>6271</v>
      </c>
      <c r="E988" s="24" t="s">
        <v>6155</v>
      </c>
      <c r="F988" s="24" t="s">
        <v>5775</v>
      </c>
      <c r="G988" s="24" t="s">
        <v>5776</v>
      </c>
      <c r="H988" s="24" t="s">
        <v>6272</v>
      </c>
      <c r="I988" s="24" t="s">
        <v>3510</v>
      </c>
      <c r="J988" s="24" t="s">
        <v>5777</v>
      </c>
    </row>
    <row r="989" spans="1:10" ht="57" x14ac:dyDescent="0.2">
      <c r="A989" s="24" t="s">
        <v>3201</v>
      </c>
      <c r="B989" s="24">
        <v>2026</v>
      </c>
      <c r="C989" s="24" t="s">
        <v>6273</v>
      </c>
      <c r="D989" s="24" t="s">
        <v>6274</v>
      </c>
      <c r="E989" s="24" t="s">
        <v>6155</v>
      </c>
      <c r="F989" s="24" t="s">
        <v>5775</v>
      </c>
      <c r="G989" s="24" t="s">
        <v>5776</v>
      </c>
      <c r="H989" s="24" t="s">
        <v>6275</v>
      </c>
      <c r="I989" s="24" t="s">
        <v>3510</v>
      </c>
      <c r="J989" s="24" t="s">
        <v>5777</v>
      </c>
    </row>
    <row r="990" spans="1:10" ht="57" x14ac:dyDescent="0.2">
      <c r="A990" s="24" t="s">
        <v>3209</v>
      </c>
      <c r="B990" s="24">
        <v>2026</v>
      </c>
      <c r="C990" s="24" t="s">
        <v>6276</v>
      </c>
      <c r="D990" s="24" t="s">
        <v>6277</v>
      </c>
      <c r="E990" s="24" t="s">
        <v>6155</v>
      </c>
      <c r="F990" s="24" t="s">
        <v>5775</v>
      </c>
      <c r="G990" s="24" t="s">
        <v>5776</v>
      </c>
      <c r="H990" s="24" t="s">
        <v>6278</v>
      </c>
      <c r="I990" s="24" t="s">
        <v>3510</v>
      </c>
      <c r="J990" s="24" t="s">
        <v>5777</v>
      </c>
    </row>
    <row r="991" spans="1:10" ht="57" x14ac:dyDescent="0.2">
      <c r="A991" s="24" t="s">
        <v>3217</v>
      </c>
      <c r="B991" s="24">
        <v>2026</v>
      </c>
      <c r="C991" s="24" t="s">
        <v>6279</v>
      </c>
      <c r="D991" s="24" t="s">
        <v>6280</v>
      </c>
      <c r="E991" s="24" t="s">
        <v>6155</v>
      </c>
      <c r="F991" s="24" t="s">
        <v>5775</v>
      </c>
      <c r="G991" s="24" t="s">
        <v>5776</v>
      </c>
      <c r="H991" s="24" t="s">
        <v>6281</v>
      </c>
      <c r="I991" s="24" t="s">
        <v>3510</v>
      </c>
      <c r="J991" s="24" t="s">
        <v>5777</v>
      </c>
    </row>
    <row r="992" spans="1:10" ht="95" x14ac:dyDescent="0.2">
      <c r="A992" s="24" t="s">
        <v>3223</v>
      </c>
      <c r="B992" s="24">
        <v>2026</v>
      </c>
      <c r="C992" s="24" t="s">
        <v>6282</v>
      </c>
      <c r="D992" s="24" t="s">
        <v>6283</v>
      </c>
      <c r="E992" s="24" t="s">
        <v>6155</v>
      </c>
      <c r="F992" s="24" t="s">
        <v>5775</v>
      </c>
      <c r="G992" s="24" t="s">
        <v>5776</v>
      </c>
      <c r="H992" s="24" t="s">
        <v>6284</v>
      </c>
      <c r="I992" s="24" t="s">
        <v>3361</v>
      </c>
      <c r="J992" s="24" t="s">
        <v>5777</v>
      </c>
    </row>
    <row r="993" spans="1:10" ht="57" x14ac:dyDescent="0.2">
      <c r="A993" s="24" t="s">
        <v>3229</v>
      </c>
      <c r="B993" s="24">
        <v>2025</v>
      </c>
      <c r="C993" s="24" t="s">
        <v>6285</v>
      </c>
      <c r="D993" s="24" t="s">
        <v>6286</v>
      </c>
      <c r="E993" s="24" t="s">
        <v>6155</v>
      </c>
      <c r="F993" s="24" t="s">
        <v>5775</v>
      </c>
      <c r="G993" s="24" t="s">
        <v>5776</v>
      </c>
      <c r="H993" s="24" t="s">
        <v>6287</v>
      </c>
      <c r="I993" s="24" t="s">
        <v>3510</v>
      </c>
      <c r="J993" s="24" t="s">
        <v>5777</v>
      </c>
    </row>
    <row r="994" spans="1:10" ht="76" x14ac:dyDescent="0.2">
      <c r="A994" s="24" t="s">
        <v>3236</v>
      </c>
      <c r="B994" s="24">
        <v>2025</v>
      </c>
      <c r="C994" s="24" t="s">
        <v>6288</v>
      </c>
      <c r="D994" s="24" t="s">
        <v>6289</v>
      </c>
      <c r="E994" s="24" t="s">
        <v>6155</v>
      </c>
      <c r="F994" s="24" t="s">
        <v>5775</v>
      </c>
      <c r="G994" s="24" t="s">
        <v>5776</v>
      </c>
      <c r="H994" s="24" t="s">
        <v>6290</v>
      </c>
      <c r="I994" s="24" t="s">
        <v>3361</v>
      </c>
      <c r="J994" s="24" t="s">
        <v>5777</v>
      </c>
    </row>
    <row r="995" spans="1:10" ht="95" x14ac:dyDescent="0.2">
      <c r="A995" s="24" t="s">
        <v>3243</v>
      </c>
      <c r="B995" s="24">
        <v>2026</v>
      </c>
      <c r="C995" s="24" t="s">
        <v>6291</v>
      </c>
      <c r="D995" s="24" t="s">
        <v>6217</v>
      </c>
      <c r="E995" s="24" t="s">
        <v>6155</v>
      </c>
      <c r="F995" s="24" t="s">
        <v>5775</v>
      </c>
      <c r="G995" s="24" t="s">
        <v>5776</v>
      </c>
      <c r="H995" s="24" t="s">
        <v>6292</v>
      </c>
      <c r="I995" s="24" t="s">
        <v>3361</v>
      </c>
      <c r="J995" s="24" t="s">
        <v>5777</v>
      </c>
    </row>
    <row r="996" spans="1:10" ht="57" x14ac:dyDescent="0.2">
      <c r="A996" s="24" t="s">
        <v>3248</v>
      </c>
      <c r="B996" s="24">
        <v>2024</v>
      </c>
      <c r="C996" s="24" t="s">
        <v>6293</v>
      </c>
      <c r="D996" s="24" t="s">
        <v>6294</v>
      </c>
      <c r="E996" s="24" t="s">
        <v>6155</v>
      </c>
      <c r="F996" s="24" t="s">
        <v>5775</v>
      </c>
      <c r="G996" s="24" t="s">
        <v>5776</v>
      </c>
      <c r="H996" s="24" t="s">
        <v>6295</v>
      </c>
      <c r="I996" s="24" t="s">
        <v>3510</v>
      </c>
      <c r="J996" s="24" t="s">
        <v>5777</v>
      </c>
    </row>
    <row r="997" spans="1:10" ht="57" x14ac:dyDescent="0.2">
      <c r="A997" s="24" t="s">
        <v>3256</v>
      </c>
      <c r="B997" s="24">
        <v>2024</v>
      </c>
      <c r="C997" s="24" t="s">
        <v>6296</v>
      </c>
      <c r="D997" s="24" t="s">
        <v>6297</v>
      </c>
      <c r="E997" s="24" t="s">
        <v>6155</v>
      </c>
      <c r="F997" s="24" t="s">
        <v>5775</v>
      </c>
      <c r="G997" s="24" t="s">
        <v>5776</v>
      </c>
      <c r="H997" s="24" t="s">
        <v>6298</v>
      </c>
      <c r="I997" s="24" t="s">
        <v>3510</v>
      </c>
      <c r="J997" s="24" t="s">
        <v>5777</v>
      </c>
    </row>
    <row r="998" spans="1:10" ht="57" x14ac:dyDescent="0.2">
      <c r="A998" s="24" t="s">
        <v>3264</v>
      </c>
      <c r="B998" s="24">
        <v>2024</v>
      </c>
      <c r="C998" s="24" t="s">
        <v>6299</v>
      </c>
      <c r="D998" s="24" t="s">
        <v>6259</v>
      </c>
      <c r="E998" s="24" t="s">
        <v>6155</v>
      </c>
      <c r="F998" s="24" t="s">
        <v>5775</v>
      </c>
      <c r="G998" s="24" t="s">
        <v>5776</v>
      </c>
      <c r="H998" s="24" t="s">
        <v>6300</v>
      </c>
      <c r="I998" s="24" t="s">
        <v>3510</v>
      </c>
      <c r="J998" s="24" t="s">
        <v>5777</v>
      </c>
    </row>
    <row r="999" spans="1:10" ht="57" x14ac:dyDescent="0.2">
      <c r="A999" s="24" t="s">
        <v>3272</v>
      </c>
      <c r="B999" s="24">
        <v>2024</v>
      </c>
      <c r="C999" s="24" t="s">
        <v>6301</v>
      </c>
      <c r="D999" s="24" t="s">
        <v>6302</v>
      </c>
      <c r="E999" s="24" t="s">
        <v>6155</v>
      </c>
      <c r="F999" s="24" t="s">
        <v>5775</v>
      </c>
      <c r="G999" s="24" t="s">
        <v>5776</v>
      </c>
      <c r="H999" s="24" t="s">
        <v>6303</v>
      </c>
      <c r="I999" s="24" t="s">
        <v>3510</v>
      </c>
      <c r="J999" s="24" t="s">
        <v>5777</v>
      </c>
    </row>
    <row r="1000" spans="1:10" ht="57" x14ac:dyDescent="0.2">
      <c r="A1000" s="24" t="s">
        <v>3278</v>
      </c>
      <c r="B1000" s="24">
        <v>2025</v>
      </c>
      <c r="C1000" s="24" t="s">
        <v>6304</v>
      </c>
      <c r="D1000" s="24" t="s">
        <v>6259</v>
      </c>
      <c r="E1000" s="24" t="s">
        <v>6155</v>
      </c>
      <c r="F1000" s="24" t="s">
        <v>5775</v>
      </c>
      <c r="G1000" s="24" t="s">
        <v>5776</v>
      </c>
      <c r="H1000" s="24" t="s">
        <v>6305</v>
      </c>
      <c r="I1000" s="24" t="s">
        <v>3510</v>
      </c>
      <c r="J1000" s="24" t="s">
        <v>5777</v>
      </c>
    </row>
    <row r="1001" spans="1:10" ht="76" x14ac:dyDescent="0.2">
      <c r="A1001" s="24" t="s">
        <v>3286</v>
      </c>
      <c r="B1001" s="24">
        <v>2025</v>
      </c>
      <c r="C1001" s="24" t="s">
        <v>6306</v>
      </c>
      <c r="D1001" s="24" t="s">
        <v>6307</v>
      </c>
      <c r="E1001" s="24" t="s">
        <v>6155</v>
      </c>
      <c r="F1001" s="24" t="s">
        <v>5775</v>
      </c>
      <c r="G1001" s="24" t="s">
        <v>5780</v>
      </c>
      <c r="H1001" s="24" t="s">
        <v>6308</v>
      </c>
      <c r="I1001" s="24" t="s">
        <v>3353</v>
      </c>
      <c r="J1001" s="24" t="s">
        <v>5777</v>
      </c>
    </row>
    <row r="1002" spans="1:10" ht="76" x14ac:dyDescent="0.2">
      <c r="A1002" s="24" t="s">
        <v>3290</v>
      </c>
      <c r="B1002" s="24">
        <v>2024</v>
      </c>
      <c r="C1002" s="24" t="s">
        <v>6309</v>
      </c>
      <c r="D1002" s="24" t="s">
        <v>6310</v>
      </c>
      <c r="E1002" s="24" t="s">
        <v>6155</v>
      </c>
      <c r="F1002" s="24" t="s">
        <v>5775</v>
      </c>
      <c r="G1002" s="24" t="s">
        <v>5780</v>
      </c>
      <c r="H1002" s="24" t="s">
        <v>6311</v>
      </c>
      <c r="I1002" s="24" t="s">
        <v>3353</v>
      </c>
      <c r="J1002" s="24" t="s">
        <v>5777</v>
      </c>
    </row>
    <row r="1003" spans="1:10" ht="57" x14ac:dyDescent="0.2">
      <c r="A1003" s="24" t="s">
        <v>3298</v>
      </c>
      <c r="B1003" s="24">
        <v>2024</v>
      </c>
      <c r="C1003" s="24" t="s">
        <v>6312</v>
      </c>
      <c r="D1003" s="24" t="s">
        <v>6313</v>
      </c>
      <c r="E1003" s="24" t="s">
        <v>6155</v>
      </c>
      <c r="F1003" s="24" t="s">
        <v>5775</v>
      </c>
      <c r="G1003" s="24" t="s">
        <v>5776</v>
      </c>
      <c r="H1003" s="24" t="s">
        <v>6314</v>
      </c>
      <c r="I1003" s="24" t="s">
        <v>3510</v>
      </c>
      <c r="J1003" s="24" t="s">
        <v>5777</v>
      </c>
    </row>
    <row r="1004" spans="1:10" ht="76" x14ac:dyDescent="0.2">
      <c r="A1004" s="24" t="s">
        <v>3306</v>
      </c>
      <c r="B1004" s="24">
        <v>2024</v>
      </c>
      <c r="C1004" s="24" t="s">
        <v>6315</v>
      </c>
      <c r="D1004" s="24" t="s">
        <v>6316</v>
      </c>
      <c r="E1004" s="24" t="s">
        <v>6155</v>
      </c>
      <c r="F1004" s="24" t="s">
        <v>5775</v>
      </c>
      <c r="G1004" s="24" t="s">
        <v>5776</v>
      </c>
      <c r="H1004" s="24" t="s">
        <v>3600</v>
      </c>
      <c r="I1004" s="24" t="s">
        <v>3361</v>
      </c>
      <c r="J1004" s="24" t="s">
        <v>5777</v>
      </c>
    </row>
    <row r="1005" spans="1:10" ht="95" x14ac:dyDescent="0.2">
      <c r="A1005" s="24" t="s">
        <v>3313</v>
      </c>
      <c r="B1005" s="24">
        <v>2026</v>
      </c>
      <c r="C1005" s="24" t="s">
        <v>6317</v>
      </c>
      <c r="D1005" s="24" t="s">
        <v>6318</v>
      </c>
      <c r="E1005" s="24" t="s">
        <v>6155</v>
      </c>
      <c r="F1005" s="24" t="s">
        <v>5775</v>
      </c>
      <c r="G1005" s="24" t="s">
        <v>5780</v>
      </c>
      <c r="H1005" s="24" t="s">
        <v>6319</v>
      </c>
      <c r="I1005" s="24" t="s">
        <v>3353</v>
      </c>
      <c r="J1005" s="24" t="s">
        <v>5777</v>
      </c>
    </row>
    <row r="1006" spans="1:10" ht="57" x14ac:dyDescent="0.2">
      <c r="A1006" s="24" t="s">
        <v>3318</v>
      </c>
      <c r="B1006" s="24">
        <v>2025</v>
      </c>
      <c r="C1006" s="24" t="s">
        <v>6320</v>
      </c>
      <c r="D1006" s="24" t="s">
        <v>6321</v>
      </c>
      <c r="E1006" s="24" t="s">
        <v>6155</v>
      </c>
      <c r="F1006" s="24" t="s">
        <v>5775</v>
      </c>
      <c r="G1006" s="24" t="s">
        <v>5776</v>
      </c>
      <c r="H1006" s="24" t="s">
        <v>6322</v>
      </c>
      <c r="I1006" s="24" t="s">
        <v>3510</v>
      </c>
      <c r="J1006" s="24" t="s">
        <v>5777</v>
      </c>
    </row>
    <row r="1007" spans="1:10" ht="76" x14ac:dyDescent="0.2">
      <c r="A1007" s="24" t="s">
        <v>3325</v>
      </c>
      <c r="B1007" s="24">
        <v>2026</v>
      </c>
      <c r="C1007" s="24" t="s">
        <v>6323</v>
      </c>
      <c r="D1007" s="24" t="s">
        <v>6324</v>
      </c>
      <c r="E1007" s="24" t="s">
        <v>6155</v>
      </c>
      <c r="F1007" s="24" t="s">
        <v>5775</v>
      </c>
      <c r="G1007" s="24" t="s">
        <v>5780</v>
      </c>
      <c r="H1007" s="24" t="s">
        <v>6325</v>
      </c>
      <c r="I1007" s="24" t="s">
        <v>3361</v>
      </c>
      <c r="J1007" s="24" t="s">
        <v>5777</v>
      </c>
    </row>
    <row r="1008" spans="1:10" ht="114" x14ac:dyDescent="0.2">
      <c r="A1008" s="24" t="s">
        <v>3332</v>
      </c>
      <c r="B1008" s="24">
        <v>2026</v>
      </c>
      <c r="C1008" s="24" t="s">
        <v>6326</v>
      </c>
      <c r="D1008" s="24" t="s">
        <v>6327</v>
      </c>
      <c r="E1008" s="24" t="s">
        <v>6155</v>
      </c>
      <c r="F1008" s="24" t="s">
        <v>5775</v>
      </c>
      <c r="G1008" s="24" t="s">
        <v>5780</v>
      </c>
      <c r="H1008" s="24" t="s">
        <v>3941</v>
      </c>
      <c r="I1008" s="24" t="s">
        <v>3353</v>
      </c>
      <c r="J1008" s="24" t="s">
        <v>5777</v>
      </c>
    </row>
    <row r="1009" spans="1:10" ht="76" x14ac:dyDescent="0.2">
      <c r="A1009" s="24" t="s">
        <v>2825</v>
      </c>
      <c r="B1009" s="24">
        <v>2025</v>
      </c>
      <c r="C1009" s="24" t="s">
        <v>6328</v>
      </c>
      <c r="D1009" s="24" t="s">
        <v>6329</v>
      </c>
      <c r="E1009" s="24" t="s">
        <v>6330</v>
      </c>
      <c r="F1009" s="24" t="s">
        <v>5775</v>
      </c>
      <c r="G1009" s="24" t="s">
        <v>5780</v>
      </c>
      <c r="H1009" s="24" t="s">
        <v>6331</v>
      </c>
      <c r="I1009" s="24" t="s">
        <v>3353</v>
      </c>
      <c r="J1009" s="24" t="s">
        <v>5777</v>
      </c>
    </row>
    <row r="1010" spans="1:10" ht="95" x14ac:dyDescent="0.2">
      <c r="A1010" s="24" t="s">
        <v>2833</v>
      </c>
      <c r="B1010" s="24">
        <v>2026</v>
      </c>
      <c r="C1010" s="24" t="s">
        <v>6332</v>
      </c>
      <c r="D1010" s="24" t="s">
        <v>6333</v>
      </c>
      <c r="E1010" s="24" t="s">
        <v>6330</v>
      </c>
      <c r="F1010" s="24" t="s">
        <v>5775</v>
      </c>
      <c r="G1010" s="24" t="s">
        <v>5780</v>
      </c>
      <c r="H1010" s="24" t="s">
        <v>6334</v>
      </c>
      <c r="I1010" s="24" t="s">
        <v>3353</v>
      </c>
      <c r="J1010" s="24" t="s">
        <v>5777</v>
      </c>
    </row>
    <row r="1011" spans="1:10" ht="57" x14ac:dyDescent="0.2">
      <c r="A1011" s="24" t="s">
        <v>2841</v>
      </c>
      <c r="B1011" s="24">
        <v>2026</v>
      </c>
      <c r="C1011" s="24" t="s">
        <v>6335</v>
      </c>
      <c r="D1011" s="24" t="s">
        <v>6336</v>
      </c>
      <c r="E1011" s="24" t="s">
        <v>6330</v>
      </c>
      <c r="F1011" s="24" t="s">
        <v>5775</v>
      </c>
      <c r="G1011" s="24" t="s">
        <v>5776</v>
      </c>
      <c r="H1011" s="24" t="s">
        <v>6337</v>
      </c>
      <c r="I1011" s="24" t="s">
        <v>3510</v>
      </c>
      <c r="J1011" s="24" t="s">
        <v>5777</v>
      </c>
    </row>
    <row r="1012" spans="1:10" ht="114" x14ac:dyDescent="0.2">
      <c r="A1012" s="24" t="s">
        <v>2881</v>
      </c>
      <c r="B1012" s="24">
        <v>2026</v>
      </c>
      <c r="C1012" s="24" t="s">
        <v>6338</v>
      </c>
      <c r="D1012" s="24" t="s">
        <v>6339</v>
      </c>
      <c r="E1012" s="24" t="s">
        <v>6330</v>
      </c>
      <c r="F1012" s="24" t="s">
        <v>5775</v>
      </c>
      <c r="G1012" s="24" t="s">
        <v>5780</v>
      </c>
      <c r="H1012" s="24" t="s">
        <v>6340</v>
      </c>
      <c r="I1012" s="24" t="s">
        <v>3353</v>
      </c>
      <c r="J1012" s="24" t="s">
        <v>5777</v>
      </c>
    </row>
    <row r="1013" spans="1:10" ht="95" x14ac:dyDescent="0.2">
      <c r="A1013" s="24" t="s">
        <v>2889</v>
      </c>
      <c r="B1013" s="24">
        <v>2026</v>
      </c>
      <c r="C1013" s="24" t="s">
        <v>6341</v>
      </c>
      <c r="D1013" s="24" t="s">
        <v>6342</v>
      </c>
      <c r="E1013" s="24" t="s">
        <v>6330</v>
      </c>
      <c r="F1013" s="24" t="s">
        <v>5775</v>
      </c>
      <c r="G1013" s="24" t="s">
        <v>5780</v>
      </c>
      <c r="H1013" s="24" t="s">
        <v>6343</v>
      </c>
      <c r="I1013" s="24" t="s">
        <v>3353</v>
      </c>
      <c r="J1013" s="24" t="s">
        <v>5777</v>
      </c>
    </row>
    <row r="1014" spans="1:10" ht="76" x14ac:dyDescent="0.2">
      <c r="A1014" s="24" t="s">
        <v>2889</v>
      </c>
      <c r="B1014" s="24">
        <v>2026</v>
      </c>
      <c r="C1014" s="24" t="s">
        <v>6344</v>
      </c>
      <c r="D1014" s="24" t="s">
        <v>6345</v>
      </c>
      <c r="E1014" s="24" t="s">
        <v>6330</v>
      </c>
      <c r="F1014" s="24" t="s">
        <v>5775</v>
      </c>
      <c r="G1014" s="24" t="s">
        <v>5780</v>
      </c>
      <c r="H1014" s="24" t="s">
        <v>6346</v>
      </c>
      <c r="I1014" s="24" t="s">
        <v>3353</v>
      </c>
      <c r="J1014" s="24" t="s">
        <v>5777</v>
      </c>
    </row>
    <row r="1015" spans="1:10" ht="95" x14ac:dyDescent="0.2">
      <c r="A1015" s="24" t="s">
        <v>2897</v>
      </c>
      <c r="B1015" s="24">
        <v>2026</v>
      </c>
      <c r="C1015" s="24" t="s">
        <v>6347</v>
      </c>
      <c r="D1015" s="24" t="s">
        <v>6348</v>
      </c>
      <c r="E1015" s="24" t="s">
        <v>6330</v>
      </c>
      <c r="F1015" s="24" t="s">
        <v>5775</v>
      </c>
      <c r="G1015" s="24" t="s">
        <v>5780</v>
      </c>
      <c r="H1015" s="24" t="s">
        <v>6349</v>
      </c>
      <c r="I1015" s="24" t="s">
        <v>3353</v>
      </c>
      <c r="J1015" s="24" t="s">
        <v>5777</v>
      </c>
    </row>
    <row r="1016" spans="1:10" ht="76" x14ac:dyDescent="0.2">
      <c r="A1016" s="24" t="s">
        <v>2904</v>
      </c>
      <c r="B1016" s="24">
        <v>2026</v>
      </c>
      <c r="C1016" s="24" t="s">
        <v>6350</v>
      </c>
      <c r="D1016" s="24" t="s">
        <v>6351</v>
      </c>
      <c r="E1016" s="24" t="s">
        <v>6330</v>
      </c>
      <c r="F1016" s="24" t="s">
        <v>5775</v>
      </c>
      <c r="G1016" s="24" t="s">
        <v>5780</v>
      </c>
      <c r="H1016" s="24" t="s">
        <v>6352</v>
      </c>
      <c r="I1016" s="24" t="s">
        <v>3353</v>
      </c>
      <c r="J1016" s="24" t="s">
        <v>5777</v>
      </c>
    </row>
    <row r="1017" spans="1:10" ht="76" x14ac:dyDescent="0.2">
      <c r="A1017" s="24" t="s">
        <v>2912</v>
      </c>
      <c r="B1017" s="24">
        <v>2026</v>
      </c>
      <c r="C1017" s="24" t="s">
        <v>6353</v>
      </c>
      <c r="D1017" s="24" t="s">
        <v>6354</v>
      </c>
      <c r="E1017" s="24" t="s">
        <v>6330</v>
      </c>
      <c r="F1017" s="24" t="s">
        <v>5775</v>
      </c>
      <c r="G1017" s="24" t="s">
        <v>5780</v>
      </c>
      <c r="H1017" s="24" t="s">
        <v>6355</v>
      </c>
      <c r="I1017" s="24" t="s">
        <v>3353</v>
      </c>
      <c r="J1017" s="24" t="s">
        <v>5777</v>
      </c>
    </row>
    <row r="1018" spans="1:10" ht="133" x14ac:dyDescent="0.2">
      <c r="A1018" s="24" t="s">
        <v>2920</v>
      </c>
      <c r="B1018" s="24">
        <v>2026</v>
      </c>
      <c r="C1018" s="24" t="s">
        <v>6356</v>
      </c>
      <c r="D1018" s="24" t="s">
        <v>6357</v>
      </c>
      <c r="E1018" s="24" t="s">
        <v>6330</v>
      </c>
      <c r="F1018" s="24" t="s">
        <v>5775</v>
      </c>
      <c r="G1018" s="24" t="s">
        <v>5780</v>
      </c>
      <c r="H1018" s="24" t="s">
        <v>6358</v>
      </c>
      <c r="I1018" s="24" t="s">
        <v>3353</v>
      </c>
      <c r="J1018" s="24" t="s">
        <v>5777</v>
      </c>
    </row>
    <row r="1019" spans="1:10" ht="95" x14ac:dyDescent="0.2">
      <c r="A1019" s="24" t="s">
        <v>2928</v>
      </c>
      <c r="B1019" s="24">
        <v>2025</v>
      </c>
      <c r="C1019" s="24" t="s">
        <v>6359</v>
      </c>
      <c r="D1019" s="24" t="s">
        <v>6360</v>
      </c>
      <c r="E1019" s="24" t="s">
        <v>6330</v>
      </c>
      <c r="F1019" s="24" t="s">
        <v>5775</v>
      </c>
      <c r="G1019" s="24" t="s">
        <v>5780</v>
      </c>
      <c r="H1019" s="24" t="s">
        <v>4624</v>
      </c>
      <c r="I1019" s="24" t="s">
        <v>3353</v>
      </c>
      <c r="J1019" s="24" t="s">
        <v>5777</v>
      </c>
    </row>
    <row r="1020" spans="1:10" ht="95" x14ac:dyDescent="0.2">
      <c r="A1020" s="24" t="s">
        <v>2936</v>
      </c>
      <c r="B1020" s="24">
        <v>2025</v>
      </c>
      <c r="C1020" s="24" t="s">
        <v>6361</v>
      </c>
      <c r="D1020" s="24" t="s">
        <v>6362</v>
      </c>
      <c r="E1020" s="24" t="s">
        <v>6330</v>
      </c>
      <c r="F1020" s="24" t="s">
        <v>5775</v>
      </c>
      <c r="G1020" s="24" t="s">
        <v>5776</v>
      </c>
      <c r="H1020" s="24" t="s">
        <v>6363</v>
      </c>
      <c r="I1020" s="24" t="s">
        <v>3510</v>
      </c>
      <c r="J1020" s="24" t="s">
        <v>5777</v>
      </c>
    </row>
    <row r="1021" spans="1:10" ht="95" x14ac:dyDescent="0.2">
      <c r="A1021" s="24" t="s">
        <v>2944</v>
      </c>
      <c r="B1021" s="24">
        <v>2026</v>
      </c>
      <c r="C1021" s="24" t="s">
        <v>6364</v>
      </c>
      <c r="D1021" s="24" t="s">
        <v>6365</v>
      </c>
      <c r="E1021" s="24" t="s">
        <v>6330</v>
      </c>
      <c r="F1021" s="24" t="s">
        <v>5775</v>
      </c>
      <c r="G1021" s="24" t="s">
        <v>5780</v>
      </c>
      <c r="H1021" s="24" t="s">
        <v>6366</v>
      </c>
      <c r="I1021" s="24" t="s">
        <v>3353</v>
      </c>
      <c r="J1021" s="24" t="s">
        <v>5777</v>
      </c>
    </row>
    <row r="1022" spans="1:10" ht="57" x14ac:dyDescent="0.2">
      <c r="A1022" s="24" t="s">
        <v>2952</v>
      </c>
      <c r="B1022" s="24">
        <v>2026</v>
      </c>
      <c r="C1022" s="24" t="s">
        <v>6367</v>
      </c>
      <c r="D1022" s="24" t="s">
        <v>6368</v>
      </c>
      <c r="E1022" s="24" t="s">
        <v>6330</v>
      </c>
      <c r="F1022" s="24" t="s">
        <v>5775</v>
      </c>
      <c r="G1022" s="24" t="s">
        <v>5776</v>
      </c>
      <c r="H1022" s="24" t="s">
        <v>6369</v>
      </c>
      <c r="I1022" s="24" t="s">
        <v>3510</v>
      </c>
      <c r="J1022" s="24" t="s">
        <v>5777</v>
      </c>
    </row>
    <row r="1023" spans="1:10" ht="76" x14ac:dyDescent="0.2">
      <c r="A1023" s="24" t="s">
        <v>2959</v>
      </c>
      <c r="B1023" s="24">
        <v>2025</v>
      </c>
      <c r="C1023" s="24" t="s">
        <v>6370</v>
      </c>
      <c r="D1023" s="24" t="s">
        <v>6371</v>
      </c>
      <c r="E1023" s="24" t="s">
        <v>6330</v>
      </c>
      <c r="F1023" s="24" t="s">
        <v>5775</v>
      </c>
      <c r="G1023" s="24" t="s">
        <v>5776</v>
      </c>
      <c r="H1023" s="24" t="s">
        <v>6372</v>
      </c>
      <c r="I1023" s="24" t="s">
        <v>3510</v>
      </c>
      <c r="J1023" s="24" t="s">
        <v>5777</v>
      </c>
    </row>
    <row r="1024" spans="1:10" ht="95" x14ac:dyDescent="0.2">
      <c r="A1024" s="24" t="s">
        <v>3020</v>
      </c>
      <c r="B1024" s="24">
        <v>2026</v>
      </c>
      <c r="C1024" s="24" t="s">
        <v>6373</v>
      </c>
      <c r="D1024" s="24" t="s">
        <v>6374</v>
      </c>
      <c r="E1024" s="24" t="s">
        <v>6330</v>
      </c>
      <c r="F1024" s="24" t="s">
        <v>5775</v>
      </c>
      <c r="G1024" s="24" t="s">
        <v>5780</v>
      </c>
      <c r="H1024" s="24" t="s">
        <v>6375</v>
      </c>
      <c r="I1024" s="24" t="s">
        <v>3353</v>
      </c>
      <c r="J1024" s="24" t="s">
        <v>5777</v>
      </c>
    </row>
    <row r="1025" spans="1:10" ht="95" x14ac:dyDescent="0.2">
      <c r="A1025" s="24" t="s">
        <v>3028</v>
      </c>
      <c r="B1025" s="24">
        <v>2026</v>
      </c>
      <c r="C1025" s="24" t="s">
        <v>6376</v>
      </c>
      <c r="D1025" s="24" t="s">
        <v>6377</v>
      </c>
      <c r="E1025" s="24" t="s">
        <v>6330</v>
      </c>
      <c r="F1025" s="24" t="s">
        <v>5775</v>
      </c>
      <c r="G1025" s="24" t="s">
        <v>5780</v>
      </c>
      <c r="H1025" s="24" t="s">
        <v>6378</v>
      </c>
      <c r="I1025" s="24" t="s">
        <v>3353</v>
      </c>
      <c r="J1025" s="24" t="s">
        <v>5777</v>
      </c>
    </row>
    <row r="1026" spans="1:10" ht="57" x14ac:dyDescent="0.2">
      <c r="A1026" s="24" t="s">
        <v>3051</v>
      </c>
      <c r="B1026" s="24">
        <v>2025</v>
      </c>
      <c r="C1026" s="24" t="s">
        <v>6379</v>
      </c>
      <c r="D1026" s="24" t="s">
        <v>6380</v>
      </c>
      <c r="E1026" s="24" t="s">
        <v>6330</v>
      </c>
      <c r="F1026" s="24" t="s">
        <v>5775</v>
      </c>
      <c r="G1026" s="24" t="s">
        <v>5780</v>
      </c>
      <c r="H1026" s="24" t="s">
        <v>5941</v>
      </c>
      <c r="I1026" s="24" t="s">
        <v>3361</v>
      </c>
      <c r="J1026" s="24" t="s">
        <v>5777</v>
      </c>
    </row>
    <row r="1027" spans="1:10" ht="95" x14ac:dyDescent="0.2">
      <c r="A1027" s="24" t="s">
        <v>3058</v>
      </c>
      <c r="B1027" s="24">
        <v>2025</v>
      </c>
      <c r="C1027" s="24" t="s">
        <v>6381</v>
      </c>
      <c r="D1027" s="24" t="s">
        <v>6382</v>
      </c>
      <c r="E1027" s="24" t="s">
        <v>6330</v>
      </c>
      <c r="F1027" s="24" t="s">
        <v>5775</v>
      </c>
      <c r="G1027" s="24" t="s">
        <v>5780</v>
      </c>
      <c r="H1027" s="24" t="s">
        <v>5835</v>
      </c>
      <c r="I1027" s="24" t="s">
        <v>3361</v>
      </c>
      <c r="J1027" s="24" t="s">
        <v>5777</v>
      </c>
    </row>
    <row r="1028" spans="1:10" ht="76" x14ac:dyDescent="0.2">
      <c r="A1028" s="24" t="s">
        <v>3080</v>
      </c>
      <c r="B1028" s="24">
        <v>2026</v>
      </c>
      <c r="C1028" s="24" t="s">
        <v>6383</v>
      </c>
      <c r="D1028" s="24" t="s">
        <v>6384</v>
      </c>
      <c r="E1028" s="24" t="s">
        <v>6330</v>
      </c>
      <c r="F1028" s="24" t="s">
        <v>5775</v>
      </c>
      <c r="G1028" s="24" t="s">
        <v>5780</v>
      </c>
      <c r="H1028" s="24" t="s">
        <v>6385</v>
      </c>
      <c r="I1028" s="24" t="s">
        <v>3353</v>
      </c>
      <c r="J1028" s="24" t="s">
        <v>5777</v>
      </c>
    </row>
    <row r="1029" spans="1:10" ht="95" x14ac:dyDescent="0.2">
      <c r="A1029" s="24" t="s">
        <v>3102</v>
      </c>
      <c r="B1029" s="24">
        <v>2026</v>
      </c>
      <c r="C1029" s="24" t="s">
        <v>6386</v>
      </c>
      <c r="D1029" s="24" t="s">
        <v>6387</v>
      </c>
      <c r="E1029" s="24" t="s">
        <v>6330</v>
      </c>
      <c r="F1029" s="24" t="s">
        <v>5775</v>
      </c>
      <c r="G1029" s="24" t="s">
        <v>5780</v>
      </c>
      <c r="H1029" s="24" t="s">
        <v>6388</v>
      </c>
      <c r="I1029" s="24" t="s">
        <v>3353</v>
      </c>
      <c r="J1029" s="24" t="s">
        <v>5777</v>
      </c>
    </row>
    <row r="1030" spans="1:10" ht="95" x14ac:dyDescent="0.2">
      <c r="A1030" s="24" t="s">
        <v>3109</v>
      </c>
      <c r="B1030" s="24">
        <v>2026</v>
      </c>
      <c r="C1030" s="24" t="s">
        <v>6389</v>
      </c>
      <c r="D1030" s="24" t="s">
        <v>6390</v>
      </c>
      <c r="E1030" s="24" t="s">
        <v>6330</v>
      </c>
      <c r="F1030" s="24" t="s">
        <v>5775</v>
      </c>
      <c r="G1030" s="24" t="s">
        <v>5780</v>
      </c>
      <c r="H1030" s="24" t="s">
        <v>6391</v>
      </c>
      <c r="I1030" s="24" t="s">
        <v>3353</v>
      </c>
      <c r="J1030" s="24" t="s">
        <v>5777</v>
      </c>
    </row>
    <row r="1031" spans="1:10" ht="95" x14ac:dyDescent="0.2">
      <c r="A1031" s="24" t="s">
        <v>3132</v>
      </c>
      <c r="B1031" s="24">
        <v>2026</v>
      </c>
      <c r="C1031" s="24" t="s">
        <v>6392</v>
      </c>
      <c r="D1031" s="24" t="s">
        <v>6393</v>
      </c>
      <c r="E1031" s="24" t="s">
        <v>6330</v>
      </c>
      <c r="F1031" s="24" t="s">
        <v>5775</v>
      </c>
      <c r="G1031" s="24" t="s">
        <v>5780</v>
      </c>
      <c r="H1031" s="24" t="s">
        <v>6394</v>
      </c>
      <c r="I1031" s="24" t="s">
        <v>3353</v>
      </c>
      <c r="J1031" s="24" t="s">
        <v>5777</v>
      </c>
    </row>
    <row r="1032" spans="1:10" ht="95" x14ac:dyDescent="0.2">
      <c r="A1032" s="24" t="s">
        <v>3155</v>
      </c>
      <c r="B1032" s="24">
        <v>2026</v>
      </c>
      <c r="C1032" s="24" t="s">
        <v>6395</v>
      </c>
      <c r="D1032" s="24" t="s">
        <v>6396</v>
      </c>
      <c r="E1032" s="24" t="s">
        <v>6330</v>
      </c>
      <c r="F1032" s="24" t="s">
        <v>5775</v>
      </c>
      <c r="G1032" s="24" t="s">
        <v>5780</v>
      </c>
      <c r="H1032" s="24" t="s">
        <v>6397</v>
      </c>
      <c r="I1032" s="24" t="s">
        <v>3353</v>
      </c>
      <c r="J1032" s="24" t="s">
        <v>5777</v>
      </c>
    </row>
    <row r="1033" spans="1:10" ht="95" x14ac:dyDescent="0.2">
      <c r="A1033" s="24" t="s">
        <v>3171</v>
      </c>
      <c r="B1033" s="24">
        <v>2026</v>
      </c>
      <c r="C1033" s="24" t="s">
        <v>6398</v>
      </c>
      <c r="D1033" s="24" t="s">
        <v>6399</v>
      </c>
      <c r="E1033" s="24" t="s">
        <v>6330</v>
      </c>
      <c r="F1033" s="24" t="s">
        <v>5775</v>
      </c>
      <c r="G1033" s="24" t="s">
        <v>5780</v>
      </c>
      <c r="H1033" s="24" t="s">
        <v>6400</v>
      </c>
      <c r="I1033" s="24" t="s">
        <v>3353</v>
      </c>
      <c r="J1033" s="24" t="s">
        <v>5777</v>
      </c>
    </row>
    <row r="1034" spans="1:10" ht="76" x14ac:dyDescent="0.2">
      <c r="A1034" s="24" t="s">
        <v>3179</v>
      </c>
      <c r="B1034" s="24">
        <v>2026</v>
      </c>
      <c r="C1034" s="24" t="s">
        <v>6401</v>
      </c>
      <c r="D1034" s="24" t="s">
        <v>6402</v>
      </c>
      <c r="E1034" s="24" t="s">
        <v>6330</v>
      </c>
      <c r="F1034" s="24" t="s">
        <v>5775</v>
      </c>
      <c r="G1034" s="24" t="s">
        <v>5780</v>
      </c>
      <c r="H1034" s="24" t="s">
        <v>6403</v>
      </c>
      <c r="I1034" s="24" t="s">
        <v>3353</v>
      </c>
      <c r="J1034" s="24" t="s">
        <v>5777</v>
      </c>
    </row>
    <row r="1035" spans="1:10" ht="114" x14ac:dyDescent="0.2">
      <c r="A1035" s="24" t="s">
        <v>3194</v>
      </c>
      <c r="B1035" s="24">
        <v>2025</v>
      </c>
      <c r="C1035" s="24" t="s">
        <v>6404</v>
      </c>
      <c r="D1035" s="24" t="s">
        <v>6405</v>
      </c>
      <c r="E1035" s="24" t="s">
        <v>6330</v>
      </c>
      <c r="F1035" s="24" t="s">
        <v>5775</v>
      </c>
      <c r="G1035" s="24" t="s">
        <v>5780</v>
      </c>
      <c r="H1035" s="24" t="s">
        <v>6406</v>
      </c>
      <c r="I1035" s="24" t="s">
        <v>3353</v>
      </c>
      <c r="J1035" s="24" t="s">
        <v>5777</v>
      </c>
    </row>
    <row r="1036" spans="1:10" ht="152" x14ac:dyDescent="0.2">
      <c r="A1036" s="24" t="s">
        <v>3201</v>
      </c>
      <c r="B1036" s="24">
        <v>2026</v>
      </c>
      <c r="C1036" s="24" t="s">
        <v>6407</v>
      </c>
      <c r="D1036" s="24" t="s">
        <v>6408</v>
      </c>
      <c r="E1036" s="24" t="s">
        <v>6330</v>
      </c>
      <c r="F1036" s="24" t="s">
        <v>5775</v>
      </c>
      <c r="G1036" s="24" t="s">
        <v>5780</v>
      </c>
      <c r="H1036" s="24" t="s">
        <v>6409</v>
      </c>
      <c r="I1036" s="24" t="s">
        <v>3353</v>
      </c>
      <c r="J1036" s="24" t="s">
        <v>5777</v>
      </c>
    </row>
    <row r="1037" spans="1:10" ht="95" x14ac:dyDescent="0.2">
      <c r="A1037" s="24" t="s">
        <v>3217</v>
      </c>
      <c r="B1037" s="24">
        <v>2026</v>
      </c>
      <c r="C1037" s="24" t="s">
        <v>6410</v>
      </c>
      <c r="D1037" s="24" t="s">
        <v>6411</v>
      </c>
      <c r="E1037" s="24" t="s">
        <v>6330</v>
      </c>
      <c r="F1037" s="24" t="s">
        <v>5775</v>
      </c>
      <c r="G1037" s="24" t="s">
        <v>5780</v>
      </c>
      <c r="H1037" s="24" t="s">
        <v>6412</v>
      </c>
      <c r="I1037" s="24" t="s">
        <v>3353</v>
      </c>
      <c r="J1037" s="24" t="s">
        <v>5777</v>
      </c>
    </row>
    <row r="1038" spans="1:10" ht="95" x14ac:dyDescent="0.2">
      <c r="A1038" s="24" t="s">
        <v>3223</v>
      </c>
      <c r="B1038" s="24">
        <v>2026</v>
      </c>
      <c r="C1038" s="24" t="s">
        <v>6413</v>
      </c>
      <c r="D1038" s="24" t="s">
        <v>6414</v>
      </c>
      <c r="E1038" s="24" t="s">
        <v>6330</v>
      </c>
      <c r="F1038" s="24" t="s">
        <v>5775</v>
      </c>
      <c r="G1038" s="24" t="s">
        <v>5780</v>
      </c>
      <c r="H1038" s="24" t="s">
        <v>6415</v>
      </c>
      <c r="I1038" s="24" t="s">
        <v>3353</v>
      </c>
      <c r="J1038" s="24" t="s">
        <v>5777</v>
      </c>
    </row>
    <row r="1039" spans="1:10" ht="95" x14ac:dyDescent="0.2">
      <c r="A1039" s="24" t="s">
        <v>3236</v>
      </c>
      <c r="B1039" s="24">
        <v>2025</v>
      </c>
      <c r="C1039" s="24" t="s">
        <v>6416</v>
      </c>
      <c r="D1039" s="24" t="s">
        <v>6417</v>
      </c>
      <c r="E1039" s="24" t="s">
        <v>6330</v>
      </c>
      <c r="F1039" s="24" t="s">
        <v>5775</v>
      </c>
      <c r="G1039" s="24" t="s">
        <v>5780</v>
      </c>
      <c r="H1039" s="24" t="s">
        <v>6418</v>
      </c>
      <c r="I1039" s="24" t="s">
        <v>3353</v>
      </c>
      <c r="J1039" s="24" t="s">
        <v>5777</v>
      </c>
    </row>
    <row r="1040" spans="1:10" ht="95" x14ac:dyDescent="0.2">
      <c r="A1040" s="24" t="s">
        <v>3248</v>
      </c>
      <c r="B1040" s="24">
        <v>2024</v>
      </c>
      <c r="C1040" s="24" t="s">
        <v>6419</v>
      </c>
      <c r="D1040" s="24" t="s">
        <v>6420</v>
      </c>
      <c r="E1040" s="24" t="s">
        <v>6330</v>
      </c>
      <c r="F1040" s="24" t="s">
        <v>5775</v>
      </c>
      <c r="G1040" s="24" t="s">
        <v>5780</v>
      </c>
      <c r="H1040" s="24" t="s">
        <v>6421</v>
      </c>
      <c r="I1040" s="24" t="s">
        <v>3353</v>
      </c>
      <c r="J1040" s="24" t="s">
        <v>5777</v>
      </c>
    </row>
    <row r="1041" spans="1:10" ht="57" x14ac:dyDescent="0.2">
      <c r="A1041" s="24" t="s">
        <v>3256</v>
      </c>
      <c r="B1041" s="24">
        <v>2024</v>
      </c>
      <c r="C1041" s="24" t="s">
        <v>6422</v>
      </c>
      <c r="D1041" s="24" t="s">
        <v>6423</v>
      </c>
      <c r="E1041" s="24" t="s">
        <v>6330</v>
      </c>
      <c r="F1041" s="24" t="s">
        <v>5775</v>
      </c>
      <c r="G1041" s="24" t="s">
        <v>5780</v>
      </c>
      <c r="H1041" s="24" t="s">
        <v>6424</v>
      </c>
      <c r="I1041" s="24" t="s">
        <v>3353</v>
      </c>
      <c r="J1041" s="24" t="s">
        <v>5777</v>
      </c>
    </row>
    <row r="1042" spans="1:10" ht="95" x14ac:dyDescent="0.2">
      <c r="A1042" s="24" t="s">
        <v>3332</v>
      </c>
      <c r="B1042" s="24">
        <v>2026</v>
      </c>
      <c r="C1042" s="24" t="s">
        <v>6425</v>
      </c>
      <c r="D1042" s="24" t="s">
        <v>6426</v>
      </c>
      <c r="E1042" s="24" t="s">
        <v>6330</v>
      </c>
      <c r="F1042" s="24" t="s">
        <v>5775</v>
      </c>
      <c r="G1042" s="24" t="s">
        <v>5780</v>
      </c>
      <c r="H1042" s="24" t="s">
        <v>5243</v>
      </c>
      <c r="I1042" s="24" t="s">
        <v>3353</v>
      </c>
      <c r="J1042" s="24" t="s">
        <v>5777</v>
      </c>
    </row>
    <row r="1043" spans="1:10" ht="95" x14ac:dyDescent="0.2">
      <c r="A1043" s="24" t="s">
        <v>2825</v>
      </c>
      <c r="B1043" s="24">
        <v>2025</v>
      </c>
      <c r="C1043" s="24" t="s">
        <v>6427</v>
      </c>
      <c r="D1043" s="24" t="s">
        <v>6428</v>
      </c>
      <c r="E1043" s="24" t="s">
        <v>6429</v>
      </c>
      <c r="F1043" s="24" t="s">
        <v>6430</v>
      </c>
      <c r="G1043" s="24"/>
      <c r="H1043" s="24" t="s">
        <v>6431</v>
      </c>
      <c r="I1043" s="24" t="s">
        <v>3353</v>
      </c>
      <c r="J1043" s="24" t="s">
        <v>6432</v>
      </c>
    </row>
    <row r="1044" spans="1:10" ht="95" x14ac:dyDescent="0.2">
      <c r="A1044" s="24" t="s">
        <v>2825</v>
      </c>
      <c r="B1044" s="24">
        <v>2025</v>
      </c>
      <c r="C1044" s="24" t="s">
        <v>6433</v>
      </c>
      <c r="D1044" s="24" t="s">
        <v>6434</v>
      </c>
      <c r="E1044" s="24" t="s">
        <v>6429</v>
      </c>
      <c r="F1044" s="24" t="s">
        <v>6430</v>
      </c>
      <c r="G1044" s="24"/>
      <c r="H1044" s="24" t="s">
        <v>6435</v>
      </c>
      <c r="I1044" s="24" t="s">
        <v>3353</v>
      </c>
      <c r="J1044" s="24" t="s">
        <v>6432</v>
      </c>
    </row>
    <row r="1045" spans="1:10" ht="57" x14ac:dyDescent="0.2">
      <c r="A1045" s="24" t="s">
        <v>2825</v>
      </c>
      <c r="B1045" s="24">
        <v>2025</v>
      </c>
      <c r="C1045" s="24" t="s">
        <v>6436</v>
      </c>
      <c r="D1045" s="24" t="s">
        <v>6437</v>
      </c>
      <c r="E1045" s="24" t="s">
        <v>6429</v>
      </c>
      <c r="F1045" s="24" t="s">
        <v>6430</v>
      </c>
      <c r="G1045" s="24"/>
      <c r="H1045" s="24" t="s">
        <v>6438</v>
      </c>
      <c r="I1045" s="24" t="s">
        <v>3353</v>
      </c>
      <c r="J1045" s="24" t="s">
        <v>6432</v>
      </c>
    </row>
    <row r="1046" spans="1:10" ht="76" x14ac:dyDescent="0.2">
      <c r="A1046" s="24" t="s">
        <v>2833</v>
      </c>
      <c r="B1046" s="24">
        <v>2026</v>
      </c>
      <c r="C1046" s="24" t="s">
        <v>6439</v>
      </c>
      <c r="D1046" s="24" t="s">
        <v>6440</v>
      </c>
      <c r="E1046" s="24" t="s">
        <v>6429</v>
      </c>
      <c r="F1046" s="24" t="s">
        <v>6430</v>
      </c>
      <c r="G1046" s="24"/>
      <c r="H1046" s="24" t="s">
        <v>6441</v>
      </c>
      <c r="I1046" s="24" t="s">
        <v>3353</v>
      </c>
      <c r="J1046" s="24" t="s">
        <v>6432</v>
      </c>
    </row>
    <row r="1047" spans="1:10" ht="76" x14ac:dyDescent="0.2">
      <c r="A1047" s="24" t="s">
        <v>2833</v>
      </c>
      <c r="B1047" s="24">
        <v>2026</v>
      </c>
      <c r="C1047" s="24" t="s">
        <v>6442</v>
      </c>
      <c r="D1047" s="24" t="s">
        <v>6443</v>
      </c>
      <c r="E1047" s="24" t="s">
        <v>6429</v>
      </c>
      <c r="F1047" s="24" t="s">
        <v>6430</v>
      </c>
      <c r="G1047" s="24"/>
      <c r="H1047" s="24" t="s">
        <v>6444</v>
      </c>
      <c r="I1047" s="24" t="s">
        <v>3353</v>
      </c>
      <c r="J1047" s="24" t="s">
        <v>6432</v>
      </c>
    </row>
    <row r="1048" spans="1:10" ht="57" x14ac:dyDescent="0.2">
      <c r="A1048" s="24" t="s">
        <v>2833</v>
      </c>
      <c r="B1048" s="24">
        <v>2026</v>
      </c>
      <c r="C1048" s="24" t="s">
        <v>6445</v>
      </c>
      <c r="D1048" s="24" t="s">
        <v>6446</v>
      </c>
      <c r="E1048" s="24" t="s">
        <v>6429</v>
      </c>
      <c r="F1048" s="24" t="s">
        <v>6430</v>
      </c>
      <c r="G1048" s="24"/>
      <c r="H1048" s="24" t="s">
        <v>6447</v>
      </c>
      <c r="I1048" s="24" t="s">
        <v>3353</v>
      </c>
      <c r="J1048" s="24" t="s">
        <v>6432</v>
      </c>
    </row>
    <row r="1049" spans="1:10" ht="57" x14ac:dyDescent="0.2">
      <c r="A1049" s="24" t="s">
        <v>2841</v>
      </c>
      <c r="B1049" s="24">
        <v>2026</v>
      </c>
      <c r="C1049" s="24" t="s">
        <v>6448</v>
      </c>
      <c r="D1049" s="24" t="s">
        <v>6449</v>
      </c>
      <c r="E1049" s="24" t="s">
        <v>6429</v>
      </c>
      <c r="F1049" s="24" t="s">
        <v>6430</v>
      </c>
      <c r="G1049" s="24"/>
      <c r="H1049" s="24" t="s">
        <v>4151</v>
      </c>
      <c r="I1049" s="24" t="s">
        <v>3353</v>
      </c>
      <c r="J1049" s="24" t="s">
        <v>6432</v>
      </c>
    </row>
    <row r="1050" spans="1:10" ht="57" x14ac:dyDescent="0.2">
      <c r="A1050" s="24" t="s">
        <v>2841</v>
      </c>
      <c r="B1050" s="24">
        <v>2026</v>
      </c>
      <c r="C1050" s="24" t="s">
        <v>6450</v>
      </c>
      <c r="D1050" s="24" t="s">
        <v>6451</v>
      </c>
      <c r="E1050" s="24" t="s">
        <v>6429</v>
      </c>
      <c r="F1050" s="24" t="s">
        <v>6430</v>
      </c>
      <c r="G1050" s="24"/>
      <c r="H1050" s="24" t="s">
        <v>6452</v>
      </c>
      <c r="I1050" s="24" t="s">
        <v>3353</v>
      </c>
      <c r="J1050" s="24" t="s">
        <v>6432</v>
      </c>
    </row>
    <row r="1051" spans="1:10" ht="76" x14ac:dyDescent="0.2">
      <c r="A1051" s="24" t="s">
        <v>2841</v>
      </c>
      <c r="B1051" s="24">
        <v>2026</v>
      </c>
      <c r="C1051" s="24" t="s">
        <v>6453</v>
      </c>
      <c r="D1051" s="24" t="s">
        <v>6454</v>
      </c>
      <c r="E1051" s="24" t="s">
        <v>6429</v>
      </c>
      <c r="F1051" s="24" t="s">
        <v>6430</v>
      </c>
      <c r="G1051" s="24"/>
      <c r="H1051" s="24" t="s">
        <v>6455</v>
      </c>
      <c r="I1051" s="24" t="s">
        <v>3353</v>
      </c>
      <c r="J1051" s="24" t="s">
        <v>6432</v>
      </c>
    </row>
    <row r="1052" spans="1:10" ht="95" x14ac:dyDescent="0.2">
      <c r="A1052" s="24" t="s">
        <v>2849</v>
      </c>
      <c r="B1052" s="24">
        <v>2026</v>
      </c>
      <c r="C1052" s="24" t="s">
        <v>6456</v>
      </c>
      <c r="D1052" s="24" t="s">
        <v>6457</v>
      </c>
      <c r="E1052" s="24" t="s">
        <v>6429</v>
      </c>
      <c r="F1052" s="24" t="s">
        <v>6430</v>
      </c>
      <c r="G1052" s="24"/>
      <c r="H1052" s="24" t="s">
        <v>6458</v>
      </c>
      <c r="I1052" s="24" t="s">
        <v>3353</v>
      </c>
      <c r="J1052" s="24" t="s">
        <v>6432</v>
      </c>
    </row>
    <row r="1053" spans="1:10" ht="57" x14ac:dyDescent="0.2">
      <c r="A1053" s="24" t="s">
        <v>2849</v>
      </c>
      <c r="B1053" s="24">
        <v>2026</v>
      </c>
      <c r="C1053" s="24" t="s">
        <v>6459</v>
      </c>
      <c r="D1053" s="24" t="s">
        <v>6460</v>
      </c>
      <c r="E1053" s="24" t="s">
        <v>6429</v>
      </c>
      <c r="F1053" s="24" t="s">
        <v>6430</v>
      </c>
      <c r="G1053" s="24"/>
      <c r="H1053" s="24" t="s">
        <v>6461</v>
      </c>
      <c r="I1053" s="24" t="s">
        <v>3353</v>
      </c>
      <c r="J1053" s="24" t="s">
        <v>6432</v>
      </c>
    </row>
    <row r="1054" spans="1:10" ht="57" x14ac:dyDescent="0.2">
      <c r="A1054" s="24" t="s">
        <v>2849</v>
      </c>
      <c r="B1054" s="24">
        <v>2026</v>
      </c>
      <c r="C1054" s="24" t="s">
        <v>6462</v>
      </c>
      <c r="D1054" s="24" t="s">
        <v>6463</v>
      </c>
      <c r="E1054" s="24" t="s">
        <v>6429</v>
      </c>
      <c r="F1054" s="24" t="s">
        <v>6430</v>
      </c>
      <c r="G1054" s="24"/>
      <c r="H1054" s="24" t="s">
        <v>6464</v>
      </c>
      <c r="I1054" s="24" t="s">
        <v>3353</v>
      </c>
      <c r="J1054" s="24" t="s">
        <v>6432</v>
      </c>
    </row>
    <row r="1055" spans="1:10" ht="76" x14ac:dyDescent="0.2">
      <c r="A1055" s="24" t="s">
        <v>2857</v>
      </c>
      <c r="B1055" s="24">
        <v>2026</v>
      </c>
      <c r="C1055" s="24" t="s">
        <v>6465</v>
      </c>
      <c r="D1055" s="24" t="s">
        <v>6466</v>
      </c>
      <c r="E1055" s="24" t="s">
        <v>6429</v>
      </c>
      <c r="F1055" s="24" t="s">
        <v>6430</v>
      </c>
      <c r="G1055" s="24"/>
      <c r="H1055" s="24" t="s">
        <v>6467</v>
      </c>
      <c r="I1055" s="24" t="s">
        <v>3353</v>
      </c>
      <c r="J1055" s="24" t="s">
        <v>6432</v>
      </c>
    </row>
    <row r="1056" spans="1:10" ht="57" x14ac:dyDescent="0.2">
      <c r="A1056" s="24" t="s">
        <v>2857</v>
      </c>
      <c r="B1056" s="24">
        <v>2026</v>
      </c>
      <c r="C1056" s="24" t="s">
        <v>6468</v>
      </c>
      <c r="D1056" s="24" t="s">
        <v>6469</v>
      </c>
      <c r="E1056" s="24" t="s">
        <v>6429</v>
      </c>
      <c r="F1056" s="24" t="s">
        <v>6430</v>
      </c>
      <c r="G1056" s="24"/>
      <c r="H1056" s="24" t="s">
        <v>3619</v>
      </c>
      <c r="I1056" s="24" t="s">
        <v>3353</v>
      </c>
      <c r="J1056" s="24" t="s">
        <v>6432</v>
      </c>
    </row>
    <row r="1057" spans="1:10" ht="76" x14ac:dyDescent="0.2">
      <c r="A1057" s="24" t="s">
        <v>2857</v>
      </c>
      <c r="B1057" s="24">
        <v>2026</v>
      </c>
      <c r="C1057" s="24" t="s">
        <v>6470</v>
      </c>
      <c r="D1057" s="24" t="s">
        <v>6471</v>
      </c>
      <c r="E1057" s="24" t="s">
        <v>6429</v>
      </c>
      <c r="F1057" s="24" t="s">
        <v>6430</v>
      </c>
      <c r="G1057" s="24"/>
      <c r="H1057" s="24" t="s">
        <v>4051</v>
      </c>
      <c r="I1057" s="24" t="s">
        <v>3353</v>
      </c>
      <c r="J1057" s="24" t="s">
        <v>6432</v>
      </c>
    </row>
    <row r="1058" spans="1:10" ht="76" x14ac:dyDescent="0.2">
      <c r="A1058" s="24" t="s">
        <v>2857</v>
      </c>
      <c r="B1058" s="24">
        <v>2026</v>
      </c>
      <c r="C1058" s="24" t="s">
        <v>6472</v>
      </c>
      <c r="D1058" s="24" t="s">
        <v>6473</v>
      </c>
      <c r="E1058" s="24" t="s">
        <v>6429</v>
      </c>
      <c r="F1058" s="24" t="s">
        <v>6430</v>
      </c>
      <c r="G1058" s="24"/>
      <c r="H1058" s="24" t="s">
        <v>6464</v>
      </c>
      <c r="I1058" s="24" t="s">
        <v>3353</v>
      </c>
      <c r="J1058" s="24" t="s">
        <v>6432</v>
      </c>
    </row>
    <row r="1059" spans="1:10" ht="95" x14ac:dyDescent="0.2">
      <c r="A1059" s="24" t="s">
        <v>2865</v>
      </c>
      <c r="B1059" s="24">
        <v>2025</v>
      </c>
      <c r="C1059" s="24" t="s">
        <v>6474</v>
      </c>
      <c r="D1059" s="24" t="s">
        <v>6475</v>
      </c>
      <c r="E1059" s="24" t="s">
        <v>6429</v>
      </c>
      <c r="F1059" s="24" t="s">
        <v>6430</v>
      </c>
      <c r="G1059" s="24"/>
      <c r="H1059" s="24" t="s">
        <v>6476</v>
      </c>
      <c r="I1059" s="24" t="s">
        <v>3353</v>
      </c>
      <c r="J1059" s="24" t="s">
        <v>6432</v>
      </c>
    </row>
    <row r="1060" spans="1:10" ht="95" x14ac:dyDescent="0.2">
      <c r="A1060" s="24" t="s">
        <v>2865</v>
      </c>
      <c r="B1060" s="24">
        <v>2025</v>
      </c>
      <c r="C1060" s="24" t="s">
        <v>6477</v>
      </c>
      <c r="D1060" s="24" t="s">
        <v>6478</v>
      </c>
      <c r="E1060" s="24" t="s">
        <v>6429</v>
      </c>
      <c r="F1060" s="24" t="s">
        <v>6430</v>
      </c>
      <c r="G1060" s="24"/>
      <c r="H1060" s="24" t="s">
        <v>6479</v>
      </c>
      <c r="I1060" s="24" t="s">
        <v>3353</v>
      </c>
      <c r="J1060" s="24" t="s">
        <v>6432</v>
      </c>
    </row>
    <row r="1061" spans="1:10" ht="76" x14ac:dyDescent="0.2">
      <c r="A1061" s="24" t="s">
        <v>2865</v>
      </c>
      <c r="B1061" s="24">
        <v>2025</v>
      </c>
      <c r="C1061" s="24" t="s">
        <v>6480</v>
      </c>
      <c r="D1061" s="24" t="s">
        <v>6481</v>
      </c>
      <c r="E1061" s="24" t="s">
        <v>6429</v>
      </c>
      <c r="F1061" s="24" t="s">
        <v>6430</v>
      </c>
      <c r="G1061" s="24"/>
      <c r="H1061" s="24" t="s">
        <v>6482</v>
      </c>
      <c r="I1061" s="24" t="s">
        <v>3353</v>
      </c>
      <c r="J1061" s="24" t="s">
        <v>6432</v>
      </c>
    </row>
    <row r="1062" spans="1:10" ht="76" x14ac:dyDescent="0.2">
      <c r="A1062" s="24" t="s">
        <v>2873</v>
      </c>
      <c r="B1062" s="24">
        <v>2025</v>
      </c>
      <c r="C1062" s="24" t="s">
        <v>6483</v>
      </c>
      <c r="D1062" s="24" t="s">
        <v>6484</v>
      </c>
      <c r="E1062" s="24" t="s">
        <v>6429</v>
      </c>
      <c r="F1062" s="24" t="s">
        <v>6430</v>
      </c>
      <c r="G1062" s="24"/>
      <c r="H1062" s="24" t="s">
        <v>5266</v>
      </c>
      <c r="I1062" s="24" t="s">
        <v>3353</v>
      </c>
      <c r="J1062" s="24" t="s">
        <v>6432</v>
      </c>
    </row>
    <row r="1063" spans="1:10" ht="76" x14ac:dyDescent="0.2">
      <c r="A1063" s="25" t="s">
        <v>2873</v>
      </c>
      <c r="B1063" s="25">
        <v>2025</v>
      </c>
      <c r="C1063" s="25" t="s">
        <v>6485</v>
      </c>
      <c r="D1063" s="25" t="s">
        <v>6486</v>
      </c>
      <c r="E1063" s="25" t="s">
        <v>6429</v>
      </c>
      <c r="F1063" s="25" t="s">
        <v>6430</v>
      </c>
      <c r="G1063" s="25"/>
      <c r="H1063" s="25" t="s">
        <v>6487</v>
      </c>
      <c r="I1063" s="25" t="s">
        <v>3353</v>
      </c>
      <c r="J1063" s="25" t="s">
        <v>6432</v>
      </c>
    </row>
    <row r="1064" spans="1:10" ht="114" x14ac:dyDescent="0.2">
      <c r="A1064" s="25" t="s">
        <v>2881</v>
      </c>
      <c r="B1064" s="25">
        <v>2026</v>
      </c>
      <c r="C1064" s="25" t="s">
        <v>6488</v>
      </c>
      <c r="D1064" s="25" t="s">
        <v>6489</v>
      </c>
      <c r="E1064" s="25" t="s">
        <v>6429</v>
      </c>
      <c r="F1064" s="25" t="s">
        <v>6430</v>
      </c>
      <c r="G1064" s="25"/>
      <c r="H1064" s="25" t="s">
        <v>6490</v>
      </c>
      <c r="I1064" s="25" t="s">
        <v>3353</v>
      </c>
      <c r="J1064" s="25" t="s">
        <v>6432</v>
      </c>
    </row>
    <row r="1065" spans="1:10" ht="114" x14ac:dyDescent="0.2">
      <c r="A1065" s="25" t="s">
        <v>2881</v>
      </c>
      <c r="B1065" s="25">
        <v>2026</v>
      </c>
      <c r="C1065" s="25" t="s">
        <v>6491</v>
      </c>
      <c r="D1065" s="25" t="s">
        <v>6492</v>
      </c>
      <c r="E1065" s="25" t="s">
        <v>6429</v>
      </c>
      <c r="F1065" s="25" t="s">
        <v>6430</v>
      </c>
      <c r="G1065" s="25"/>
      <c r="H1065" s="25" t="s">
        <v>6493</v>
      </c>
      <c r="I1065" s="25" t="s">
        <v>3353</v>
      </c>
      <c r="J1065" s="25" t="s">
        <v>6432</v>
      </c>
    </row>
    <row r="1066" spans="1:10" ht="133" x14ac:dyDescent="0.2">
      <c r="A1066" s="25" t="s">
        <v>2889</v>
      </c>
      <c r="B1066" s="25">
        <v>2026</v>
      </c>
      <c r="C1066" s="25" t="s">
        <v>6494</v>
      </c>
      <c r="D1066" s="25" t="s">
        <v>6495</v>
      </c>
      <c r="E1066" s="25" t="s">
        <v>6429</v>
      </c>
      <c r="F1066" s="25" t="s">
        <v>6430</v>
      </c>
      <c r="G1066" s="25"/>
      <c r="H1066" s="25" t="s">
        <v>6496</v>
      </c>
      <c r="I1066" s="25" t="s">
        <v>3353</v>
      </c>
      <c r="J1066" s="25" t="s">
        <v>6432</v>
      </c>
    </row>
    <row r="1067" spans="1:10" ht="114" x14ac:dyDescent="0.2">
      <c r="A1067" s="25" t="s">
        <v>2889</v>
      </c>
      <c r="B1067" s="25">
        <v>2026</v>
      </c>
      <c r="C1067" s="25" t="s">
        <v>6497</v>
      </c>
      <c r="D1067" s="25" t="s">
        <v>6498</v>
      </c>
      <c r="E1067" s="25" t="s">
        <v>6429</v>
      </c>
      <c r="F1067" s="25" t="s">
        <v>6430</v>
      </c>
      <c r="G1067" s="25"/>
      <c r="H1067" s="25" t="s">
        <v>6499</v>
      </c>
      <c r="I1067" s="25" t="s">
        <v>3353</v>
      </c>
      <c r="J1067" s="25" t="s">
        <v>6432</v>
      </c>
    </row>
    <row r="1068" spans="1:10" ht="76" x14ac:dyDescent="0.2">
      <c r="A1068" s="25" t="s">
        <v>2889</v>
      </c>
      <c r="B1068" s="25">
        <v>2026</v>
      </c>
      <c r="C1068" s="25" t="s">
        <v>6500</v>
      </c>
      <c r="D1068" s="25" t="s">
        <v>6501</v>
      </c>
      <c r="E1068" s="25" t="s">
        <v>6429</v>
      </c>
      <c r="F1068" s="25" t="s">
        <v>6430</v>
      </c>
      <c r="G1068" s="25"/>
      <c r="H1068" s="25" t="s">
        <v>6346</v>
      </c>
      <c r="I1068" s="25" t="s">
        <v>3353</v>
      </c>
      <c r="J1068" s="25" t="s">
        <v>6432</v>
      </c>
    </row>
    <row r="1069" spans="1:10" ht="76" x14ac:dyDescent="0.2">
      <c r="A1069" s="25" t="s">
        <v>2897</v>
      </c>
      <c r="B1069" s="25">
        <v>2026</v>
      </c>
      <c r="C1069" s="25" t="s">
        <v>6502</v>
      </c>
      <c r="D1069" s="25" t="s">
        <v>6503</v>
      </c>
      <c r="E1069" s="25" t="s">
        <v>6429</v>
      </c>
      <c r="F1069" s="25" t="s">
        <v>6430</v>
      </c>
      <c r="G1069" s="25"/>
      <c r="H1069" s="25" t="s">
        <v>6504</v>
      </c>
      <c r="I1069" s="25" t="s">
        <v>3353</v>
      </c>
      <c r="J1069" s="25" t="s">
        <v>6432</v>
      </c>
    </row>
    <row r="1070" spans="1:10" ht="76" x14ac:dyDescent="0.2">
      <c r="A1070" s="25" t="s">
        <v>2897</v>
      </c>
      <c r="B1070" s="25">
        <v>2026</v>
      </c>
      <c r="C1070" s="25" t="s">
        <v>6505</v>
      </c>
      <c r="D1070" s="25" t="s">
        <v>6506</v>
      </c>
      <c r="E1070" s="25" t="s">
        <v>6429</v>
      </c>
      <c r="F1070" s="25" t="s">
        <v>6430</v>
      </c>
      <c r="G1070" s="25"/>
      <c r="H1070" s="25" t="s">
        <v>6507</v>
      </c>
      <c r="I1070" s="25" t="s">
        <v>3353</v>
      </c>
      <c r="J1070" s="25" t="s">
        <v>6432</v>
      </c>
    </row>
    <row r="1071" spans="1:10" ht="95" x14ac:dyDescent="0.2">
      <c r="A1071" s="25" t="s">
        <v>2904</v>
      </c>
      <c r="B1071" s="25">
        <v>2026</v>
      </c>
      <c r="C1071" s="25" t="s">
        <v>6508</v>
      </c>
      <c r="D1071" s="25" t="s">
        <v>6509</v>
      </c>
      <c r="E1071" s="25" t="s">
        <v>6429</v>
      </c>
      <c r="F1071" s="25" t="s">
        <v>6430</v>
      </c>
      <c r="G1071" s="25"/>
      <c r="H1071" s="25" t="s">
        <v>6510</v>
      </c>
      <c r="I1071" s="25" t="s">
        <v>3353</v>
      </c>
      <c r="J1071" s="25" t="s">
        <v>6432</v>
      </c>
    </row>
    <row r="1072" spans="1:10" ht="57" x14ac:dyDescent="0.2">
      <c r="A1072" s="25" t="s">
        <v>2912</v>
      </c>
      <c r="B1072" s="25">
        <v>2026</v>
      </c>
      <c r="C1072" s="25" t="s">
        <v>6511</v>
      </c>
      <c r="D1072" s="25" t="s">
        <v>6512</v>
      </c>
      <c r="E1072" s="25" t="s">
        <v>6429</v>
      </c>
      <c r="F1072" s="25" t="s">
        <v>6430</v>
      </c>
      <c r="G1072" s="25"/>
      <c r="H1072" s="25" t="s">
        <v>6513</v>
      </c>
      <c r="I1072" s="25" t="s">
        <v>3353</v>
      </c>
      <c r="J1072" s="25" t="s">
        <v>6432</v>
      </c>
    </row>
    <row r="1073" spans="1:10" ht="114" x14ac:dyDescent="0.2">
      <c r="A1073" s="25" t="s">
        <v>2920</v>
      </c>
      <c r="B1073" s="25">
        <v>2026</v>
      </c>
      <c r="C1073" s="25" t="s">
        <v>6514</v>
      </c>
      <c r="D1073" s="25" t="s">
        <v>6515</v>
      </c>
      <c r="E1073" s="25" t="s">
        <v>6429</v>
      </c>
      <c r="F1073" s="25" t="s">
        <v>6430</v>
      </c>
      <c r="G1073" s="25"/>
      <c r="H1073" s="25" t="s">
        <v>6516</v>
      </c>
      <c r="I1073" s="25" t="s">
        <v>3353</v>
      </c>
      <c r="J1073" s="25" t="s">
        <v>6432</v>
      </c>
    </row>
    <row r="1074" spans="1:10" ht="114" x14ac:dyDescent="0.2">
      <c r="A1074" s="25" t="s">
        <v>2920</v>
      </c>
      <c r="B1074" s="25">
        <v>2026</v>
      </c>
      <c r="C1074" s="25" t="s">
        <v>6517</v>
      </c>
      <c r="D1074" s="25" t="s">
        <v>6518</v>
      </c>
      <c r="E1074" s="25" t="s">
        <v>6429</v>
      </c>
      <c r="F1074" s="25" t="s">
        <v>6430</v>
      </c>
      <c r="G1074" s="25"/>
      <c r="H1074" s="25" t="s">
        <v>6190</v>
      </c>
      <c r="I1074" s="25" t="s">
        <v>3353</v>
      </c>
      <c r="J1074" s="25" t="s">
        <v>6432</v>
      </c>
    </row>
    <row r="1075" spans="1:10" ht="95" x14ac:dyDescent="0.2">
      <c r="A1075" s="25" t="s">
        <v>2928</v>
      </c>
      <c r="B1075" s="25">
        <v>2025</v>
      </c>
      <c r="C1075" s="25" t="s">
        <v>6519</v>
      </c>
      <c r="D1075" s="25" t="s">
        <v>6520</v>
      </c>
      <c r="E1075" s="25" t="s">
        <v>6429</v>
      </c>
      <c r="F1075" s="25" t="s">
        <v>6430</v>
      </c>
      <c r="G1075" s="25"/>
      <c r="H1075" s="25" t="s">
        <v>6521</v>
      </c>
      <c r="I1075" s="25" t="s">
        <v>3353</v>
      </c>
      <c r="J1075" s="25" t="s">
        <v>6432</v>
      </c>
    </row>
    <row r="1076" spans="1:10" ht="114" x14ac:dyDescent="0.2">
      <c r="A1076" s="25" t="s">
        <v>2936</v>
      </c>
      <c r="B1076" s="25">
        <v>2025</v>
      </c>
      <c r="C1076" s="25" t="s">
        <v>6522</v>
      </c>
      <c r="D1076" s="25" t="s">
        <v>6523</v>
      </c>
      <c r="E1076" s="25" t="s">
        <v>6429</v>
      </c>
      <c r="F1076" s="25" t="s">
        <v>6430</v>
      </c>
      <c r="G1076" s="25"/>
      <c r="H1076" s="25" t="s">
        <v>6524</v>
      </c>
      <c r="I1076" s="25" t="s">
        <v>3353</v>
      </c>
      <c r="J1076" s="25" t="s">
        <v>6432</v>
      </c>
    </row>
    <row r="1077" spans="1:10" ht="152" x14ac:dyDescent="0.2">
      <c r="A1077" s="25" t="s">
        <v>2944</v>
      </c>
      <c r="B1077" s="25">
        <v>2026</v>
      </c>
      <c r="C1077" s="25" t="s">
        <v>6525</v>
      </c>
      <c r="D1077" s="25" t="s">
        <v>6526</v>
      </c>
      <c r="E1077" s="25" t="s">
        <v>6429</v>
      </c>
      <c r="F1077" s="25" t="s">
        <v>6430</v>
      </c>
      <c r="G1077" s="25"/>
      <c r="H1077" s="25" t="s">
        <v>6527</v>
      </c>
      <c r="I1077" s="25" t="s">
        <v>3353</v>
      </c>
      <c r="J1077" s="25" t="s">
        <v>6432</v>
      </c>
    </row>
    <row r="1078" spans="1:10" ht="133" x14ac:dyDescent="0.2">
      <c r="A1078" s="25" t="s">
        <v>2952</v>
      </c>
      <c r="B1078" s="25">
        <v>2026</v>
      </c>
      <c r="C1078" s="25" t="s">
        <v>6528</v>
      </c>
      <c r="D1078" s="25" t="s">
        <v>6529</v>
      </c>
      <c r="E1078" s="25" t="s">
        <v>6429</v>
      </c>
      <c r="F1078" s="25" t="s">
        <v>6430</v>
      </c>
      <c r="G1078" s="25"/>
      <c r="H1078" s="25" t="s">
        <v>6530</v>
      </c>
      <c r="I1078" s="25" t="s">
        <v>3353</v>
      </c>
      <c r="J1078" s="25" t="s">
        <v>6432</v>
      </c>
    </row>
    <row r="1079" spans="1:10" ht="95" x14ac:dyDescent="0.2">
      <c r="A1079" s="25" t="s">
        <v>2952</v>
      </c>
      <c r="B1079" s="25">
        <v>2026</v>
      </c>
      <c r="C1079" s="25" t="s">
        <v>6531</v>
      </c>
      <c r="D1079" s="25" t="s">
        <v>6532</v>
      </c>
      <c r="E1079" s="25" t="s">
        <v>6429</v>
      </c>
      <c r="F1079" s="25" t="s">
        <v>6430</v>
      </c>
      <c r="G1079" s="25"/>
      <c r="H1079" s="25" t="s">
        <v>6533</v>
      </c>
      <c r="I1079" s="25" t="s">
        <v>3353</v>
      </c>
      <c r="J1079" s="25" t="s">
        <v>6432</v>
      </c>
    </row>
    <row r="1080" spans="1:10" ht="76" x14ac:dyDescent="0.2">
      <c r="A1080" s="25" t="s">
        <v>2959</v>
      </c>
      <c r="B1080" s="25">
        <v>2025</v>
      </c>
      <c r="C1080" s="25" t="s">
        <v>6534</v>
      </c>
      <c r="D1080" s="25" t="s">
        <v>6535</v>
      </c>
      <c r="E1080" s="25" t="s">
        <v>6429</v>
      </c>
      <c r="F1080" s="25" t="s">
        <v>6430</v>
      </c>
      <c r="G1080" s="25"/>
      <c r="H1080" s="25" t="s">
        <v>6536</v>
      </c>
      <c r="I1080" s="25" t="s">
        <v>3353</v>
      </c>
      <c r="J1080" s="25" t="s">
        <v>6432</v>
      </c>
    </row>
    <row r="1081" spans="1:10" ht="114" x14ac:dyDescent="0.2">
      <c r="A1081" s="25" t="s">
        <v>2967</v>
      </c>
      <c r="B1081" s="25">
        <v>2025</v>
      </c>
      <c r="C1081" s="25" t="s">
        <v>6537</v>
      </c>
      <c r="D1081" s="25" t="s">
        <v>6538</v>
      </c>
      <c r="E1081" s="25" t="s">
        <v>6429</v>
      </c>
      <c r="F1081" s="25" t="s">
        <v>6430</v>
      </c>
      <c r="G1081" s="25"/>
      <c r="H1081" s="25" t="s">
        <v>6539</v>
      </c>
      <c r="I1081" s="25" t="s">
        <v>3353</v>
      </c>
      <c r="J1081" s="25" t="s">
        <v>6432</v>
      </c>
    </row>
    <row r="1082" spans="1:10" ht="114" x14ac:dyDescent="0.2">
      <c r="A1082" s="25" t="s">
        <v>2975</v>
      </c>
      <c r="B1082" s="25">
        <v>2025</v>
      </c>
      <c r="C1082" s="25" t="s">
        <v>6540</v>
      </c>
      <c r="D1082" s="25" t="s">
        <v>6541</v>
      </c>
      <c r="E1082" s="25" t="s">
        <v>6429</v>
      </c>
      <c r="F1082" s="25" t="s">
        <v>6430</v>
      </c>
      <c r="G1082" s="25"/>
      <c r="H1082" s="25" t="s">
        <v>6542</v>
      </c>
      <c r="I1082" s="25" t="s">
        <v>3353</v>
      </c>
      <c r="J1082" s="25" t="s">
        <v>6432</v>
      </c>
    </row>
    <row r="1083" spans="1:10" ht="95" x14ac:dyDescent="0.2">
      <c r="A1083" s="25" t="s">
        <v>2983</v>
      </c>
      <c r="B1083" s="25">
        <v>2026</v>
      </c>
      <c r="C1083" s="25" t="s">
        <v>6543</v>
      </c>
      <c r="D1083" s="25" t="s">
        <v>6544</v>
      </c>
      <c r="E1083" s="25" t="s">
        <v>6429</v>
      </c>
      <c r="F1083" s="25" t="s">
        <v>6430</v>
      </c>
      <c r="G1083" s="25"/>
      <c r="H1083" s="25" t="s">
        <v>6545</v>
      </c>
      <c r="I1083" s="25" t="s">
        <v>3353</v>
      </c>
      <c r="J1083" s="25" t="s">
        <v>6432</v>
      </c>
    </row>
    <row r="1084" spans="1:10" ht="76" x14ac:dyDescent="0.2">
      <c r="A1084" s="25" t="s">
        <v>2989</v>
      </c>
      <c r="B1084" s="25">
        <v>2026</v>
      </c>
      <c r="C1084" s="25" t="s">
        <v>6546</v>
      </c>
      <c r="D1084" s="25" t="s">
        <v>6547</v>
      </c>
      <c r="E1084" s="25" t="s">
        <v>6429</v>
      </c>
      <c r="F1084" s="25" t="s">
        <v>6430</v>
      </c>
      <c r="G1084" s="25"/>
      <c r="H1084" s="25" t="s">
        <v>5823</v>
      </c>
      <c r="I1084" s="25" t="s">
        <v>3353</v>
      </c>
      <c r="J1084" s="25" t="s">
        <v>6432</v>
      </c>
    </row>
    <row r="1085" spans="1:10" ht="133" x14ac:dyDescent="0.2">
      <c r="A1085" s="25" t="s">
        <v>2996</v>
      </c>
      <c r="B1085" s="25">
        <v>2026</v>
      </c>
      <c r="C1085" s="25" t="s">
        <v>6548</v>
      </c>
      <c r="D1085" s="25" t="s">
        <v>6549</v>
      </c>
      <c r="E1085" s="25" t="s">
        <v>6429</v>
      </c>
      <c r="F1085" s="25" t="s">
        <v>6430</v>
      </c>
      <c r="G1085" s="25"/>
      <c r="H1085" s="25" t="s">
        <v>6550</v>
      </c>
      <c r="I1085" s="25" t="s">
        <v>3353</v>
      </c>
      <c r="J1085" s="25" t="s">
        <v>6432</v>
      </c>
    </row>
    <row r="1086" spans="1:10" ht="114" x14ac:dyDescent="0.2">
      <c r="A1086" s="25" t="s">
        <v>3004</v>
      </c>
      <c r="B1086" s="25">
        <v>2024</v>
      </c>
      <c r="C1086" s="25" t="s">
        <v>6551</v>
      </c>
      <c r="D1086" s="25" t="s">
        <v>6552</v>
      </c>
      <c r="E1086" s="25" t="s">
        <v>6429</v>
      </c>
      <c r="F1086" s="25" t="s">
        <v>6430</v>
      </c>
      <c r="G1086" s="25"/>
      <c r="H1086" s="25" t="s">
        <v>6553</v>
      </c>
      <c r="I1086" s="25" t="s">
        <v>3353</v>
      </c>
      <c r="J1086" s="25" t="s">
        <v>6432</v>
      </c>
    </row>
    <row r="1087" spans="1:10" ht="133" x14ac:dyDescent="0.2">
      <c r="A1087" s="25" t="s">
        <v>3012</v>
      </c>
      <c r="B1087" s="25">
        <v>2025</v>
      </c>
      <c r="C1087" s="25" t="s">
        <v>6554</v>
      </c>
      <c r="D1087" s="25" t="s">
        <v>6555</v>
      </c>
      <c r="E1087" s="25" t="s">
        <v>6429</v>
      </c>
      <c r="F1087" s="25" t="s">
        <v>6430</v>
      </c>
      <c r="G1087" s="25"/>
      <c r="H1087" s="25" t="s">
        <v>6556</v>
      </c>
      <c r="I1087" s="25" t="s">
        <v>3353</v>
      </c>
      <c r="J1087" s="25" t="s">
        <v>6432</v>
      </c>
    </row>
    <row r="1088" spans="1:10" ht="95" x14ac:dyDescent="0.2">
      <c r="A1088" s="25" t="s">
        <v>3020</v>
      </c>
      <c r="B1088" s="25">
        <v>2026</v>
      </c>
      <c r="C1088" s="25" t="s">
        <v>6557</v>
      </c>
      <c r="D1088" s="25" t="s">
        <v>6558</v>
      </c>
      <c r="E1088" s="25" t="s">
        <v>6429</v>
      </c>
      <c r="F1088" s="25" t="s">
        <v>6430</v>
      </c>
      <c r="G1088" s="25"/>
      <c r="H1088" s="25" t="s">
        <v>6559</v>
      </c>
      <c r="I1088" s="25" t="s">
        <v>3353</v>
      </c>
      <c r="J1088" s="25" t="s">
        <v>6432</v>
      </c>
    </row>
    <row r="1089" spans="1:10" ht="114" x14ac:dyDescent="0.2">
      <c r="A1089" s="25" t="s">
        <v>3028</v>
      </c>
      <c r="B1089" s="25">
        <v>2026</v>
      </c>
      <c r="C1089" s="25" t="s">
        <v>6560</v>
      </c>
      <c r="D1089" s="25" t="s">
        <v>6561</v>
      </c>
      <c r="E1089" s="25" t="s">
        <v>6429</v>
      </c>
      <c r="F1089" s="25" t="s">
        <v>6430</v>
      </c>
      <c r="G1089" s="25"/>
      <c r="H1089" s="25" t="s">
        <v>6562</v>
      </c>
      <c r="I1089" s="25" t="s">
        <v>3353</v>
      </c>
      <c r="J1089" s="25" t="s">
        <v>6432</v>
      </c>
    </row>
    <row r="1090" spans="1:10" ht="95" x14ac:dyDescent="0.2">
      <c r="A1090" s="25" t="s">
        <v>3035</v>
      </c>
      <c r="B1090" s="25">
        <v>2024</v>
      </c>
      <c r="C1090" s="25" t="s">
        <v>6563</v>
      </c>
      <c r="D1090" s="25" t="s">
        <v>6564</v>
      </c>
      <c r="E1090" s="25" t="s">
        <v>6429</v>
      </c>
      <c r="F1090" s="25" t="s">
        <v>6430</v>
      </c>
      <c r="G1090" s="25"/>
      <c r="H1090" s="25" t="s">
        <v>6565</v>
      </c>
      <c r="I1090" s="25" t="s">
        <v>3353</v>
      </c>
      <c r="J1090" s="25" t="s">
        <v>6432</v>
      </c>
    </row>
    <row r="1091" spans="1:10" ht="95" x14ac:dyDescent="0.2">
      <c r="A1091" s="25" t="s">
        <v>3043</v>
      </c>
      <c r="B1091" s="25">
        <v>2026</v>
      </c>
      <c r="C1091" s="25" t="s">
        <v>6566</v>
      </c>
      <c r="D1091" s="25" t="s">
        <v>6567</v>
      </c>
      <c r="E1091" s="25" t="s">
        <v>6429</v>
      </c>
      <c r="F1091" s="25" t="s">
        <v>6430</v>
      </c>
      <c r="G1091" s="25"/>
      <c r="H1091" s="25" t="s">
        <v>6568</v>
      </c>
      <c r="I1091" s="25" t="s">
        <v>3353</v>
      </c>
      <c r="J1091" s="25" t="s">
        <v>6432</v>
      </c>
    </row>
    <row r="1092" spans="1:10" ht="114" x14ac:dyDescent="0.2">
      <c r="A1092" s="25" t="s">
        <v>3051</v>
      </c>
      <c r="B1092" s="25">
        <v>2025</v>
      </c>
      <c r="C1092" s="25" t="s">
        <v>6569</v>
      </c>
      <c r="D1092" s="25" t="s">
        <v>6570</v>
      </c>
      <c r="E1092" s="25" t="s">
        <v>6429</v>
      </c>
      <c r="F1092" s="25" t="s">
        <v>6430</v>
      </c>
      <c r="G1092" s="25"/>
      <c r="H1092" s="25" t="s">
        <v>6571</v>
      </c>
      <c r="I1092" s="25" t="s">
        <v>3353</v>
      </c>
      <c r="J1092" s="25" t="s">
        <v>6432</v>
      </c>
    </row>
    <row r="1093" spans="1:10" ht="57" x14ac:dyDescent="0.2">
      <c r="A1093" s="25" t="s">
        <v>3058</v>
      </c>
      <c r="B1093" s="25">
        <v>2025</v>
      </c>
      <c r="C1093" s="25" t="s">
        <v>6572</v>
      </c>
      <c r="D1093" s="25" t="s">
        <v>6573</v>
      </c>
      <c r="E1093" s="25" t="s">
        <v>6429</v>
      </c>
      <c r="F1093" s="25" t="s">
        <v>6430</v>
      </c>
      <c r="G1093" s="25"/>
      <c r="H1093" s="25" t="s">
        <v>6574</v>
      </c>
      <c r="I1093" s="25" t="s">
        <v>3510</v>
      </c>
      <c r="J1093" s="25" t="s">
        <v>6432</v>
      </c>
    </row>
    <row r="1094" spans="1:10" ht="114" x14ac:dyDescent="0.2">
      <c r="A1094" s="25" t="s">
        <v>3065</v>
      </c>
      <c r="B1094" s="25">
        <v>2026</v>
      </c>
      <c r="C1094" s="25" t="s">
        <v>6575</v>
      </c>
      <c r="D1094" s="25" t="s">
        <v>6576</v>
      </c>
      <c r="E1094" s="25" t="s">
        <v>6429</v>
      </c>
      <c r="F1094" s="25" t="s">
        <v>6430</v>
      </c>
      <c r="G1094" s="25"/>
      <c r="H1094" s="25" t="s">
        <v>6577</v>
      </c>
      <c r="I1094" s="25" t="s">
        <v>3353</v>
      </c>
      <c r="J1094" s="25" t="s">
        <v>6432</v>
      </c>
    </row>
    <row r="1095" spans="1:10" ht="95" x14ac:dyDescent="0.2">
      <c r="A1095" s="25" t="s">
        <v>3072</v>
      </c>
      <c r="B1095" s="25">
        <v>2026</v>
      </c>
      <c r="C1095" s="25" t="s">
        <v>6578</v>
      </c>
      <c r="D1095" s="25" t="s">
        <v>6579</v>
      </c>
      <c r="E1095" s="25" t="s">
        <v>6429</v>
      </c>
      <c r="F1095" s="25" t="s">
        <v>6430</v>
      </c>
      <c r="G1095" s="25"/>
      <c r="H1095" s="25" t="s">
        <v>6580</v>
      </c>
      <c r="I1095" s="25" t="s">
        <v>3353</v>
      </c>
      <c r="J1095" s="25" t="s">
        <v>6432</v>
      </c>
    </row>
    <row r="1096" spans="1:10" ht="114" x14ac:dyDescent="0.2">
      <c r="A1096" s="25" t="s">
        <v>3080</v>
      </c>
      <c r="B1096" s="25">
        <v>2026</v>
      </c>
      <c r="C1096" s="25" t="s">
        <v>6581</v>
      </c>
      <c r="D1096" s="25" t="s">
        <v>6582</v>
      </c>
      <c r="E1096" s="25" t="s">
        <v>6429</v>
      </c>
      <c r="F1096" s="25" t="s">
        <v>6430</v>
      </c>
      <c r="G1096" s="25"/>
      <c r="H1096" s="25" t="s">
        <v>6583</v>
      </c>
      <c r="I1096" s="25" t="s">
        <v>3353</v>
      </c>
      <c r="J1096" s="25" t="s">
        <v>6432</v>
      </c>
    </row>
    <row r="1097" spans="1:10" ht="95" x14ac:dyDescent="0.2">
      <c r="A1097" s="25" t="s">
        <v>3087</v>
      </c>
      <c r="B1097" s="25">
        <v>2026</v>
      </c>
      <c r="C1097" s="25" t="s">
        <v>6584</v>
      </c>
      <c r="D1097" s="25" t="s">
        <v>6585</v>
      </c>
      <c r="E1097" s="25" t="s">
        <v>6429</v>
      </c>
      <c r="F1097" s="25" t="s">
        <v>6430</v>
      </c>
      <c r="G1097" s="25"/>
      <c r="H1097" s="25" t="s">
        <v>6586</v>
      </c>
      <c r="I1097" s="25" t="s">
        <v>3353</v>
      </c>
      <c r="J1097" s="25" t="s">
        <v>6432</v>
      </c>
    </row>
    <row r="1098" spans="1:10" ht="114" x14ac:dyDescent="0.2">
      <c r="A1098" s="25" t="s">
        <v>3095</v>
      </c>
      <c r="B1098" s="25">
        <v>2026</v>
      </c>
      <c r="C1098" s="25" t="s">
        <v>6587</v>
      </c>
      <c r="D1098" s="25" t="s">
        <v>6588</v>
      </c>
      <c r="E1098" s="25" t="s">
        <v>6429</v>
      </c>
      <c r="F1098" s="25" t="s">
        <v>6430</v>
      </c>
      <c r="G1098" s="25"/>
      <c r="H1098" s="25" t="s">
        <v>6589</v>
      </c>
      <c r="I1098" s="25" t="s">
        <v>3353</v>
      </c>
      <c r="J1098" s="25" t="s">
        <v>6432</v>
      </c>
    </row>
    <row r="1099" spans="1:10" ht="152" x14ac:dyDescent="0.2">
      <c r="A1099" s="25" t="s">
        <v>3102</v>
      </c>
      <c r="B1099" s="25">
        <v>2026</v>
      </c>
      <c r="C1099" s="25" t="s">
        <v>6590</v>
      </c>
      <c r="D1099" s="25" t="s">
        <v>6591</v>
      </c>
      <c r="E1099" s="25" t="s">
        <v>6429</v>
      </c>
      <c r="F1099" s="25" t="s">
        <v>6430</v>
      </c>
      <c r="G1099" s="25"/>
      <c r="H1099" s="25" t="s">
        <v>6592</v>
      </c>
      <c r="I1099" s="25" t="s">
        <v>3353</v>
      </c>
      <c r="J1099" s="25" t="s">
        <v>6432</v>
      </c>
    </row>
    <row r="1100" spans="1:10" ht="76" x14ac:dyDescent="0.2">
      <c r="A1100" s="25" t="s">
        <v>3109</v>
      </c>
      <c r="B1100" s="25">
        <v>2026</v>
      </c>
      <c r="C1100" s="25" t="s">
        <v>6593</v>
      </c>
      <c r="D1100" s="25" t="s">
        <v>6594</v>
      </c>
      <c r="E1100" s="25" t="s">
        <v>6429</v>
      </c>
      <c r="F1100" s="25" t="s">
        <v>6430</v>
      </c>
      <c r="G1100" s="25"/>
      <c r="H1100" s="25" t="s">
        <v>6595</v>
      </c>
      <c r="I1100" s="25" t="s">
        <v>3353</v>
      </c>
      <c r="J1100" s="25" t="s">
        <v>6432</v>
      </c>
    </row>
    <row r="1101" spans="1:10" ht="133" x14ac:dyDescent="0.2">
      <c r="A1101" s="25" t="s">
        <v>3117</v>
      </c>
      <c r="B1101" s="25">
        <v>2026</v>
      </c>
      <c r="C1101" s="25" t="s">
        <v>6596</v>
      </c>
      <c r="D1101" s="25" t="s">
        <v>6597</v>
      </c>
      <c r="E1101" s="25" t="s">
        <v>6429</v>
      </c>
      <c r="F1101" s="25" t="s">
        <v>6430</v>
      </c>
      <c r="G1101" s="25"/>
      <c r="H1101" s="25" t="s">
        <v>6598</v>
      </c>
      <c r="I1101" s="25" t="s">
        <v>3353</v>
      </c>
      <c r="J1101" s="25" t="s">
        <v>6432</v>
      </c>
    </row>
    <row r="1102" spans="1:10" ht="114" x14ac:dyDescent="0.2">
      <c r="A1102" s="25" t="s">
        <v>3125</v>
      </c>
      <c r="B1102" s="25">
        <v>2025</v>
      </c>
      <c r="C1102" s="25" t="s">
        <v>6599</v>
      </c>
      <c r="D1102" s="25" t="s">
        <v>6600</v>
      </c>
      <c r="E1102" s="25" t="s">
        <v>6429</v>
      </c>
      <c r="F1102" s="25" t="s">
        <v>6430</v>
      </c>
      <c r="G1102" s="25"/>
      <c r="H1102" s="25" t="s">
        <v>6601</v>
      </c>
      <c r="I1102" s="25" t="s">
        <v>3353</v>
      </c>
      <c r="J1102" s="25" t="s">
        <v>6432</v>
      </c>
    </row>
    <row r="1103" spans="1:10" ht="95" x14ac:dyDescent="0.2">
      <c r="A1103" s="25" t="s">
        <v>3132</v>
      </c>
      <c r="B1103" s="25">
        <v>2026</v>
      </c>
      <c r="C1103" s="25" t="s">
        <v>6602</v>
      </c>
      <c r="D1103" s="25" t="s">
        <v>6603</v>
      </c>
      <c r="E1103" s="25" t="s">
        <v>6429</v>
      </c>
      <c r="F1103" s="25" t="s">
        <v>6430</v>
      </c>
      <c r="G1103" s="25"/>
      <c r="H1103" s="25" t="s">
        <v>6604</v>
      </c>
      <c r="I1103" s="25" t="s">
        <v>3353</v>
      </c>
      <c r="J1103" s="25" t="s">
        <v>6432</v>
      </c>
    </row>
    <row r="1104" spans="1:10" ht="114" x14ac:dyDescent="0.2">
      <c r="A1104" s="25" t="s">
        <v>3140</v>
      </c>
      <c r="B1104" s="25">
        <v>2026</v>
      </c>
      <c r="C1104" s="25" t="s">
        <v>6605</v>
      </c>
      <c r="D1104" s="25" t="s">
        <v>6606</v>
      </c>
      <c r="E1104" s="25" t="s">
        <v>6429</v>
      </c>
      <c r="F1104" s="25" t="s">
        <v>6430</v>
      </c>
      <c r="G1104" s="25"/>
      <c r="H1104" s="25" t="s">
        <v>6607</v>
      </c>
      <c r="I1104" s="25" t="s">
        <v>3353</v>
      </c>
      <c r="J1104" s="25" t="s">
        <v>6432</v>
      </c>
    </row>
    <row r="1105" spans="1:10" ht="114" x14ac:dyDescent="0.2">
      <c r="A1105" s="25" t="s">
        <v>3147</v>
      </c>
      <c r="B1105" s="25">
        <v>2026</v>
      </c>
      <c r="C1105" s="25" t="s">
        <v>6608</v>
      </c>
      <c r="D1105" s="25" t="s">
        <v>6609</v>
      </c>
      <c r="E1105" s="25" t="s">
        <v>6429</v>
      </c>
      <c r="F1105" s="25" t="s">
        <v>6430</v>
      </c>
      <c r="G1105" s="25"/>
      <c r="H1105" s="25" t="s">
        <v>6610</v>
      </c>
      <c r="I1105" s="25" t="s">
        <v>3353</v>
      </c>
      <c r="J1105" s="25" t="s">
        <v>6432</v>
      </c>
    </row>
    <row r="1106" spans="1:10" ht="95" x14ac:dyDescent="0.2">
      <c r="A1106" s="25" t="s">
        <v>3155</v>
      </c>
      <c r="B1106" s="25">
        <v>2026</v>
      </c>
      <c r="C1106" s="25" t="s">
        <v>6611</v>
      </c>
      <c r="D1106" s="25" t="s">
        <v>6612</v>
      </c>
      <c r="E1106" s="25" t="s">
        <v>6429</v>
      </c>
      <c r="F1106" s="25" t="s">
        <v>6430</v>
      </c>
      <c r="G1106" s="25"/>
      <c r="H1106" s="25" t="s">
        <v>6397</v>
      </c>
      <c r="I1106" s="25" t="s">
        <v>3353</v>
      </c>
      <c r="J1106" s="25" t="s">
        <v>6432</v>
      </c>
    </row>
    <row r="1107" spans="1:10" ht="133" x14ac:dyDescent="0.2">
      <c r="A1107" s="25" t="s">
        <v>3163</v>
      </c>
      <c r="B1107" s="25">
        <v>2025</v>
      </c>
      <c r="C1107" s="25" t="s">
        <v>6613</v>
      </c>
      <c r="D1107" s="25" t="s">
        <v>6614</v>
      </c>
      <c r="E1107" s="25" t="s">
        <v>6429</v>
      </c>
      <c r="F1107" s="25" t="s">
        <v>6430</v>
      </c>
      <c r="G1107" s="25"/>
      <c r="H1107" s="25" t="s">
        <v>6615</v>
      </c>
      <c r="I1107" s="25" t="s">
        <v>3353</v>
      </c>
      <c r="J1107" s="25" t="s">
        <v>6432</v>
      </c>
    </row>
    <row r="1108" spans="1:10" ht="152" x14ac:dyDescent="0.2">
      <c r="A1108" s="25" t="s">
        <v>3171</v>
      </c>
      <c r="B1108" s="25">
        <v>2026</v>
      </c>
      <c r="C1108" s="25" t="s">
        <v>6616</v>
      </c>
      <c r="D1108" s="25" t="s">
        <v>6617</v>
      </c>
      <c r="E1108" s="25" t="s">
        <v>6429</v>
      </c>
      <c r="F1108" s="25" t="s">
        <v>6430</v>
      </c>
      <c r="G1108" s="25"/>
      <c r="H1108" s="25" t="s">
        <v>6618</v>
      </c>
      <c r="I1108" s="25" t="s">
        <v>3353</v>
      </c>
      <c r="J1108" s="25" t="s">
        <v>6432</v>
      </c>
    </row>
    <row r="1109" spans="1:10" ht="95" x14ac:dyDescent="0.2">
      <c r="A1109" s="25" t="s">
        <v>3179</v>
      </c>
      <c r="B1109" s="25">
        <v>2026</v>
      </c>
      <c r="C1109" s="25" t="s">
        <v>6619</v>
      </c>
      <c r="D1109" s="25" t="s">
        <v>6620</v>
      </c>
      <c r="E1109" s="25" t="s">
        <v>6429</v>
      </c>
      <c r="F1109" s="25" t="s">
        <v>6430</v>
      </c>
      <c r="G1109" s="25"/>
      <c r="H1109" s="25" t="s">
        <v>6621</v>
      </c>
      <c r="I1109" s="25" t="s">
        <v>3353</v>
      </c>
      <c r="J1109" s="25" t="s">
        <v>6432</v>
      </c>
    </row>
    <row r="1110" spans="1:10" ht="95" x14ac:dyDescent="0.2">
      <c r="A1110" s="25" t="s">
        <v>3187</v>
      </c>
      <c r="B1110" s="25">
        <v>2026</v>
      </c>
      <c r="C1110" s="25" t="s">
        <v>6622</v>
      </c>
      <c r="D1110" s="25" t="s">
        <v>6623</v>
      </c>
      <c r="E1110" s="25" t="s">
        <v>6429</v>
      </c>
      <c r="F1110" s="25" t="s">
        <v>6430</v>
      </c>
      <c r="G1110" s="25"/>
      <c r="H1110" s="25" t="s">
        <v>6624</v>
      </c>
      <c r="I1110" s="25" t="s">
        <v>3353</v>
      </c>
      <c r="J1110" s="25" t="s">
        <v>6432</v>
      </c>
    </row>
    <row r="1111" spans="1:10" ht="57" x14ac:dyDescent="0.2">
      <c r="A1111" s="25" t="s">
        <v>3194</v>
      </c>
      <c r="B1111" s="25">
        <v>2025</v>
      </c>
      <c r="C1111" s="25" t="s">
        <v>6625</v>
      </c>
      <c r="D1111" s="25" t="s">
        <v>6626</v>
      </c>
      <c r="E1111" s="25" t="s">
        <v>6429</v>
      </c>
      <c r="F1111" s="25" t="s">
        <v>6430</v>
      </c>
      <c r="G1111" s="25"/>
      <c r="H1111" s="25" t="s">
        <v>6627</v>
      </c>
      <c r="I1111" s="25" t="s">
        <v>3510</v>
      </c>
      <c r="J1111" s="25" t="s">
        <v>6432</v>
      </c>
    </row>
    <row r="1112" spans="1:10" ht="95" x14ac:dyDescent="0.2">
      <c r="A1112" s="25" t="s">
        <v>3201</v>
      </c>
      <c r="B1112" s="25">
        <v>2026</v>
      </c>
      <c r="C1112" s="25" t="s">
        <v>6628</v>
      </c>
      <c r="D1112" s="25" t="s">
        <v>6629</v>
      </c>
      <c r="E1112" s="25" t="s">
        <v>6429</v>
      </c>
      <c r="F1112" s="25" t="s">
        <v>6430</v>
      </c>
      <c r="G1112" s="25"/>
      <c r="H1112" s="25" t="s">
        <v>6630</v>
      </c>
      <c r="I1112" s="25" t="s">
        <v>3353</v>
      </c>
      <c r="J1112" s="25" t="s">
        <v>6432</v>
      </c>
    </row>
    <row r="1113" spans="1:10" ht="95" x14ac:dyDescent="0.2">
      <c r="A1113" s="25" t="s">
        <v>3209</v>
      </c>
      <c r="B1113" s="25">
        <v>2026</v>
      </c>
      <c r="C1113" s="25" t="s">
        <v>6631</v>
      </c>
      <c r="D1113" s="25" t="s">
        <v>6632</v>
      </c>
      <c r="E1113" s="25" t="s">
        <v>6429</v>
      </c>
      <c r="F1113" s="25" t="s">
        <v>6430</v>
      </c>
      <c r="G1113" s="25"/>
      <c r="H1113" s="25" t="s">
        <v>6633</v>
      </c>
      <c r="I1113" s="25" t="s">
        <v>3353</v>
      </c>
      <c r="J1113" s="25" t="s">
        <v>6432</v>
      </c>
    </row>
    <row r="1114" spans="1:10" ht="95" x14ac:dyDescent="0.2">
      <c r="A1114" s="25" t="s">
        <v>3217</v>
      </c>
      <c r="B1114" s="25">
        <v>2026</v>
      </c>
      <c r="C1114" s="25" t="s">
        <v>6634</v>
      </c>
      <c r="D1114" s="25" t="s">
        <v>6635</v>
      </c>
      <c r="E1114" s="25" t="s">
        <v>6429</v>
      </c>
      <c r="F1114" s="25" t="s">
        <v>6430</v>
      </c>
      <c r="G1114" s="25"/>
      <c r="H1114" s="25" t="s">
        <v>6636</v>
      </c>
      <c r="I1114" s="25" t="s">
        <v>3353</v>
      </c>
      <c r="J1114" s="25" t="s">
        <v>6432</v>
      </c>
    </row>
    <row r="1115" spans="1:10" ht="114" x14ac:dyDescent="0.2">
      <c r="A1115" s="25" t="s">
        <v>3223</v>
      </c>
      <c r="B1115" s="25">
        <v>2026</v>
      </c>
      <c r="C1115" s="25" t="s">
        <v>6637</v>
      </c>
      <c r="D1115" s="25" t="s">
        <v>6638</v>
      </c>
      <c r="E1115" s="25" t="s">
        <v>6429</v>
      </c>
      <c r="F1115" s="25" t="s">
        <v>6430</v>
      </c>
      <c r="G1115" s="25"/>
      <c r="H1115" s="25" t="s">
        <v>6639</v>
      </c>
      <c r="I1115" s="25" t="s">
        <v>3353</v>
      </c>
      <c r="J1115" s="25" t="s">
        <v>6432</v>
      </c>
    </row>
    <row r="1116" spans="1:10" ht="76" x14ac:dyDescent="0.2">
      <c r="A1116" s="25" t="s">
        <v>3229</v>
      </c>
      <c r="B1116" s="25">
        <v>2025</v>
      </c>
      <c r="C1116" s="25" t="s">
        <v>6640</v>
      </c>
      <c r="D1116" s="25" t="s">
        <v>6641</v>
      </c>
      <c r="E1116" s="25" t="s">
        <v>6429</v>
      </c>
      <c r="F1116" s="25" t="s">
        <v>6430</v>
      </c>
      <c r="G1116" s="25"/>
      <c r="H1116" s="25" t="s">
        <v>6642</v>
      </c>
      <c r="I1116" s="25" t="s">
        <v>3353</v>
      </c>
      <c r="J1116" s="25" t="s">
        <v>6432</v>
      </c>
    </row>
    <row r="1117" spans="1:10" ht="114" x14ac:dyDescent="0.2">
      <c r="A1117" s="25" t="s">
        <v>3236</v>
      </c>
      <c r="B1117" s="25">
        <v>2025</v>
      </c>
      <c r="C1117" s="25" t="s">
        <v>6643</v>
      </c>
      <c r="D1117" s="25" t="s">
        <v>6644</v>
      </c>
      <c r="E1117" s="25" t="s">
        <v>6429</v>
      </c>
      <c r="F1117" s="25" t="s">
        <v>6430</v>
      </c>
      <c r="G1117" s="25"/>
      <c r="H1117" s="25" t="s">
        <v>6645</v>
      </c>
      <c r="I1117" s="25" t="s">
        <v>3353</v>
      </c>
      <c r="J1117" s="25" t="s">
        <v>6432</v>
      </c>
    </row>
    <row r="1118" spans="1:10" ht="76" x14ac:dyDescent="0.2">
      <c r="A1118" s="25" t="s">
        <v>3243</v>
      </c>
      <c r="B1118" s="25">
        <v>2026</v>
      </c>
      <c r="C1118" s="25" t="s">
        <v>6646</v>
      </c>
      <c r="D1118" s="25" t="s">
        <v>6647</v>
      </c>
      <c r="E1118" s="25" t="s">
        <v>6429</v>
      </c>
      <c r="F1118" s="25" t="s">
        <v>6430</v>
      </c>
      <c r="G1118" s="25"/>
      <c r="H1118" s="25" t="s">
        <v>6648</v>
      </c>
      <c r="I1118" s="25" t="s">
        <v>3353</v>
      </c>
      <c r="J1118" s="25" t="s">
        <v>6432</v>
      </c>
    </row>
    <row r="1119" spans="1:10" ht="114" x14ac:dyDescent="0.2">
      <c r="A1119" s="25" t="s">
        <v>3248</v>
      </c>
      <c r="B1119" s="25">
        <v>2024</v>
      </c>
      <c r="C1119" s="25" t="s">
        <v>6649</v>
      </c>
      <c r="D1119" s="25" t="s">
        <v>6650</v>
      </c>
      <c r="E1119" s="25" t="s">
        <v>6429</v>
      </c>
      <c r="F1119" s="25" t="s">
        <v>6430</v>
      </c>
      <c r="G1119" s="25"/>
      <c r="H1119" s="25" t="s">
        <v>6651</v>
      </c>
      <c r="I1119" s="25" t="s">
        <v>3353</v>
      </c>
      <c r="J1119" s="25" t="s">
        <v>6432</v>
      </c>
    </row>
    <row r="1120" spans="1:10" ht="95" x14ac:dyDescent="0.2">
      <c r="A1120" s="25" t="s">
        <v>3256</v>
      </c>
      <c r="B1120" s="25">
        <v>2024</v>
      </c>
      <c r="C1120" s="25" t="s">
        <v>6652</v>
      </c>
      <c r="D1120" s="25" t="s">
        <v>6653</v>
      </c>
      <c r="E1120" s="25" t="s">
        <v>6429</v>
      </c>
      <c r="F1120" s="25" t="s">
        <v>6430</v>
      </c>
      <c r="G1120" s="25"/>
      <c r="H1120" s="25" t="s">
        <v>6654</v>
      </c>
      <c r="I1120" s="25" t="s">
        <v>3353</v>
      </c>
      <c r="J1120" s="25" t="s">
        <v>6432</v>
      </c>
    </row>
    <row r="1121" spans="1:10" ht="95" x14ac:dyDescent="0.2">
      <c r="A1121" s="25" t="s">
        <v>3264</v>
      </c>
      <c r="B1121" s="25">
        <v>2024</v>
      </c>
      <c r="C1121" s="25" t="s">
        <v>6655</v>
      </c>
      <c r="D1121" s="25" t="s">
        <v>6656</v>
      </c>
      <c r="E1121" s="25" t="s">
        <v>6429</v>
      </c>
      <c r="F1121" s="25" t="s">
        <v>6430</v>
      </c>
      <c r="G1121" s="25"/>
      <c r="H1121" s="25" t="s">
        <v>6657</v>
      </c>
      <c r="I1121" s="25" t="s">
        <v>3353</v>
      </c>
      <c r="J1121" s="25" t="s">
        <v>6432</v>
      </c>
    </row>
    <row r="1122" spans="1:10" ht="76" x14ac:dyDescent="0.2">
      <c r="A1122" s="25" t="s">
        <v>3272</v>
      </c>
      <c r="B1122" s="25">
        <v>2024</v>
      </c>
      <c r="C1122" s="25" t="s">
        <v>6658</v>
      </c>
      <c r="D1122" s="25" t="s">
        <v>6659</v>
      </c>
      <c r="E1122" s="25" t="s">
        <v>6429</v>
      </c>
      <c r="F1122" s="25" t="s">
        <v>6430</v>
      </c>
      <c r="G1122" s="25"/>
      <c r="H1122" s="25" t="s">
        <v>6660</v>
      </c>
      <c r="I1122" s="25" t="s">
        <v>3353</v>
      </c>
      <c r="J1122" s="25" t="s">
        <v>6432</v>
      </c>
    </row>
    <row r="1123" spans="1:10" ht="76" x14ac:dyDescent="0.2">
      <c r="A1123" s="25" t="s">
        <v>3278</v>
      </c>
      <c r="B1123" s="25">
        <v>2025</v>
      </c>
      <c r="C1123" s="25" t="s">
        <v>6661</v>
      </c>
      <c r="D1123" s="25" t="s">
        <v>6662</v>
      </c>
      <c r="E1123" s="25" t="s">
        <v>6429</v>
      </c>
      <c r="F1123" s="25" t="s">
        <v>6430</v>
      </c>
      <c r="G1123" s="25"/>
      <c r="H1123" s="25" t="s">
        <v>6663</v>
      </c>
      <c r="I1123" s="25" t="s">
        <v>3353</v>
      </c>
      <c r="J1123" s="25" t="s">
        <v>6432</v>
      </c>
    </row>
    <row r="1124" spans="1:10" ht="95" x14ac:dyDescent="0.2">
      <c r="A1124" s="25" t="s">
        <v>3286</v>
      </c>
      <c r="B1124" s="25">
        <v>2025</v>
      </c>
      <c r="C1124" s="25" t="s">
        <v>6664</v>
      </c>
      <c r="D1124" s="25" t="s">
        <v>6665</v>
      </c>
      <c r="E1124" s="25" t="s">
        <v>6429</v>
      </c>
      <c r="F1124" s="25" t="s">
        <v>6430</v>
      </c>
      <c r="G1124" s="25"/>
      <c r="H1124" s="25" t="s">
        <v>6666</v>
      </c>
      <c r="I1124" s="25" t="s">
        <v>3353</v>
      </c>
      <c r="J1124" s="25" t="s">
        <v>6432</v>
      </c>
    </row>
    <row r="1125" spans="1:10" ht="95" x14ac:dyDescent="0.2">
      <c r="A1125" s="25" t="s">
        <v>3290</v>
      </c>
      <c r="B1125" s="25">
        <v>2024</v>
      </c>
      <c r="C1125" s="25" t="s">
        <v>6667</v>
      </c>
      <c r="D1125" s="25" t="s">
        <v>6668</v>
      </c>
      <c r="E1125" s="25" t="s">
        <v>6429</v>
      </c>
      <c r="F1125" s="25" t="s">
        <v>6430</v>
      </c>
      <c r="G1125" s="25"/>
      <c r="H1125" s="25" t="s">
        <v>6669</v>
      </c>
      <c r="I1125" s="25" t="s">
        <v>3353</v>
      </c>
      <c r="J1125" s="25" t="s">
        <v>6432</v>
      </c>
    </row>
    <row r="1126" spans="1:10" ht="76" x14ac:dyDescent="0.2">
      <c r="A1126" s="25" t="s">
        <v>3298</v>
      </c>
      <c r="B1126" s="25">
        <v>2024</v>
      </c>
      <c r="C1126" s="25" t="s">
        <v>6670</v>
      </c>
      <c r="D1126" s="25" t="s">
        <v>6671</v>
      </c>
      <c r="E1126" s="25" t="s">
        <v>6429</v>
      </c>
      <c r="F1126" s="25" t="s">
        <v>6430</v>
      </c>
      <c r="G1126" s="25"/>
      <c r="H1126" s="25" t="s">
        <v>6672</v>
      </c>
      <c r="I1126" s="25" t="s">
        <v>3353</v>
      </c>
      <c r="J1126" s="25" t="s">
        <v>6432</v>
      </c>
    </row>
    <row r="1127" spans="1:10" ht="38" x14ac:dyDescent="0.2">
      <c r="A1127" s="25" t="s">
        <v>3306</v>
      </c>
      <c r="B1127" s="25">
        <v>2024</v>
      </c>
      <c r="C1127" s="25" t="s">
        <v>6673</v>
      </c>
      <c r="D1127" s="25" t="s">
        <v>6674</v>
      </c>
      <c r="E1127" s="25" t="s">
        <v>6429</v>
      </c>
      <c r="F1127" s="25" t="s">
        <v>6430</v>
      </c>
      <c r="G1127" s="25"/>
      <c r="H1127" s="25" t="s">
        <v>3597</v>
      </c>
      <c r="I1127" s="25" t="s">
        <v>3353</v>
      </c>
      <c r="J1127" s="25" t="s">
        <v>6432</v>
      </c>
    </row>
    <row r="1128" spans="1:10" ht="114" x14ac:dyDescent="0.2">
      <c r="A1128" s="25" t="s">
        <v>3313</v>
      </c>
      <c r="B1128" s="25">
        <v>2026</v>
      </c>
      <c r="C1128" s="25" t="s">
        <v>6675</v>
      </c>
      <c r="D1128" s="25" t="s">
        <v>6676</v>
      </c>
      <c r="E1128" s="25" t="s">
        <v>6429</v>
      </c>
      <c r="F1128" s="25" t="s">
        <v>6430</v>
      </c>
      <c r="G1128" s="25"/>
      <c r="H1128" s="25" t="s">
        <v>6677</v>
      </c>
      <c r="I1128" s="25" t="s">
        <v>3353</v>
      </c>
      <c r="J1128" s="25" t="s">
        <v>6432</v>
      </c>
    </row>
    <row r="1129" spans="1:10" ht="76" x14ac:dyDescent="0.2">
      <c r="A1129" s="25" t="s">
        <v>3318</v>
      </c>
      <c r="B1129" s="25">
        <v>2025</v>
      </c>
      <c r="C1129" s="25" t="s">
        <v>6678</v>
      </c>
      <c r="D1129" s="25" t="s">
        <v>6679</v>
      </c>
      <c r="E1129" s="25" t="s">
        <v>6429</v>
      </c>
      <c r="F1129" s="25" t="s">
        <v>6430</v>
      </c>
      <c r="G1129" s="25"/>
      <c r="H1129" s="25" t="s">
        <v>6680</v>
      </c>
      <c r="I1129" s="25" t="s">
        <v>3353</v>
      </c>
      <c r="J1129" s="25" t="s">
        <v>6432</v>
      </c>
    </row>
    <row r="1130" spans="1:10" ht="76" x14ac:dyDescent="0.2">
      <c r="A1130" s="25" t="s">
        <v>3318</v>
      </c>
      <c r="B1130" s="25">
        <v>2025</v>
      </c>
      <c r="C1130" s="25" t="s">
        <v>6681</v>
      </c>
      <c r="D1130" s="25" t="s">
        <v>6682</v>
      </c>
      <c r="E1130" s="25" t="s">
        <v>6429</v>
      </c>
      <c r="F1130" s="25" t="s">
        <v>6430</v>
      </c>
      <c r="G1130" s="25"/>
      <c r="H1130" s="25" t="s">
        <v>6683</v>
      </c>
      <c r="I1130" s="25" t="s">
        <v>3353</v>
      </c>
      <c r="J1130" s="25" t="s">
        <v>6432</v>
      </c>
    </row>
    <row r="1131" spans="1:10" ht="152" x14ac:dyDescent="0.2">
      <c r="A1131" s="25" t="s">
        <v>3325</v>
      </c>
      <c r="B1131" s="25">
        <v>2026</v>
      </c>
      <c r="C1131" s="25" t="s">
        <v>6684</v>
      </c>
      <c r="D1131" s="25" t="s">
        <v>6685</v>
      </c>
      <c r="E1131" s="25" t="s">
        <v>6429</v>
      </c>
      <c r="F1131" s="25" t="s">
        <v>6430</v>
      </c>
      <c r="G1131" s="25"/>
      <c r="H1131" s="25" t="s">
        <v>6686</v>
      </c>
      <c r="I1131" s="25" t="s">
        <v>3353</v>
      </c>
      <c r="J1131" s="25" t="s">
        <v>6432</v>
      </c>
    </row>
    <row r="1132" spans="1:10" ht="95" x14ac:dyDescent="0.2">
      <c r="A1132" s="25" t="s">
        <v>3325</v>
      </c>
      <c r="B1132" s="25">
        <v>2026</v>
      </c>
      <c r="C1132" s="25" t="s">
        <v>6687</v>
      </c>
      <c r="D1132" s="25" t="s">
        <v>6688</v>
      </c>
      <c r="E1132" s="25" t="s">
        <v>6429</v>
      </c>
      <c r="F1132" s="25" t="s">
        <v>6430</v>
      </c>
      <c r="G1132" s="25"/>
      <c r="H1132" s="25" t="s">
        <v>6689</v>
      </c>
      <c r="I1132" s="25" t="s">
        <v>3353</v>
      </c>
      <c r="J1132" s="25" t="s">
        <v>6432</v>
      </c>
    </row>
    <row r="1133" spans="1:10" ht="133" x14ac:dyDescent="0.2">
      <c r="A1133" s="25" t="s">
        <v>3332</v>
      </c>
      <c r="B1133" s="25">
        <v>2026</v>
      </c>
      <c r="C1133" s="25" t="s">
        <v>6690</v>
      </c>
      <c r="D1133" s="25" t="s">
        <v>6691</v>
      </c>
      <c r="E1133" s="25" t="s">
        <v>6429</v>
      </c>
      <c r="F1133" s="25" t="s">
        <v>6430</v>
      </c>
      <c r="G1133" s="25"/>
      <c r="H1133" s="25" t="s">
        <v>6692</v>
      </c>
      <c r="I1133" s="25" t="s">
        <v>3353</v>
      </c>
      <c r="J1133" s="25" t="s">
        <v>6432</v>
      </c>
    </row>
    <row r="1134" spans="1:10" ht="114" x14ac:dyDescent="0.2">
      <c r="A1134" s="25" t="s">
        <v>2825</v>
      </c>
      <c r="B1134" s="25">
        <v>2025</v>
      </c>
      <c r="C1134" s="25" t="s">
        <v>6693</v>
      </c>
      <c r="D1134" s="25" t="s">
        <v>6694</v>
      </c>
      <c r="E1134" s="25" t="s">
        <v>6695</v>
      </c>
      <c r="F1134" s="25" t="s">
        <v>6430</v>
      </c>
      <c r="G1134" s="25"/>
      <c r="H1134" s="25" t="s">
        <v>6696</v>
      </c>
      <c r="I1134" s="25" t="s">
        <v>3353</v>
      </c>
      <c r="J1134" s="25" t="s">
        <v>6432</v>
      </c>
    </row>
    <row r="1135" spans="1:10" ht="57" x14ac:dyDescent="0.2">
      <c r="A1135" s="25" t="s">
        <v>2825</v>
      </c>
      <c r="B1135" s="25">
        <v>2025</v>
      </c>
      <c r="C1135" s="25" t="s">
        <v>6697</v>
      </c>
      <c r="D1135" s="25" t="s">
        <v>6698</v>
      </c>
      <c r="E1135" s="25" t="s">
        <v>6695</v>
      </c>
      <c r="F1135" s="25" t="s">
        <v>6430</v>
      </c>
      <c r="G1135" s="25"/>
      <c r="H1135" s="25" t="s">
        <v>6699</v>
      </c>
      <c r="I1135" s="25" t="s">
        <v>3510</v>
      </c>
      <c r="J1135" s="25" t="s">
        <v>6432</v>
      </c>
    </row>
    <row r="1136" spans="1:10" ht="76" x14ac:dyDescent="0.2">
      <c r="A1136" s="25" t="s">
        <v>2833</v>
      </c>
      <c r="B1136" s="25">
        <v>2026</v>
      </c>
      <c r="C1136" s="25" t="s">
        <v>6700</v>
      </c>
      <c r="D1136" s="25" t="s">
        <v>6701</v>
      </c>
      <c r="E1136" s="25" t="s">
        <v>6695</v>
      </c>
      <c r="F1136" s="25" t="s">
        <v>6430</v>
      </c>
      <c r="G1136" s="25"/>
      <c r="H1136" s="25" t="s">
        <v>6702</v>
      </c>
      <c r="I1136" s="25" t="s">
        <v>3353</v>
      </c>
      <c r="J1136" s="25" t="s">
        <v>6432</v>
      </c>
    </row>
    <row r="1137" spans="1:10" ht="95" x14ac:dyDescent="0.2">
      <c r="A1137" s="25" t="s">
        <v>2841</v>
      </c>
      <c r="B1137" s="25">
        <v>2026</v>
      </c>
      <c r="C1137" s="25" t="s">
        <v>6703</v>
      </c>
      <c r="D1137" s="25" t="s">
        <v>6704</v>
      </c>
      <c r="E1137" s="25" t="s">
        <v>6695</v>
      </c>
      <c r="F1137" s="25" t="s">
        <v>6430</v>
      </c>
      <c r="G1137" s="25"/>
      <c r="H1137" s="25" t="s">
        <v>6705</v>
      </c>
      <c r="I1137" s="25" t="s">
        <v>3353</v>
      </c>
      <c r="J1137" s="25" t="s">
        <v>6432</v>
      </c>
    </row>
    <row r="1138" spans="1:10" ht="76" x14ac:dyDescent="0.2">
      <c r="A1138" s="25" t="s">
        <v>2841</v>
      </c>
      <c r="B1138" s="25">
        <v>2026</v>
      </c>
      <c r="C1138" s="25" t="s">
        <v>6706</v>
      </c>
      <c r="D1138" s="25" t="s">
        <v>6707</v>
      </c>
      <c r="E1138" s="25" t="s">
        <v>6695</v>
      </c>
      <c r="F1138" s="25" t="s">
        <v>6430</v>
      </c>
      <c r="G1138" s="25"/>
      <c r="H1138" s="25" t="s">
        <v>6455</v>
      </c>
      <c r="I1138" s="25" t="s">
        <v>3353</v>
      </c>
      <c r="J1138" s="25" t="s">
        <v>6432</v>
      </c>
    </row>
    <row r="1139" spans="1:10" ht="76" x14ac:dyDescent="0.2">
      <c r="A1139" s="25" t="s">
        <v>2849</v>
      </c>
      <c r="B1139" s="25">
        <v>2026</v>
      </c>
      <c r="C1139" s="25" t="s">
        <v>6708</v>
      </c>
      <c r="D1139" s="25" t="s">
        <v>6709</v>
      </c>
      <c r="E1139" s="25" t="s">
        <v>6695</v>
      </c>
      <c r="F1139" s="25" t="s">
        <v>6430</v>
      </c>
      <c r="G1139" s="25"/>
      <c r="H1139" s="25" t="s">
        <v>6710</v>
      </c>
      <c r="I1139" s="25" t="s">
        <v>3353</v>
      </c>
      <c r="J1139" s="25" t="s">
        <v>6432</v>
      </c>
    </row>
    <row r="1140" spans="1:10" ht="76" x14ac:dyDescent="0.2">
      <c r="A1140" s="25" t="s">
        <v>2857</v>
      </c>
      <c r="B1140" s="25">
        <v>2026</v>
      </c>
      <c r="C1140" s="25" t="s">
        <v>6711</v>
      </c>
      <c r="D1140" s="25" t="s">
        <v>6712</v>
      </c>
      <c r="E1140" s="25" t="s">
        <v>6695</v>
      </c>
      <c r="F1140" s="25" t="s">
        <v>6430</v>
      </c>
      <c r="G1140" s="25"/>
      <c r="H1140" s="25" t="s">
        <v>6713</v>
      </c>
      <c r="I1140" s="25" t="s">
        <v>3353</v>
      </c>
      <c r="J1140" s="25" t="s">
        <v>6432</v>
      </c>
    </row>
    <row r="1141" spans="1:10" ht="76" x14ac:dyDescent="0.2">
      <c r="A1141" s="25" t="s">
        <v>2865</v>
      </c>
      <c r="B1141" s="25">
        <v>2025</v>
      </c>
      <c r="C1141" s="25" t="s">
        <v>6714</v>
      </c>
      <c r="D1141" s="25" t="s">
        <v>6715</v>
      </c>
      <c r="E1141" s="25" t="s">
        <v>6695</v>
      </c>
      <c r="F1141" s="25" t="s">
        <v>6430</v>
      </c>
      <c r="G1141" s="25"/>
      <c r="H1141" s="25" t="s">
        <v>6716</v>
      </c>
      <c r="I1141" s="25" t="s">
        <v>3353</v>
      </c>
      <c r="J1141" s="25" t="s">
        <v>6432</v>
      </c>
    </row>
    <row r="1142" spans="1:10" ht="76" x14ac:dyDescent="0.2">
      <c r="A1142" s="25" t="s">
        <v>2865</v>
      </c>
      <c r="B1142" s="25">
        <v>2025</v>
      </c>
      <c r="C1142" s="25" t="s">
        <v>6717</v>
      </c>
      <c r="D1142" s="25" t="s">
        <v>6718</v>
      </c>
      <c r="E1142" s="25" t="s">
        <v>6695</v>
      </c>
      <c r="F1142" s="25" t="s">
        <v>6430</v>
      </c>
      <c r="G1142" s="25"/>
      <c r="H1142" s="25" t="s">
        <v>6719</v>
      </c>
      <c r="I1142" s="25" t="s">
        <v>3353</v>
      </c>
      <c r="J1142" s="25" t="s">
        <v>6432</v>
      </c>
    </row>
    <row r="1143" spans="1:10" ht="57" x14ac:dyDescent="0.2">
      <c r="A1143" s="25" t="s">
        <v>2873</v>
      </c>
      <c r="B1143" s="25">
        <v>2025</v>
      </c>
      <c r="C1143" s="25" t="s">
        <v>6720</v>
      </c>
      <c r="D1143" s="25" t="s">
        <v>6721</v>
      </c>
      <c r="E1143" s="25" t="s">
        <v>6695</v>
      </c>
      <c r="F1143" s="25" t="s">
        <v>6430</v>
      </c>
      <c r="G1143" s="25"/>
      <c r="H1143" s="25" t="s">
        <v>4801</v>
      </c>
      <c r="I1143" s="25" t="s">
        <v>3353</v>
      </c>
      <c r="J1143" s="25" t="s">
        <v>6432</v>
      </c>
    </row>
    <row r="1144" spans="1:10" ht="57" x14ac:dyDescent="0.2">
      <c r="A1144" s="25" t="s">
        <v>2881</v>
      </c>
      <c r="B1144" s="25">
        <v>2026</v>
      </c>
      <c r="C1144" s="25" t="s">
        <v>6722</v>
      </c>
      <c r="D1144" s="25" t="s">
        <v>6723</v>
      </c>
      <c r="E1144" s="25" t="s">
        <v>6695</v>
      </c>
      <c r="F1144" s="25" t="s">
        <v>6430</v>
      </c>
      <c r="G1144" s="25"/>
      <c r="H1144" s="25" t="s">
        <v>6724</v>
      </c>
      <c r="I1144" s="25" t="s">
        <v>3353</v>
      </c>
      <c r="J1144" s="25" t="s">
        <v>6432</v>
      </c>
    </row>
    <row r="1145" spans="1:10" ht="114" x14ac:dyDescent="0.2">
      <c r="A1145" s="25" t="s">
        <v>2881</v>
      </c>
      <c r="B1145" s="25">
        <v>2026</v>
      </c>
      <c r="C1145" s="25" t="s">
        <v>6725</v>
      </c>
      <c r="D1145" s="25" t="s">
        <v>6726</v>
      </c>
      <c r="E1145" s="25" t="s">
        <v>6695</v>
      </c>
      <c r="F1145" s="25" t="s">
        <v>6430</v>
      </c>
      <c r="G1145" s="25"/>
      <c r="H1145" s="25" t="s">
        <v>6727</v>
      </c>
      <c r="I1145" s="25" t="s">
        <v>3353</v>
      </c>
      <c r="J1145" s="25" t="s">
        <v>6432</v>
      </c>
    </row>
    <row r="1146" spans="1:10" ht="76" x14ac:dyDescent="0.2">
      <c r="A1146" s="25" t="s">
        <v>2889</v>
      </c>
      <c r="B1146" s="25">
        <v>2026</v>
      </c>
      <c r="C1146" s="25" t="s">
        <v>6728</v>
      </c>
      <c r="D1146" s="25" t="s">
        <v>6729</v>
      </c>
      <c r="E1146" s="25" t="s">
        <v>6695</v>
      </c>
      <c r="F1146" s="25" t="s">
        <v>6430</v>
      </c>
      <c r="G1146" s="25"/>
      <c r="H1146" s="25" t="s">
        <v>6346</v>
      </c>
      <c r="I1146" s="25" t="s">
        <v>3353</v>
      </c>
      <c r="J1146" s="25" t="s">
        <v>6432</v>
      </c>
    </row>
    <row r="1147" spans="1:10" ht="95" x14ac:dyDescent="0.2">
      <c r="A1147" s="25" t="s">
        <v>2889</v>
      </c>
      <c r="B1147" s="25">
        <v>2026</v>
      </c>
      <c r="C1147" s="25" t="s">
        <v>6730</v>
      </c>
      <c r="D1147" s="25" t="s">
        <v>6731</v>
      </c>
      <c r="E1147" s="25" t="s">
        <v>6695</v>
      </c>
      <c r="F1147" s="25" t="s">
        <v>6430</v>
      </c>
      <c r="G1147" s="25"/>
      <c r="H1147" s="25" t="s">
        <v>6732</v>
      </c>
      <c r="I1147" s="25" t="s">
        <v>3353</v>
      </c>
      <c r="J1147" s="25" t="s">
        <v>6432</v>
      </c>
    </row>
    <row r="1148" spans="1:10" ht="95" x14ac:dyDescent="0.2">
      <c r="A1148" s="25" t="s">
        <v>2897</v>
      </c>
      <c r="B1148" s="25">
        <v>2026</v>
      </c>
      <c r="C1148" s="25" t="s">
        <v>6733</v>
      </c>
      <c r="D1148" s="25" t="s">
        <v>6734</v>
      </c>
      <c r="E1148" s="25" t="s">
        <v>6695</v>
      </c>
      <c r="F1148" s="25" t="s">
        <v>6430</v>
      </c>
      <c r="G1148" s="25"/>
      <c r="H1148" s="25" t="s">
        <v>3585</v>
      </c>
      <c r="I1148" s="25" t="s">
        <v>3353</v>
      </c>
      <c r="J1148" s="25" t="s">
        <v>6432</v>
      </c>
    </row>
    <row r="1149" spans="1:10" ht="114" x14ac:dyDescent="0.2">
      <c r="A1149" s="25" t="s">
        <v>2904</v>
      </c>
      <c r="B1149" s="25">
        <v>2026</v>
      </c>
      <c r="C1149" s="25" t="s">
        <v>6735</v>
      </c>
      <c r="D1149" s="25" t="s">
        <v>6736</v>
      </c>
      <c r="E1149" s="25" t="s">
        <v>6695</v>
      </c>
      <c r="F1149" s="25" t="s">
        <v>6430</v>
      </c>
      <c r="G1149" s="25"/>
      <c r="H1149" s="25" t="s">
        <v>6737</v>
      </c>
      <c r="I1149" s="25" t="s">
        <v>3353</v>
      </c>
      <c r="J1149" s="25" t="s">
        <v>6432</v>
      </c>
    </row>
    <row r="1150" spans="1:10" ht="95" x14ac:dyDescent="0.2">
      <c r="A1150" s="25" t="s">
        <v>2912</v>
      </c>
      <c r="B1150" s="25">
        <v>2026</v>
      </c>
      <c r="C1150" s="25" t="s">
        <v>6738</v>
      </c>
      <c r="D1150" s="25" t="s">
        <v>6739</v>
      </c>
      <c r="E1150" s="25" t="s">
        <v>6695</v>
      </c>
      <c r="F1150" s="25" t="s">
        <v>6430</v>
      </c>
      <c r="G1150" s="25"/>
      <c r="H1150" s="25" t="s">
        <v>6740</v>
      </c>
      <c r="I1150" s="25" t="s">
        <v>3353</v>
      </c>
      <c r="J1150" s="25" t="s">
        <v>6432</v>
      </c>
    </row>
    <row r="1151" spans="1:10" ht="171" x14ac:dyDescent="0.2">
      <c r="A1151" s="25" t="s">
        <v>2920</v>
      </c>
      <c r="B1151" s="25">
        <v>2026</v>
      </c>
      <c r="C1151" s="25" t="s">
        <v>6741</v>
      </c>
      <c r="D1151" s="25" t="s">
        <v>6742</v>
      </c>
      <c r="E1151" s="25" t="s">
        <v>6695</v>
      </c>
      <c r="F1151" s="25" t="s">
        <v>6430</v>
      </c>
      <c r="G1151" s="25"/>
      <c r="H1151" s="25" t="s">
        <v>6743</v>
      </c>
      <c r="I1151" s="25" t="s">
        <v>3353</v>
      </c>
      <c r="J1151" s="25" t="s">
        <v>6432</v>
      </c>
    </row>
    <row r="1152" spans="1:10" ht="76" x14ac:dyDescent="0.2">
      <c r="A1152" s="25" t="s">
        <v>2920</v>
      </c>
      <c r="B1152" s="25">
        <v>2026</v>
      </c>
      <c r="C1152" s="25" t="s">
        <v>6744</v>
      </c>
      <c r="D1152" s="25" t="s">
        <v>6745</v>
      </c>
      <c r="E1152" s="25" t="s">
        <v>6695</v>
      </c>
      <c r="F1152" s="25" t="s">
        <v>6430</v>
      </c>
      <c r="G1152" s="25"/>
      <c r="H1152" s="25" t="s">
        <v>6746</v>
      </c>
      <c r="I1152" s="25" t="s">
        <v>3510</v>
      </c>
      <c r="J1152" s="25" t="s">
        <v>6432</v>
      </c>
    </row>
    <row r="1153" spans="1:10" ht="76" x14ac:dyDescent="0.2">
      <c r="A1153" s="25" t="s">
        <v>2928</v>
      </c>
      <c r="B1153" s="25">
        <v>2025</v>
      </c>
      <c r="C1153" s="25" t="s">
        <v>6747</v>
      </c>
      <c r="D1153" s="25" t="s">
        <v>6748</v>
      </c>
      <c r="E1153" s="25" t="s">
        <v>6695</v>
      </c>
      <c r="F1153" s="25" t="s">
        <v>6430</v>
      </c>
      <c r="G1153" s="25"/>
      <c r="H1153" s="25" t="s">
        <v>6749</v>
      </c>
      <c r="I1153" s="25" t="s">
        <v>3353</v>
      </c>
      <c r="J1153" s="25" t="s">
        <v>6432</v>
      </c>
    </row>
    <row r="1154" spans="1:10" ht="171" x14ac:dyDescent="0.2">
      <c r="A1154" s="25" t="s">
        <v>2936</v>
      </c>
      <c r="B1154" s="25">
        <v>2025</v>
      </c>
      <c r="C1154" s="25" t="s">
        <v>6750</v>
      </c>
      <c r="D1154" s="25" t="s">
        <v>6751</v>
      </c>
      <c r="E1154" s="25" t="s">
        <v>6695</v>
      </c>
      <c r="F1154" s="25" t="s">
        <v>6430</v>
      </c>
      <c r="G1154" s="25"/>
      <c r="H1154" s="25" t="s">
        <v>6752</v>
      </c>
      <c r="I1154" s="25" t="s">
        <v>3353</v>
      </c>
      <c r="J1154" s="25" t="s">
        <v>6432</v>
      </c>
    </row>
    <row r="1155" spans="1:10" ht="171" x14ac:dyDescent="0.2">
      <c r="A1155" s="25" t="s">
        <v>2944</v>
      </c>
      <c r="B1155" s="25">
        <v>2026</v>
      </c>
      <c r="C1155" s="25" t="s">
        <v>6753</v>
      </c>
      <c r="D1155" s="25" t="s">
        <v>6754</v>
      </c>
      <c r="E1155" s="25" t="s">
        <v>6695</v>
      </c>
      <c r="F1155" s="25" t="s">
        <v>6430</v>
      </c>
      <c r="G1155" s="25"/>
      <c r="H1155" s="25" t="s">
        <v>6755</v>
      </c>
      <c r="I1155" s="25" t="s">
        <v>3353</v>
      </c>
      <c r="J1155" s="25" t="s">
        <v>6432</v>
      </c>
    </row>
    <row r="1156" spans="1:10" ht="114" x14ac:dyDescent="0.2">
      <c r="A1156" s="25" t="s">
        <v>2944</v>
      </c>
      <c r="B1156" s="25">
        <v>2026</v>
      </c>
      <c r="C1156" s="25" t="s">
        <v>6756</v>
      </c>
      <c r="D1156" s="25" t="s">
        <v>6757</v>
      </c>
      <c r="E1156" s="25" t="s">
        <v>6695</v>
      </c>
      <c r="F1156" s="25" t="s">
        <v>6430</v>
      </c>
      <c r="G1156" s="25"/>
      <c r="H1156" s="25" t="s">
        <v>6758</v>
      </c>
      <c r="I1156" s="25" t="s">
        <v>3353</v>
      </c>
      <c r="J1156" s="25" t="s">
        <v>6432</v>
      </c>
    </row>
    <row r="1157" spans="1:10" ht="76" x14ac:dyDescent="0.2">
      <c r="A1157" s="25" t="s">
        <v>2952</v>
      </c>
      <c r="B1157" s="25">
        <v>2026</v>
      </c>
      <c r="C1157" s="25" t="s">
        <v>6759</v>
      </c>
      <c r="D1157" s="25" t="s">
        <v>6760</v>
      </c>
      <c r="E1157" s="25" t="s">
        <v>6695</v>
      </c>
      <c r="F1157" s="25" t="s">
        <v>6430</v>
      </c>
      <c r="G1157" s="25"/>
      <c r="H1157" s="25" t="s">
        <v>6761</v>
      </c>
      <c r="I1157" s="25" t="s">
        <v>3510</v>
      </c>
      <c r="J1157" s="25" t="s">
        <v>6432</v>
      </c>
    </row>
    <row r="1158" spans="1:10" ht="152" x14ac:dyDescent="0.2">
      <c r="A1158" s="25" t="s">
        <v>2959</v>
      </c>
      <c r="B1158" s="25">
        <v>2025</v>
      </c>
      <c r="C1158" s="25" t="s">
        <v>6762</v>
      </c>
      <c r="D1158" s="25" t="s">
        <v>6763</v>
      </c>
      <c r="E1158" s="25" t="s">
        <v>6695</v>
      </c>
      <c r="F1158" s="25" t="s">
        <v>6430</v>
      </c>
      <c r="G1158" s="25"/>
      <c r="H1158" s="25" t="s">
        <v>6764</v>
      </c>
      <c r="I1158" s="25" t="s">
        <v>3353</v>
      </c>
      <c r="J1158" s="25" t="s">
        <v>6432</v>
      </c>
    </row>
    <row r="1159" spans="1:10" ht="57" x14ac:dyDescent="0.2">
      <c r="A1159" s="25" t="s">
        <v>2967</v>
      </c>
      <c r="B1159" s="25">
        <v>2025</v>
      </c>
      <c r="C1159" s="25" t="s">
        <v>6765</v>
      </c>
      <c r="D1159" s="25" t="s">
        <v>6766</v>
      </c>
      <c r="E1159" s="25" t="s">
        <v>6695</v>
      </c>
      <c r="F1159" s="25" t="s">
        <v>6430</v>
      </c>
      <c r="G1159" s="25"/>
      <c r="H1159" s="25" t="s">
        <v>6767</v>
      </c>
      <c r="I1159" s="25" t="s">
        <v>3510</v>
      </c>
      <c r="J1159" s="25" t="s">
        <v>6432</v>
      </c>
    </row>
    <row r="1160" spans="1:10" ht="114" x14ac:dyDescent="0.2">
      <c r="A1160" s="25" t="s">
        <v>2975</v>
      </c>
      <c r="B1160" s="25">
        <v>2025</v>
      </c>
      <c r="C1160" s="25" t="s">
        <v>6768</v>
      </c>
      <c r="D1160" s="25" t="s">
        <v>6769</v>
      </c>
      <c r="E1160" s="25" t="s">
        <v>6695</v>
      </c>
      <c r="F1160" s="25" t="s">
        <v>6430</v>
      </c>
      <c r="G1160" s="25"/>
      <c r="H1160" s="25" t="s">
        <v>6770</v>
      </c>
      <c r="I1160" s="25" t="s">
        <v>3353</v>
      </c>
      <c r="J1160" s="25" t="s">
        <v>6432</v>
      </c>
    </row>
    <row r="1161" spans="1:10" ht="114" x14ac:dyDescent="0.2">
      <c r="A1161" s="25" t="s">
        <v>2983</v>
      </c>
      <c r="B1161" s="25">
        <v>2026</v>
      </c>
      <c r="C1161" s="25" t="s">
        <v>6771</v>
      </c>
      <c r="D1161" s="25" t="s">
        <v>6772</v>
      </c>
      <c r="E1161" s="25" t="s">
        <v>6695</v>
      </c>
      <c r="F1161" s="25" t="s">
        <v>6430</v>
      </c>
      <c r="G1161" s="25"/>
      <c r="H1161" s="25" t="s">
        <v>6773</v>
      </c>
      <c r="I1161" s="25" t="s">
        <v>3353</v>
      </c>
      <c r="J1161" s="25" t="s">
        <v>6432</v>
      </c>
    </row>
    <row r="1162" spans="1:10" ht="57" x14ac:dyDescent="0.2">
      <c r="A1162" s="25" t="s">
        <v>2989</v>
      </c>
      <c r="B1162" s="25">
        <v>2026</v>
      </c>
      <c r="C1162" s="25" t="s">
        <v>6774</v>
      </c>
      <c r="D1162" s="25" t="s">
        <v>6775</v>
      </c>
      <c r="E1162" s="25" t="s">
        <v>6695</v>
      </c>
      <c r="F1162" s="25" t="s">
        <v>6430</v>
      </c>
      <c r="G1162" s="25"/>
      <c r="H1162" s="25" t="s">
        <v>6776</v>
      </c>
      <c r="I1162" s="25" t="s">
        <v>3510</v>
      </c>
      <c r="J1162" s="25" t="s">
        <v>6432</v>
      </c>
    </row>
    <row r="1163" spans="1:10" ht="114" x14ac:dyDescent="0.2">
      <c r="A1163" s="25" t="s">
        <v>2996</v>
      </c>
      <c r="B1163" s="25">
        <v>2026</v>
      </c>
      <c r="C1163" s="25" t="s">
        <v>6777</v>
      </c>
      <c r="D1163" s="25" t="s">
        <v>6778</v>
      </c>
      <c r="E1163" s="25" t="s">
        <v>6695</v>
      </c>
      <c r="F1163" s="25" t="s">
        <v>6430</v>
      </c>
      <c r="G1163" s="25"/>
      <c r="H1163" s="25" t="s">
        <v>6779</v>
      </c>
      <c r="I1163" s="25" t="s">
        <v>3353</v>
      </c>
      <c r="J1163" s="25" t="s">
        <v>6432</v>
      </c>
    </row>
    <row r="1164" spans="1:10" ht="57" x14ac:dyDescent="0.2">
      <c r="A1164" s="25" t="s">
        <v>3004</v>
      </c>
      <c r="B1164" s="25">
        <v>2024</v>
      </c>
      <c r="C1164" s="25" t="s">
        <v>6780</v>
      </c>
      <c r="D1164" s="25" t="s">
        <v>6781</v>
      </c>
      <c r="E1164" s="25" t="s">
        <v>6695</v>
      </c>
      <c r="F1164" s="25" t="s">
        <v>6430</v>
      </c>
      <c r="G1164" s="25"/>
      <c r="H1164" s="25" t="s">
        <v>6782</v>
      </c>
      <c r="I1164" s="25" t="s">
        <v>3510</v>
      </c>
      <c r="J1164" s="25" t="s">
        <v>6432</v>
      </c>
    </row>
    <row r="1165" spans="1:10" ht="76" x14ac:dyDescent="0.2">
      <c r="A1165" s="25" t="s">
        <v>3012</v>
      </c>
      <c r="B1165" s="25">
        <v>2025</v>
      </c>
      <c r="C1165" s="25" t="s">
        <v>6783</v>
      </c>
      <c r="D1165" s="25" t="s">
        <v>6784</v>
      </c>
      <c r="E1165" s="25" t="s">
        <v>6695</v>
      </c>
      <c r="F1165" s="25" t="s">
        <v>6430</v>
      </c>
      <c r="G1165" s="25"/>
      <c r="H1165" s="25" t="s">
        <v>6785</v>
      </c>
      <c r="I1165" s="25" t="s">
        <v>3353</v>
      </c>
      <c r="J1165" s="25" t="s">
        <v>6432</v>
      </c>
    </row>
    <row r="1166" spans="1:10" ht="114" x14ac:dyDescent="0.2">
      <c r="A1166" s="25" t="s">
        <v>3020</v>
      </c>
      <c r="B1166" s="25">
        <v>2026</v>
      </c>
      <c r="C1166" s="25" t="s">
        <v>6786</v>
      </c>
      <c r="D1166" s="25" t="s">
        <v>6787</v>
      </c>
      <c r="E1166" s="25" t="s">
        <v>6695</v>
      </c>
      <c r="F1166" s="25" t="s">
        <v>6430</v>
      </c>
      <c r="G1166" s="25"/>
      <c r="H1166" s="25" t="s">
        <v>6788</v>
      </c>
      <c r="I1166" s="25" t="s">
        <v>3353</v>
      </c>
      <c r="J1166" s="25" t="s">
        <v>6432</v>
      </c>
    </row>
    <row r="1167" spans="1:10" ht="95" x14ac:dyDescent="0.2">
      <c r="A1167" s="25" t="s">
        <v>3028</v>
      </c>
      <c r="B1167" s="25">
        <v>2026</v>
      </c>
      <c r="C1167" s="25" t="s">
        <v>6789</v>
      </c>
      <c r="D1167" s="25" t="s">
        <v>6790</v>
      </c>
      <c r="E1167" s="25" t="s">
        <v>6695</v>
      </c>
      <c r="F1167" s="25" t="s">
        <v>6430</v>
      </c>
      <c r="G1167" s="25"/>
      <c r="H1167" s="25" t="s">
        <v>6791</v>
      </c>
      <c r="I1167" s="25" t="s">
        <v>3353</v>
      </c>
      <c r="J1167" s="25" t="s">
        <v>6432</v>
      </c>
    </row>
    <row r="1168" spans="1:10" ht="95" x14ac:dyDescent="0.2">
      <c r="A1168" s="25" t="s">
        <v>3035</v>
      </c>
      <c r="B1168" s="25">
        <v>2024</v>
      </c>
      <c r="C1168" s="25" t="s">
        <v>6792</v>
      </c>
      <c r="D1168" s="25" t="s">
        <v>6793</v>
      </c>
      <c r="E1168" s="25" t="s">
        <v>6695</v>
      </c>
      <c r="F1168" s="25" t="s">
        <v>6430</v>
      </c>
      <c r="G1168" s="25"/>
      <c r="H1168" s="25" t="s">
        <v>6794</v>
      </c>
      <c r="I1168" s="25" t="s">
        <v>3353</v>
      </c>
      <c r="J1168" s="25" t="s">
        <v>6432</v>
      </c>
    </row>
    <row r="1169" spans="1:10" ht="95" x14ac:dyDescent="0.2">
      <c r="A1169" s="25" t="s">
        <v>3043</v>
      </c>
      <c r="B1169" s="25">
        <v>2026</v>
      </c>
      <c r="C1169" s="25" t="s">
        <v>6795</v>
      </c>
      <c r="D1169" s="25" t="s">
        <v>6796</v>
      </c>
      <c r="E1169" s="25" t="s">
        <v>6695</v>
      </c>
      <c r="F1169" s="25" t="s">
        <v>6430</v>
      </c>
      <c r="G1169" s="25"/>
      <c r="H1169" s="25" t="s">
        <v>6797</v>
      </c>
      <c r="I1169" s="25" t="s">
        <v>3353</v>
      </c>
      <c r="J1169" s="25" t="s">
        <v>6432</v>
      </c>
    </row>
    <row r="1170" spans="1:10" ht="95" x14ac:dyDescent="0.2">
      <c r="A1170" s="25" t="s">
        <v>3051</v>
      </c>
      <c r="B1170" s="25">
        <v>2025</v>
      </c>
      <c r="C1170" s="25" t="s">
        <v>6798</v>
      </c>
      <c r="D1170" s="25" t="s">
        <v>6799</v>
      </c>
      <c r="E1170" s="25" t="s">
        <v>6695</v>
      </c>
      <c r="F1170" s="25" t="s">
        <v>6430</v>
      </c>
      <c r="G1170" s="25"/>
      <c r="H1170" s="25" t="s">
        <v>6800</v>
      </c>
      <c r="I1170" s="25" t="s">
        <v>3353</v>
      </c>
      <c r="J1170" s="25" t="s">
        <v>6432</v>
      </c>
    </row>
    <row r="1171" spans="1:10" ht="57" x14ac:dyDescent="0.2">
      <c r="A1171" s="25" t="s">
        <v>3058</v>
      </c>
      <c r="B1171" s="25">
        <v>2025</v>
      </c>
      <c r="C1171" s="25" t="s">
        <v>6801</v>
      </c>
      <c r="D1171" s="25" t="s">
        <v>6802</v>
      </c>
      <c r="E1171" s="25" t="s">
        <v>6695</v>
      </c>
      <c r="F1171" s="25" t="s">
        <v>6430</v>
      </c>
      <c r="G1171" s="25"/>
      <c r="H1171" s="25" t="s">
        <v>4456</v>
      </c>
      <c r="I1171" s="25" t="s">
        <v>3510</v>
      </c>
      <c r="J1171" s="25" t="s">
        <v>6432</v>
      </c>
    </row>
    <row r="1172" spans="1:10" ht="76" x14ac:dyDescent="0.2">
      <c r="A1172" s="25" t="s">
        <v>3065</v>
      </c>
      <c r="B1172" s="25">
        <v>2026</v>
      </c>
      <c r="C1172" s="25" t="s">
        <v>6803</v>
      </c>
      <c r="D1172" s="25" t="s">
        <v>6804</v>
      </c>
      <c r="E1172" s="25" t="s">
        <v>6695</v>
      </c>
      <c r="F1172" s="25" t="s">
        <v>6430</v>
      </c>
      <c r="G1172" s="25"/>
      <c r="H1172" s="25" t="s">
        <v>6805</v>
      </c>
      <c r="I1172" s="25" t="s">
        <v>3353</v>
      </c>
      <c r="J1172" s="25" t="s">
        <v>6432</v>
      </c>
    </row>
    <row r="1173" spans="1:10" ht="76" x14ac:dyDescent="0.2">
      <c r="A1173" s="25" t="s">
        <v>3072</v>
      </c>
      <c r="B1173" s="25">
        <v>2026</v>
      </c>
      <c r="C1173" s="25" t="s">
        <v>6806</v>
      </c>
      <c r="D1173" s="25" t="s">
        <v>6807</v>
      </c>
      <c r="E1173" s="25" t="s">
        <v>6695</v>
      </c>
      <c r="F1173" s="25" t="s">
        <v>6430</v>
      </c>
      <c r="G1173" s="25"/>
      <c r="H1173" s="25" t="s">
        <v>6808</v>
      </c>
      <c r="I1173" s="25" t="s">
        <v>3353</v>
      </c>
      <c r="J1173" s="25" t="s">
        <v>6432</v>
      </c>
    </row>
    <row r="1174" spans="1:10" ht="114" x14ac:dyDescent="0.2">
      <c r="A1174" s="25" t="s">
        <v>3080</v>
      </c>
      <c r="B1174" s="25">
        <v>2026</v>
      </c>
      <c r="C1174" s="25" t="s">
        <v>6809</v>
      </c>
      <c r="D1174" s="25" t="s">
        <v>6810</v>
      </c>
      <c r="E1174" s="25" t="s">
        <v>6695</v>
      </c>
      <c r="F1174" s="25" t="s">
        <v>6430</v>
      </c>
      <c r="G1174" s="25"/>
      <c r="H1174" s="25" t="s">
        <v>6811</v>
      </c>
      <c r="I1174" s="25" t="s">
        <v>3353</v>
      </c>
      <c r="J1174" s="25" t="s">
        <v>6432</v>
      </c>
    </row>
    <row r="1175" spans="1:10" ht="95" x14ac:dyDescent="0.2">
      <c r="A1175" s="25" t="s">
        <v>3087</v>
      </c>
      <c r="B1175" s="25">
        <v>2026</v>
      </c>
      <c r="C1175" s="25" t="s">
        <v>6812</v>
      </c>
      <c r="D1175" s="25" t="s">
        <v>6813</v>
      </c>
      <c r="E1175" s="25" t="s">
        <v>6695</v>
      </c>
      <c r="F1175" s="25" t="s">
        <v>6430</v>
      </c>
      <c r="G1175" s="25"/>
      <c r="H1175" s="25" t="s">
        <v>6814</v>
      </c>
      <c r="I1175" s="25" t="s">
        <v>3353</v>
      </c>
      <c r="J1175" s="25" t="s">
        <v>6432</v>
      </c>
    </row>
    <row r="1176" spans="1:10" ht="76" x14ac:dyDescent="0.2">
      <c r="A1176" s="25" t="s">
        <v>3095</v>
      </c>
      <c r="B1176" s="25">
        <v>2026</v>
      </c>
      <c r="C1176" s="25" t="s">
        <v>6815</v>
      </c>
      <c r="D1176" s="25" t="s">
        <v>6816</v>
      </c>
      <c r="E1176" s="25" t="s">
        <v>6695</v>
      </c>
      <c r="F1176" s="25" t="s">
        <v>6430</v>
      </c>
      <c r="G1176" s="25"/>
      <c r="H1176" s="25" t="s">
        <v>6817</v>
      </c>
      <c r="I1176" s="25" t="s">
        <v>3353</v>
      </c>
      <c r="J1176" s="25" t="s">
        <v>6432</v>
      </c>
    </row>
    <row r="1177" spans="1:10" ht="114" x14ac:dyDescent="0.2">
      <c r="A1177" s="25" t="s">
        <v>3102</v>
      </c>
      <c r="B1177" s="25">
        <v>2026</v>
      </c>
      <c r="C1177" s="25" t="s">
        <v>6818</v>
      </c>
      <c r="D1177" s="25" t="s">
        <v>6819</v>
      </c>
      <c r="E1177" s="25" t="s">
        <v>6695</v>
      </c>
      <c r="F1177" s="25" t="s">
        <v>6430</v>
      </c>
      <c r="G1177" s="25"/>
      <c r="H1177" s="25" t="s">
        <v>6820</v>
      </c>
      <c r="I1177" s="25" t="s">
        <v>3353</v>
      </c>
      <c r="J1177" s="25" t="s">
        <v>6432</v>
      </c>
    </row>
    <row r="1178" spans="1:10" ht="76" x14ac:dyDescent="0.2">
      <c r="A1178" s="25" t="s">
        <v>3109</v>
      </c>
      <c r="B1178" s="25">
        <v>2026</v>
      </c>
      <c r="C1178" s="25" t="s">
        <v>6821</v>
      </c>
      <c r="D1178" s="25" t="s">
        <v>6822</v>
      </c>
      <c r="E1178" s="25" t="s">
        <v>6695</v>
      </c>
      <c r="F1178" s="25" t="s">
        <v>6430</v>
      </c>
      <c r="G1178" s="25"/>
      <c r="H1178" s="25" t="s">
        <v>4253</v>
      </c>
      <c r="I1178" s="25" t="s">
        <v>3510</v>
      </c>
      <c r="J1178" s="25" t="s">
        <v>6432</v>
      </c>
    </row>
    <row r="1179" spans="1:10" ht="95" x14ac:dyDescent="0.2">
      <c r="A1179" s="25" t="s">
        <v>3117</v>
      </c>
      <c r="B1179" s="25">
        <v>2026</v>
      </c>
      <c r="C1179" s="25" t="s">
        <v>6823</v>
      </c>
      <c r="D1179" s="25" t="s">
        <v>6824</v>
      </c>
      <c r="E1179" s="25" t="s">
        <v>6695</v>
      </c>
      <c r="F1179" s="25" t="s">
        <v>6430</v>
      </c>
      <c r="G1179" s="25"/>
      <c r="H1179" s="25" t="s">
        <v>6825</v>
      </c>
      <c r="I1179" s="25" t="s">
        <v>3353</v>
      </c>
      <c r="J1179" s="25" t="s">
        <v>6432</v>
      </c>
    </row>
    <row r="1180" spans="1:10" ht="95" x14ac:dyDescent="0.2">
      <c r="A1180" s="25" t="s">
        <v>3125</v>
      </c>
      <c r="B1180" s="25">
        <v>2025</v>
      </c>
      <c r="C1180" s="25" t="s">
        <v>6826</v>
      </c>
      <c r="D1180" s="25" t="s">
        <v>6827</v>
      </c>
      <c r="E1180" s="25" t="s">
        <v>6695</v>
      </c>
      <c r="F1180" s="25" t="s">
        <v>6430</v>
      </c>
      <c r="G1180" s="25"/>
      <c r="H1180" s="25" t="s">
        <v>6828</v>
      </c>
      <c r="I1180" s="25" t="s">
        <v>3353</v>
      </c>
      <c r="J1180" s="25" t="s">
        <v>6432</v>
      </c>
    </row>
    <row r="1181" spans="1:10" ht="57" x14ac:dyDescent="0.2">
      <c r="A1181" s="25" t="s">
        <v>3132</v>
      </c>
      <c r="B1181" s="25">
        <v>2026</v>
      </c>
      <c r="C1181" s="25" t="s">
        <v>6829</v>
      </c>
      <c r="D1181" s="25" t="s">
        <v>6830</v>
      </c>
      <c r="E1181" s="25" t="s">
        <v>6695</v>
      </c>
      <c r="F1181" s="25" t="s">
        <v>6430</v>
      </c>
      <c r="G1181" s="25"/>
      <c r="H1181" s="25" t="s">
        <v>6831</v>
      </c>
      <c r="I1181" s="25" t="s">
        <v>3353</v>
      </c>
      <c r="J1181" s="25" t="s">
        <v>6432</v>
      </c>
    </row>
    <row r="1182" spans="1:10" ht="95" x14ac:dyDescent="0.2">
      <c r="A1182" s="25" t="s">
        <v>3140</v>
      </c>
      <c r="B1182" s="25">
        <v>2026</v>
      </c>
      <c r="C1182" s="25" t="s">
        <v>6832</v>
      </c>
      <c r="D1182" s="25" t="s">
        <v>6833</v>
      </c>
      <c r="E1182" s="25" t="s">
        <v>6695</v>
      </c>
      <c r="F1182" s="25" t="s">
        <v>6430</v>
      </c>
      <c r="G1182" s="25"/>
      <c r="H1182" s="25" t="s">
        <v>6834</v>
      </c>
      <c r="I1182" s="25" t="s">
        <v>3353</v>
      </c>
      <c r="J1182" s="25" t="s">
        <v>6432</v>
      </c>
    </row>
    <row r="1183" spans="1:10" ht="95" x14ac:dyDescent="0.2">
      <c r="A1183" s="25" t="s">
        <v>3147</v>
      </c>
      <c r="B1183" s="25">
        <v>2026</v>
      </c>
      <c r="C1183" s="25" t="s">
        <v>6835</v>
      </c>
      <c r="D1183" s="25" t="s">
        <v>6836</v>
      </c>
      <c r="E1183" s="25" t="s">
        <v>6695</v>
      </c>
      <c r="F1183" s="25" t="s">
        <v>6430</v>
      </c>
      <c r="G1183" s="25"/>
      <c r="H1183" s="25" t="s">
        <v>6837</v>
      </c>
      <c r="I1183" s="25" t="s">
        <v>3353</v>
      </c>
      <c r="J1183" s="25" t="s">
        <v>6432</v>
      </c>
    </row>
    <row r="1184" spans="1:10" ht="76" x14ac:dyDescent="0.2">
      <c r="A1184" s="25" t="s">
        <v>3155</v>
      </c>
      <c r="B1184" s="25">
        <v>2026</v>
      </c>
      <c r="C1184" s="25" t="s">
        <v>6838</v>
      </c>
      <c r="D1184" s="25" t="s">
        <v>6839</v>
      </c>
      <c r="E1184" s="25" t="s">
        <v>6695</v>
      </c>
      <c r="F1184" s="25" t="s">
        <v>6430</v>
      </c>
      <c r="G1184" s="25"/>
      <c r="H1184" s="25" t="s">
        <v>6397</v>
      </c>
      <c r="I1184" s="25" t="s">
        <v>3353</v>
      </c>
      <c r="J1184" s="25" t="s">
        <v>6432</v>
      </c>
    </row>
    <row r="1185" spans="1:10" ht="95" x14ac:dyDescent="0.2">
      <c r="A1185" s="25" t="s">
        <v>3163</v>
      </c>
      <c r="B1185" s="25">
        <v>2025</v>
      </c>
      <c r="C1185" s="25" t="s">
        <v>6840</v>
      </c>
      <c r="D1185" s="25" t="s">
        <v>6841</v>
      </c>
      <c r="E1185" s="25" t="s">
        <v>6695</v>
      </c>
      <c r="F1185" s="25" t="s">
        <v>6430</v>
      </c>
      <c r="G1185" s="25"/>
      <c r="H1185" s="25" t="s">
        <v>6842</v>
      </c>
      <c r="I1185" s="25" t="s">
        <v>3353</v>
      </c>
      <c r="J1185" s="25" t="s">
        <v>6432</v>
      </c>
    </row>
    <row r="1186" spans="1:10" ht="114" x14ac:dyDescent="0.2">
      <c r="A1186" s="25" t="s">
        <v>3171</v>
      </c>
      <c r="B1186" s="25">
        <v>2026</v>
      </c>
      <c r="C1186" s="25" t="s">
        <v>6843</v>
      </c>
      <c r="D1186" s="25" t="s">
        <v>6844</v>
      </c>
      <c r="E1186" s="25" t="s">
        <v>6695</v>
      </c>
      <c r="F1186" s="25" t="s">
        <v>6430</v>
      </c>
      <c r="G1186" s="25"/>
      <c r="H1186" s="25" t="s">
        <v>6845</v>
      </c>
      <c r="I1186" s="25" t="s">
        <v>3353</v>
      </c>
      <c r="J1186" s="25" t="s">
        <v>6432</v>
      </c>
    </row>
    <row r="1187" spans="1:10" ht="76" x14ac:dyDescent="0.2">
      <c r="A1187" s="25" t="s">
        <v>3179</v>
      </c>
      <c r="B1187" s="25">
        <v>2026</v>
      </c>
      <c r="C1187" s="25" t="s">
        <v>6846</v>
      </c>
      <c r="D1187" s="25" t="s">
        <v>6847</v>
      </c>
      <c r="E1187" s="25" t="s">
        <v>6695</v>
      </c>
      <c r="F1187" s="25" t="s">
        <v>6430</v>
      </c>
      <c r="G1187" s="25"/>
      <c r="H1187" s="25" t="s">
        <v>6848</v>
      </c>
      <c r="I1187" s="25" t="s">
        <v>3353</v>
      </c>
      <c r="J1187" s="25" t="s">
        <v>6432</v>
      </c>
    </row>
    <row r="1188" spans="1:10" ht="76" x14ac:dyDescent="0.2">
      <c r="A1188" s="25" t="s">
        <v>3187</v>
      </c>
      <c r="B1188" s="25">
        <v>2026</v>
      </c>
      <c r="C1188" s="25" t="s">
        <v>6849</v>
      </c>
      <c r="D1188" s="25" t="s">
        <v>6850</v>
      </c>
      <c r="E1188" s="25" t="s">
        <v>6695</v>
      </c>
      <c r="F1188" s="25" t="s">
        <v>6430</v>
      </c>
      <c r="G1188" s="25"/>
      <c r="H1188" s="25" t="s">
        <v>6851</v>
      </c>
      <c r="I1188" s="25" t="s">
        <v>3353</v>
      </c>
      <c r="J1188" s="25" t="s">
        <v>6432</v>
      </c>
    </row>
    <row r="1189" spans="1:10" ht="76" x14ac:dyDescent="0.2">
      <c r="A1189" s="25" t="s">
        <v>3194</v>
      </c>
      <c r="B1189" s="25">
        <v>2025</v>
      </c>
      <c r="C1189" s="25" t="s">
        <v>6852</v>
      </c>
      <c r="D1189" s="25" t="s">
        <v>6853</v>
      </c>
      <c r="E1189" s="25" t="s">
        <v>6695</v>
      </c>
      <c r="F1189" s="25" t="s">
        <v>6430</v>
      </c>
      <c r="G1189" s="25"/>
      <c r="H1189" s="25" t="s">
        <v>6406</v>
      </c>
      <c r="I1189" s="25" t="s">
        <v>3353</v>
      </c>
      <c r="J1189" s="25" t="s">
        <v>6432</v>
      </c>
    </row>
    <row r="1190" spans="1:10" ht="76" x14ac:dyDescent="0.2">
      <c r="A1190" s="25" t="s">
        <v>3201</v>
      </c>
      <c r="B1190" s="25">
        <v>2026</v>
      </c>
      <c r="C1190" s="25" t="s">
        <v>6854</v>
      </c>
      <c r="D1190" s="25" t="s">
        <v>6855</v>
      </c>
      <c r="E1190" s="25" t="s">
        <v>6695</v>
      </c>
      <c r="F1190" s="25" t="s">
        <v>6430</v>
      </c>
      <c r="G1190" s="25"/>
      <c r="H1190" s="25" t="s">
        <v>6856</v>
      </c>
      <c r="I1190" s="25" t="s">
        <v>3353</v>
      </c>
      <c r="J1190" s="25" t="s">
        <v>6432</v>
      </c>
    </row>
    <row r="1191" spans="1:10" ht="133" x14ac:dyDescent="0.2">
      <c r="A1191" s="25" t="s">
        <v>3209</v>
      </c>
      <c r="B1191" s="25">
        <v>2026</v>
      </c>
      <c r="C1191" s="25" t="s">
        <v>6857</v>
      </c>
      <c r="D1191" s="25" t="s">
        <v>6858</v>
      </c>
      <c r="E1191" s="25" t="s">
        <v>6695</v>
      </c>
      <c r="F1191" s="25" t="s">
        <v>6430</v>
      </c>
      <c r="G1191" s="25"/>
      <c r="H1191" s="25" t="s">
        <v>6859</v>
      </c>
      <c r="I1191" s="25" t="s">
        <v>3353</v>
      </c>
      <c r="J1191" s="25" t="s">
        <v>6432</v>
      </c>
    </row>
    <row r="1192" spans="1:10" ht="76" x14ac:dyDescent="0.2">
      <c r="A1192" s="25" t="s">
        <v>3217</v>
      </c>
      <c r="B1192" s="25">
        <v>2026</v>
      </c>
      <c r="C1192" s="25" t="s">
        <v>6860</v>
      </c>
      <c r="D1192" s="25" t="s">
        <v>6861</v>
      </c>
      <c r="E1192" s="25" t="s">
        <v>6695</v>
      </c>
      <c r="F1192" s="25" t="s">
        <v>6430</v>
      </c>
      <c r="G1192" s="25"/>
      <c r="H1192" s="25" t="s">
        <v>6862</v>
      </c>
      <c r="I1192" s="25" t="s">
        <v>3353</v>
      </c>
      <c r="J1192" s="25" t="s">
        <v>6432</v>
      </c>
    </row>
    <row r="1193" spans="1:10" ht="114" x14ac:dyDescent="0.2">
      <c r="A1193" s="25" t="s">
        <v>3223</v>
      </c>
      <c r="B1193" s="25">
        <v>2026</v>
      </c>
      <c r="C1193" s="25" t="s">
        <v>6863</v>
      </c>
      <c r="D1193" s="25" t="s">
        <v>6864</v>
      </c>
      <c r="E1193" s="25" t="s">
        <v>6695</v>
      </c>
      <c r="F1193" s="25" t="s">
        <v>6430</v>
      </c>
      <c r="G1193" s="25"/>
      <c r="H1193" s="25" t="s">
        <v>6865</v>
      </c>
      <c r="I1193" s="25" t="s">
        <v>3353</v>
      </c>
      <c r="J1193" s="25" t="s">
        <v>6432</v>
      </c>
    </row>
    <row r="1194" spans="1:10" ht="76" x14ac:dyDescent="0.2">
      <c r="A1194" s="25" t="s">
        <v>3229</v>
      </c>
      <c r="B1194" s="25">
        <v>2025</v>
      </c>
      <c r="C1194" s="25" t="s">
        <v>6866</v>
      </c>
      <c r="D1194" s="25" t="s">
        <v>6867</v>
      </c>
      <c r="E1194" s="25" t="s">
        <v>6695</v>
      </c>
      <c r="F1194" s="25" t="s">
        <v>6430</v>
      </c>
      <c r="G1194" s="25"/>
      <c r="H1194" s="25" t="s">
        <v>6868</v>
      </c>
      <c r="I1194" s="25" t="s">
        <v>3353</v>
      </c>
      <c r="J1194" s="25" t="s">
        <v>6432</v>
      </c>
    </row>
    <row r="1195" spans="1:10" ht="95" x14ac:dyDescent="0.2">
      <c r="A1195" s="25" t="s">
        <v>3236</v>
      </c>
      <c r="B1195" s="25">
        <v>2025</v>
      </c>
      <c r="C1195" s="25" t="s">
        <v>6869</v>
      </c>
      <c r="D1195" s="25" t="s">
        <v>6870</v>
      </c>
      <c r="E1195" s="25" t="s">
        <v>6695</v>
      </c>
      <c r="F1195" s="25" t="s">
        <v>6430</v>
      </c>
      <c r="G1195" s="25"/>
      <c r="H1195" s="25" t="s">
        <v>3894</v>
      </c>
      <c r="I1195" s="25" t="s">
        <v>3353</v>
      </c>
      <c r="J1195" s="25" t="s">
        <v>6432</v>
      </c>
    </row>
    <row r="1196" spans="1:10" ht="114" x14ac:dyDescent="0.2">
      <c r="A1196" s="25" t="s">
        <v>3243</v>
      </c>
      <c r="B1196" s="25">
        <v>2026</v>
      </c>
      <c r="C1196" s="25" t="s">
        <v>6871</v>
      </c>
      <c r="D1196" s="25" t="s">
        <v>6872</v>
      </c>
      <c r="E1196" s="25" t="s">
        <v>6695</v>
      </c>
      <c r="F1196" s="25" t="s">
        <v>6430</v>
      </c>
      <c r="G1196" s="25"/>
      <c r="H1196" s="25" t="s">
        <v>6873</v>
      </c>
      <c r="I1196" s="25" t="s">
        <v>3353</v>
      </c>
      <c r="J1196" s="25" t="s">
        <v>6432</v>
      </c>
    </row>
    <row r="1197" spans="1:10" ht="95" x14ac:dyDescent="0.2">
      <c r="A1197" s="25" t="s">
        <v>3248</v>
      </c>
      <c r="B1197" s="25">
        <v>2024</v>
      </c>
      <c r="C1197" s="25" t="s">
        <v>6874</v>
      </c>
      <c r="D1197" s="25" t="s">
        <v>6875</v>
      </c>
      <c r="E1197" s="25" t="s">
        <v>6695</v>
      </c>
      <c r="F1197" s="25" t="s">
        <v>6430</v>
      </c>
      <c r="G1197" s="25"/>
      <c r="H1197" s="25" t="s">
        <v>6876</v>
      </c>
      <c r="I1197" s="25" t="s">
        <v>3353</v>
      </c>
      <c r="J1197" s="25" t="s">
        <v>6432</v>
      </c>
    </row>
    <row r="1198" spans="1:10" ht="95" x14ac:dyDescent="0.2">
      <c r="A1198" s="25" t="s">
        <v>3256</v>
      </c>
      <c r="B1198" s="25">
        <v>2024</v>
      </c>
      <c r="C1198" s="25" t="s">
        <v>6877</v>
      </c>
      <c r="D1198" s="25" t="s">
        <v>6878</v>
      </c>
      <c r="E1198" s="25" t="s">
        <v>6695</v>
      </c>
      <c r="F1198" s="25" t="s">
        <v>6430</v>
      </c>
      <c r="G1198" s="25"/>
      <c r="H1198" s="25" t="s">
        <v>6879</v>
      </c>
      <c r="I1198" s="25" t="s">
        <v>3353</v>
      </c>
      <c r="J1198" s="25" t="s">
        <v>6432</v>
      </c>
    </row>
    <row r="1199" spans="1:10" ht="95" x14ac:dyDescent="0.2">
      <c r="A1199" s="25" t="s">
        <v>3264</v>
      </c>
      <c r="B1199" s="25">
        <v>2024</v>
      </c>
      <c r="C1199" s="25" t="s">
        <v>6880</v>
      </c>
      <c r="D1199" s="25" t="s">
        <v>6881</v>
      </c>
      <c r="E1199" s="25" t="s">
        <v>6695</v>
      </c>
      <c r="F1199" s="25" t="s">
        <v>6430</v>
      </c>
      <c r="G1199" s="25"/>
      <c r="H1199" s="25" t="s">
        <v>6882</v>
      </c>
      <c r="I1199" s="25" t="s">
        <v>3353</v>
      </c>
      <c r="J1199" s="25" t="s">
        <v>6432</v>
      </c>
    </row>
    <row r="1200" spans="1:10" ht="95" x14ac:dyDescent="0.2">
      <c r="A1200" s="25" t="s">
        <v>3272</v>
      </c>
      <c r="B1200" s="25">
        <v>2024</v>
      </c>
      <c r="C1200" s="25" t="s">
        <v>6883</v>
      </c>
      <c r="D1200" s="25" t="s">
        <v>6884</v>
      </c>
      <c r="E1200" s="25" t="s">
        <v>6695</v>
      </c>
      <c r="F1200" s="25" t="s">
        <v>6430</v>
      </c>
      <c r="G1200" s="25"/>
      <c r="H1200" s="25" t="s">
        <v>6885</v>
      </c>
      <c r="I1200" s="25" t="s">
        <v>3353</v>
      </c>
      <c r="J1200" s="25" t="s">
        <v>6432</v>
      </c>
    </row>
    <row r="1201" spans="1:10" ht="95" x14ac:dyDescent="0.2">
      <c r="A1201" s="25" t="s">
        <v>3278</v>
      </c>
      <c r="B1201" s="25">
        <v>2025</v>
      </c>
      <c r="C1201" s="25" t="s">
        <v>6886</v>
      </c>
      <c r="D1201" s="25" t="s">
        <v>6887</v>
      </c>
      <c r="E1201" s="25" t="s">
        <v>6695</v>
      </c>
      <c r="F1201" s="25" t="s">
        <v>6430</v>
      </c>
      <c r="G1201" s="25"/>
      <c r="H1201" s="25" t="s">
        <v>6888</v>
      </c>
      <c r="I1201" s="25" t="s">
        <v>3353</v>
      </c>
      <c r="J1201" s="25" t="s">
        <v>6432</v>
      </c>
    </row>
    <row r="1202" spans="1:10" ht="114" x14ac:dyDescent="0.2">
      <c r="A1202" s="25" t="s">
        <v>3286</v>
      </c>
      <c r="B1202" s="25">
        <v>2025</v>
      </c>
      <c r="C1202" s="25" t="s">
        <v>6889</v>
      </c>
      <c r="D1202" s="25" t="s">
        <v>6890</v>
      </c>
      <c r="E1202" s="25" t="s">
        <v>6695</v>
      </c>
      <c r="F1202" s="25" t="s">
        <v>6430</v>
      </c>
      <c r="G1202" s="25"/>
      <c r="H1202" s="25" t="s">
        <v>6891</v>
      </c>
      <c r="I1202" s="25" t="s">
        <v>3353</v>
      </c>
      <c r="J1202" s="25" t="s">
        <v>6432</v>
      </c>
    </row>
    <row r="1203" spans="1:10" ht="95" x14ac:dyDescent="0.2">
      <c r="A1203" s="25" t="s">
        <v>3290</v>
      </c>
      <c r="B1203" s="25">
        <v>2024</v>
      </c>
      <c r="C1203" s="25" t="s">
        <v>6892</v>
      </c>
      <c r="D1203" s="25" t="s">
        <v>6893</v>
      </c>
      <c r="E1203" s="25" t="s">
        <v>6695</v>
      </c>
      <c r="F1203" s="25" t="s">
        <v>6430</v>
      </c>
      <c r="G1203" s="25"/>
      <c r="H1203" s="25" t="s">
        <v>6894</v>
      </c>
      <c r="I1203" s="25" t="s">
        <v>3353</v>
      </c>
      <c r="J1203" s="25" t="s">
        <v>6432</v>
      </c>
    </row>
    <row r="1204" spans="1:10" ht="76" x14ac:dyDescent="0.2">
      <c r="A1204" s="25" t="s">
        <v>3298</v>
      </c>
      <c r="B1204" s="25">
        <v>2024</v>
      </c>
      <c r="C1204" s="25" t="s">
        <v>6895</v>
      </c>
      <c r="D1204" s="25" t="s">
        <v>6896</v>
      </c>
      <c r="E1204" s="25" t="s">
        <v>6695</v>
      </c>
      <c r="F1204" s="25" t="s">
        <v>6430</v>
      </c>
      <c r="G1204" s="25"/>
      <c r="H1204" s="25" t="s">
        <v>6897</v>
      </c>
      <c r="I1204" s="25" t="s">
        <v>3353</v>
      </c>
      <c r="J1204" s="25" t="s">
        <v>6432</v>
      </c>
    </row>
    <row r="1205" spans="1:10" ht="95" x14ac:dyDescent="0.2">
      <c r="A1205" s="25" t="s">
        <v>3306</v>
      </c>
      <c r="B1205" s="25">
        <v>2024</v>
      </c>
      <c r="C1205" s="25" t="s">
        <v>6898</v>
      </c>
      <c r="D1205" s="25" t="s">
        <v>6899</v>
      </c>
      <c r="E1205" s="25" t="s">
        <v>6695</v>
      </c>
      <c r="F1205" s="25" t="s">
        <v>6430</v>
      </c>
      <c r="G1205" s="25"/>
      <c r="H1205" s="25" t="s">
        <v>6900</v>
      </c>
      <c r="I1205" s="25" t="s">
        <v>3353</v>
      </c>
      <c r="J1205" s="25" t="s">
        <v>6432</v>
      </c>
    </row>
    <row r="1206" spans="1:10" ht="95" x14ac:dyDescent="0.2">
      <c r="A1206" s="25" t="s">
        <v>3313</v>
      </c>
      <c r="B1206" s="25">
        <v>2026</v>
      </c>
      <c r="C1206" s="25" t="s">
        <v>6901</v>
      </c>
      <c r="D1206" s="25" t="s">
        <v>6902</v>
      </c>
      <c r="E1206" s="25" t="s">
        <v>6695</v>
      </c>
      <c r="F1206" s="25" t="s">
        <v>6430</v>
      </c>
      <c r="G1206" s="25"/>
      <c r="H1206" s="25" t="s">
        <v>6903</v>
      </c>
      <c r="I1206" s="25" t="s">
        <v>3353</v>
      </c>
      <c r="J1206" s="25" t="s">
        <v>6432</v>
      </c>
    </row>
    <row r="1207" spans="1:10" ht="76" x14ac:dyDescent="0.2">
      <c r="A1207" s="25" t="s">
        <v>3318</v>
      </c>
      <c r="B1207" s="25">
        <v>2025</v>
      </c>
      <c r="C1207" s="25" t="s">
        <v>6904</v>
      </c>
      <c r="D1207" s="25" t="s">
        <v>6905</v>
      </c>
      <c r="E1207" s="25" t="s">
        <v>6695</v>
      </c>
      <c r="F1207" s="25" t="s">
        <v>6430</v>
      </c>
      <c r="G1207" s="25"/>
      <c r="H1207" s="25" t="s">
        <v>6906</v>
      </c>
      <c r="I1207" s="25" t="s">
        <v>3353</v>
      </c>
      <c r="J1207" s="25" t="s">
        <v>6432</v>
      </c>
    </row>
    <row r="1208" spans="1:10" ht="95" x14ac:dyDescent="0.2">
      <c r="A1208" s="25" t="s">
        <v>3325</v>
      </c>
      <c r="B1208" s="25">
        <v>2026</v>
      </c>
      <c r="C1208" s="25" t="s">
        <v>6907</v>
      </c>
      <c r="D1208" s="25" t="s">
        <v>6908</v>
      </c>
      <c r="E1208" s="25" t="s">
        <v>6695</v>
      </c>
      <c r="F1208" s="25" t="s">
        <v>6430</v>
      </c>
      <c r="G1208" s="25"/>
      <c r="H1208" s="25" t="s">
        <v>6909</v>
      </c>
      <c r="I1208" s="25" t="s">
        <v>3353</v>
      </c>
      <c r="J1208" s="25" t="s">
        <v>6432</v>
      </c>
    </row>
    <row r="1209" spans="1:10" ht="57" x14ac:dyDescent="0.2">
      <c r="A1209" s="25" t="s">
        <v>3332</v>
      </c>
      <c r="B1209" s="25">
        <v>2026</v>
      </c>
      <c r="C1209" s="25" t="s">
        <v>6910</v>
      </c>
      <c r="D1209" s="25" t="s">
        <v>6911</v>
      </c>
      <c r="E1209" s="25" t="s">
        <v>6695</v>
      </c>
      <c r="F1209" s="25" t="s">
        <v>6430</v>
      </c>
      <c r="G1209" s="25"/>
      <c r="H1209" s="25" t="s">
        <v>6912</v>
      </c>
      <c r="I1209" s="25" t="s">
        <v>3510</v>
      </c>
      <c r="J1209" s="25" t="s">
        <v>6432</v>
      </c>
    </row>
    <row r="1210" spans="1:10" ht="76" x14ac:dyDescent="0.2">
      <c r="A1210" s="25" t="s">
        <v>2825</v>
      </c>
      <c r="B1210" s="25">
        <v>2025</v>
      </c>
      <c r="C1210" s="25" t="s">
        <v>6913</v>
      </c>
      <c r="D1210" s="25" t="s">
        <v>6914</v>
      </c>
      <c r="E1210" s="25" t="s">
        <v>6915</v>
      </c>
      <c r="F1210" s="25" t="s">
        <v>6916</v>
      </c>
      <c r="G1210" s="25" t="s">
        <v>5780</v>
      </c>
      <c r="H1210" s="25" t="s">
        <v>6917</v>
      </c>
      <c r="I1210" s="25" t="s">
        <v>3353</v>
      </c>
      <c r="J1210" s="25" t="s">
        <v>6918</v>
      </c>
    </row>
    <row r="1211" spans="1:10" ht="76" x14ac:dyDescent="0.2">
      <c r="A1211" s="25" t="s">
        <v>2825</v>
      </c>
      <c r="B1211" s="25">
        <v>2025</v>
      </c>
      <c r="C1211" s="25" t="s">
        <v>6919</v>
      </c>
      <c r="D1211" s="25" t="s">
        <v>6920</v>
      </c>
      <c r="E1211" s="25" t="s">
        <v>6915</v>
      </c>
      <c r="F1211" s="25" t="s">
        <v>6916</v>
      </c>
      <c r="G1211" s="25" t="s">
        <v>5780</v>
      </c>
      <c r="H1211" s="25" t="s">
        <v>6921</v>
      </c>
      <c r="I1211" s="25" t="s">
        <v>3353</v>
      </c>
      <c r="J1211" s="25" t="s">
        <v>6918</v>
      </c>
    </row>
    <row r="1212" spans="1:10" ht="76" x14ac:dyDescent="0.2">
      <c r="A1212" s="25" t="s">
        <v>2833</v>
      </c>
      <c r="B1212" s="25">
        <v>2026</v>
      </c>
      <c r="C1212" s="25" t="s">
        <v>6922</v>
      </c>
      <c r="D1212" s="25" t="s">
        <v>6923</v>
      </c>
      <c r="E1212" s="25" t="s">
        <v>6915</v>
      </c>
      <c r="F1212" s="25" t="s">
        <v>6916</v>
      </c>
      <c r="G1212" s="25" t="s">
        <v>5780</v>
      </c>
      <c r="H1212" s="25" t="s">
        <v>6924</v>
      </c>
      <c r="I1212" s="25" t="s">
        <v>3353</v>
      </c>
      <c r="J1212" s="25" t="s">
        <v>6918</v>
      </c>
    </row>
    <row r="1213" spans="1:10" ht="76" x14ac:dyDescent="0.2">
      <c r="A1213" s="25" t="s">
        <v>2833</v>
      </c>
      <c r="B1213" s="25">
        <v>2026</v>
      </c>
      <c r="C1213" s="25" t="s">
        <v>6925</v>
      </c>
      <c r="D1213" s="25" t="s">
        <v>6926</v>
      </c>
      <c r="E1213" s="25" t="s">
        <v>6915</v>
      </c>
      <c r="F1213" s="25" t="s">
        <v>6916</v>
      </c>
      <c r="G1213" s="25" t="s">
        <v>5780</v>
      </c>
      <c r="H1213" s="25" t="s">
        <v>5881</v>
      </c>
      <c r="I1213" s="25" t="s">
        <v>3353</v>
      </c>
      <c r="J1213" s="25" t="s">
        <v>6918</v>
      </c>
    </row>
    <row r="1214" spans="1:10" ht="95" x14ac:dyDescent="0.2">
      <c r="A1214" s="25" t="s">
        <v>2833</v>
      </c>
      <c r="B1214" s="25">
        <v>2026</v>
      </c>
      <c r="C1214" s="25" t="s">
        <v>6927</v>
      </c>
      <c r="D1214" s="25" t="s">
        <v>6928</v>
      </c>
      <c r="E1214" s="25" t="s">
        <v>6915</v>
      </c>
      <c r="F1214" s="25" t="s">
        <v>6916</v>
      </c>
      <c r="G1214" s="25" t="s">
        <v>5780</v>
      </c>
      <c r="H1214" s="25" t="s">
        <v>6929</v>
      </c>
      <c r="I1214" s="25" t="s">
        <v>3353</v>
      </c>
      <c r="J1214" s="25" t="s">
        <v>6918</v>
      </c>
    </row>
    <row r="1215" spans="1:10" ht="76" x14ac:dyDescent="0.2">
      <c r="A1215" s="25" t="s">
        <v>2833</v>
      </c>
      <c r="B1215" s="25">
        <v>2026</v>
      </c>
      <c r="C1215" s="25" t="s">
        <v>6930</v>
      </c>
      <c r="D1215" s="25" t="s">
        <v>6931</v>
      </c>
      <c r="E1215" s="25" t="s">
        <v>6915</v>
      </c>
      <c r="F1215" s="25" t="s">
        <v>6916</v>
      </c>
      <c r="G1215" s="25" t="s">
        <v>5780</v>
      </c>
      <c r="H1215" s="25" t="s">
        <v>5881</v>
      </c>
      <c r="I1215" s="25" t="s">
        <v>3353</v>
      </c>
      <c r="J1215" s="25" t="s">
        <v>6918</v>
      </c>
    </row>
    <row r="1216" spans="1:10" ht="38" x14ac:dyDescent="0.2">
      <c r="A1216" s="25" t="s">
        <v>2841</v>
      </c>
      <c r="B1216" s="25">
        <v>2026</v>
      </c>
      <c r="C1216" s="25" t="s">
        <v>6932</v>
      </c>
      <c r="D1216" s="25" t="s">
        <v>6933</v>
      </c>
      <c r="E1216" s="25" t="s">
        <v>6915</v>
      </c>
      <c r="F1216" s="25" t="s">
        <v>6916</v>
      </c>
      <c r="G1216" s="25" t="s">
        <v>5780</v>
      </c>
      <c r="H1216" s="25" t="s">
        <v>6455</v>
      </c>
      <c r="I1216" s="25" t="s">
        <v>3353</v>
      </c>
      <c r="J1216" s="25" t="s">
        <v>6918</v>
      </c>
    </row>
    <row r="1217" spans="1:10" ht="57" x14ac:dyDescent="0.2">
      <c r="A1217" s="25" t="s">
        <v>2841</v>
      </c>
      <c r="B1217" s="25">
        <v>2026</v>
      </c>
      <c r="C1217" s="25" t="s">
        <v>6934</v>
      </c>
      <c r="D1217" s="25" t="s">
        <v>6935</v>
      </c>
      <c r="E1217" s="25" t="s">
        <v>6915</v>
      </c>
      <c r="F1217" s="25" t="s">
        <v>6916</v>
      </c>
      <c r="G1217" s="25" t="s">
        <v>5780</v>
      </c>
      <c r="H1217" s="25" t="s">
        <v>6936</v>
      </c>
      <c r="I1217" s="25" t="s">
        <v>3353</v>
      </c>
      <c r="J1217" s="25" t="s">
        <v>6918</v>
      </c>
    </row>
    <row r="1218" spans="1:10" ht="38" x14ac:dyDescent="0.2">
      <c r="A1218" s="25" t="s">
        <v>2841</v>
      </c>
      <c r="B1218" s="25">
        <v>2026</v>
      </c>
      <c r="C1218" s="25" t="s">
        <v>6937</v>
      </c>
      <c r="D1218" s="25" t="s">
        <v>6938</v>
      </c>
      <c r="E1218" s="25" t="s">
        <v>6915</v>
      </c>
      <c r="F1218" s="25" t="s">
        <v>6916</v>
      </c>
      <c r="G1218" s="25" t="s">
        <v>5780</v>
      </c>
      <c r="H1218" s="25" t="s">
        <v>5784</v>
      </c>
      <c r="I1218" s="25" t="s">
        <v>3353</v>
      </c>
      <c r="J1218" s="25" t="s">
        <v>6918</v>
      </c>
    </row>
    <row r="1219" spans="1:10" ht="57" x14ac:dyDescent="0.2">
      <c r="A1219" s="25" t="s">
        <v>2849</v>
      </c>
      <c r="B1219" s="25">
        <v>2026</v>
      </c>
      <c r="C1219" s="25" t="s">
        <v>6939</v>
      </c>
      <c r="D1219" s="25" t="s">
        <v>6940</v>
      </c>
      <c r="E1219" s="25" t="s">
        <v>6915</v>
      </c>
      <c r="F1219" s="25" t="s">
        <v>6916</v>
      </c>
      <c r="G1219" s="25" t="s">
        <v>5780</v>
      </c>
      <c r="H1219" s="25" t="s">
        <v>6941</v>
      </c>
      <c r="I1219" s="25" t="s">
        <v>3353</v>
      </c>
      <c r="J1219" s="25" t="s">
        <v>6918</v>
      </c>
    </row>
    <row r="1220" spans="1:10" ht="57" x14ac:dyDescent="0.2">
      <c r="A1220" s="25" t="s">
        <v>2849</v>
      </c>
      <c r="B1220" s="25">
        <v>2026</v>
      </c>
      <c r="C1220" s="25" t="s">
        <v>6942</v>
      </c>
      <c r="D1220" s="25" t="s">
        <v>6943</v>
      </c>
      <c r="E1220" s="25" t="s">
        <v>6915</v>
      </c>
      <c r="F1220" s="25" t="s">
        <v>6916</v>
      </c>
      <c r="G1220" s="25" t="s">
        <v>5780</v>
      </c>
      <c r="H1220" s="25" t="s">
        <v>6941</v>
      </c>
      <c r="I1220" s="25" t="s">
        <v>3353</v>
      </c>
      <c r="J1220" s="25" t="s">
        <v>6918</v>
      </c>
    </row>
    <row r="1221" spans="1:10" ht="57" x14ac:dyDescent="0.2">
      <c r="A1221" s="25" t="s">
        <v>2849</v>
      </c>
      <c r="B1221" s="25">
        <v>2026</v>
      </c>
      <c r="C1221" s="25" t="s">
        <v>6944</v>
      </c>
      <c r="D1221" s="25" t="s">
        <v>6945</v>
      </c>
      <c r="E1221" s="25" t="s">
        <v>6915</v>
      </c>
      <c r="F1221" s="25" t="s">
        <v>6916</v>
      </c>
      <c r="G1221" s="25" t="s">
        <v>5780</v>
      </c>
      <c r="H1221" s="25" t="s">
        <v>6941</v>
      </c>
      <c r="I1221" s="25" t="s">
        <v>3353</v>
      </c>
      <c r="J1221" s="25" t="s">
        <v>6918</v>
      </c>
    </row>
    <row r="1222" spans="1:10" ht="57" x14ac:dyDescent="0.2">
      <c r="A1222" s="25" t="s">
        <v>2857</v>
      </c>
      <c r="B1222" s="25">
        <v>2026</v>
      </c>
      <c r="C1222" s="25" t="s">
        <v>6946</v>
      </c>
      <c r="D1222" s="25" t="s">
        <v>6947</v>
      </c>
      <c r="E1222" s="25" t="s">
        <v>6915</v>
      </c>
      <c r="F1222" s="25" t="s">
        <v>6916</v>
      </c>
      <c r="G1222" s="25" t="s">
        <v>5780</v>
      </c>
      <c r="H1222" s="25" t="s">
        <v>6948</v>
      </c>
      <c r="I1222" s="25" t="s">
        <v>3353</v>
      </c>
      <c r="J1222" s="25" t="s">
        <v>6918</v>
      </c>
    </row>
    <row r="1223" spans="1:10" ht="57" x14ac:dyDescent="0.2">
      <c r="A1223" s="25" t="s">
        <v>2857</v>
      </c>
      <c r="B1223" s="25">
        <v>2026</v>
      </c>
      <c r="C1223" s="25" t="s">
        <v>6949</v>
      </c>
      <c r="D1223" s="25" t="s">
        <v>6950</v>
      </c>
      <c r="E1223" s="25" t="s">
        <v>6915</v>
      </c>
      <c r="F1223" s="25" t="s">
        <v>6916</v>
      </c>
      <c r="G1223" s="25" t="s">
        <v>5780</v>
      </c>
      <c r="H1223" s="25" t="s">
        <v>4051</v>
      </c>
      <c r="I1223" s="25" t="s">
        <v>3353</v>
      </c>
      <c r="J1223" s="25" t="s">
        <v>6918</v>
      </c>
    </row>
    <row r="1224" spans="1:10" ht="76" x14ac:dyDescent="0.2">
      <c r="A1224" s="25" t="s">
        <v>2857</v>
      </c>
      <c r="B1224" s="25">
        <v>2026</v>
      </c>
      <c r="C1224" s="25" t="s">
        <v>6951</v>
      </c>
      <c r="D1224" s="25" t="s">
        <v>6952</v>
      </c>
      <c r="E1224" s="25" t="s">
        <v>6915</v>
      </c>
      <c r="F1224" s="25" t="s">
        <v>6916</v>
      </c>
      <c r="G1224" s="25" t="s">
        <v>5780</v>
      </c>
      <c r="H1224" s="25" t="s">
        <v>6953</v>
      </c>
      <c r="I1224" s="25" t="s">
        <v>3353</v>
      </c>
      <c r="J1224" s="25" t="s">
        <v>6918</v>
      </c>
    </row>
    <row r="1225" spans="1:10" ht="57" x14ac:dyDescent="0.2">
      <c r="A1225" s="25" t="s">
        <v>2865</v>
      </c>
      <c r="B1225" s="25">
        <v>2025</v>
      </c>
      <c r="C1225" s="25" t="s">
        <v>6954</v>
      </c>
      <c r="D1225" s="25" t="s">
        <v>6955</v>
      </c>
      <c r="E1225" s="25" t="s">
        <v>6915</v>
      </c>
      <c r="F1225" s="25" t="s">
        <v>6916</v>
      </c>
      <c r="G1225" s="25" t="s">
        <v>5780</v>
      </c>
      <c r="H1225" s="25" t="s">
        <v>6956</v>
      </c>
      <c r="I1225" s="25" t="s">
        <v>3353</v>
      </c>
      <c r="J1225" s="25" t="s">
        <v>6918</v>
      </c>
    </row>
    <row r="1226" spans="1:10" ht="57" x14ac:dyDescent="0.2">
      <c r="A1226" s="25" t="s">
        <v>2865</v>
      </c>
      <c r="B1226" s="25">
        <v>2025</v>
      </c>
      <c r="C1226" s="25" t="s">
        <v>6957</v>
      </c>
      <c r="D1226" s="25" t="s">
        <v>6958</v>
      </c>
      <c r="E1226" s="25" t="s">
        <v>6915</v>
      </c>
      <c r="F1226" s="25" t="s">
        <v>6916</v>
      </c>
      <c r="G1226" s="25" t="s">
        <v>5780</v>
      </c>
      <c r="H1226" s="25" t="s">
        <v>6959</v>
      </c>
      <c r="I1226" s="25" t="s">
        <v>3353</v>
      </c>
      <c r="J1226" s="25" t="s">
        <v>6918</v>
      </c>
    </row>
    <row r="1227" spans="1:10" ht="76" x14ac:dyDescent="0.2">
      <c r="A1227" s="25" t="s">
        <v>2873</v>
      </c>
      <c r="B1227" s="25">
        <v>2025</v>
      </c>
      <c r="C1227" s="25" t="s">
        <v>6960</v>
      </c>
      <c r="D1227" s="25" t="s">
        <v>6961</v>
      </c>
      <c r="E1227" s="25" t="s">
        <v>6915</v>
      </c>
      <c r="F1227" s="25" t="s">
        <v>6916</v>
      </c>
      <c r="G1227" s="25" t="s">
        <v>5780</v>
      </c>
      <c r="H1227" s="25" t="s">
        <v>4163</v>
      </c>
      <c r="I1227" s="25" t="s">
        <v>3353</v>
      </c>
      <c r="J1227" s="25" t="s">
        <v>6918</v>
      </c>
    </row>
    <row r="1228" spans="1:10" ht="57" x14ac:dyDescent="0.2">
      <c r="A1228" s="25" t="s">
        <v>2881</v>
      </c>
      <c r="B1228" s="25">
        <v>2026</v>
      </c>
      <c r="C1228" s="25" t="s">
        <v>6962</v>
      </c>
      <c r="D1228" s="25" t="s">
        <v>6963</v>
      </c>
      <c r="E1228" s="25" t="s">
        <v>6915</v>
      </c>
      <c r="F1228" s="25" t="s">
        <v>6916</v>
      </c>
      <c r="G1228" s="25" t="s">
        <v>5780</v>
      </c>
      <c r="H1228" s="25" t="s">
        <v>6964</v>
      </c>
      <c r="I1228" s="25" t="s">
        <v>3353</v>
      </c>
      <c r="J1228" s="25" t="s">
        <v>6918</v>
      </c>
    </row>
    <row r="1229" spans="1:10" ht="95" x14ac:dyDescent="0.2">
      <c r="A1229" s="25" t="s">
        <v>2881</v>
      </c>
      <c r="B1229" s="25">
        <v>2026</v>
      </c>
      <c r="C1229" s="25" t="s">
        <v>6965</v>
      </c>
      <c r="D1229" s="25" t="s">
        <v>6966</v>
      </c>
      <c r="E1229" s="25" t="s">
        <v>6915</v>
      </c>
      <c r="F1229" s="25" t="s">
        <v>6916</v>
      </c>
      <c r="G1229" s="25" t="s">
        <v>5780</v>
      </c>
      <c r="H1229" s="25" t="s">
        <v>6967</v>
      </c>
      <c r="I1229" s="25" t="s">
        <v>3353</v>
      </c>
      <c r="J1229" s="25" t="s">
        <v>6918</v>
      </c>
    </row>
    <row r="1230" spans="1:10" ht="38" x14ac:dyDescent="0.2">
      <c r="A1230" s="25" t="s">
        <v>2881</v>
      </c>
      <c r="B1230" s="25">
        <v>2026</v>
      </c>
      <c r="C1230" s="25" t="s">
        <v>6968</v>
      </c>
      <c r="D1230" s="25" t="s">
        <v>6969</v>
      </c>
      <c r="E1230" s="25" t="s">
        <v>6915</v>
      </c>
      <c r="F1230" s="25" t="s">
        <v>6916</v>
      </c>
      <c r="G1230" s="25" t="s">
        <v>5780</v>
      </c>
      <c r="H1230" s="25" t="s">
        <v>6493</v>
      </c>
      <c r="I1230" s="25" t="s">
        <v>3353</v>
      </c>
      <c r="J1230" s="25" t="s">
        <v>6918</v>
      </c>
    </row>
    <row r="1231" spans="1:10" ht="76" x14ac:dyDescent="0.2">
      <c r="A1231" s="25" t="s">
        <v>2889</v>
      </c>
      <c r="B1231" s="25">
        <v>2026</v>
      </c>
      <c r="C1231" s="25" t="s">
        <v>6970</v>
      </c>
      <c r="D1231" s="25" t="s">
        <v>6971</v>
      </c>
      <c r="E1231" s="25" t="s">
        <v>6915</v>
      </c>
      <c r="F1231" s="25" t="s">
        <v>6916</v>
      </c>
      <c r="G1231" s="25" t="s">
        <v>5780</v>
      </c>
      <c r="H1231" s="25" t="s">
        <v>6972</v>
      </c>
      <c r="I1231" s="25" t="s">
        <v>3353</v>
      </c>
      <c r="J1231" s="25" t="s">
        <v>6918</v>
      </c>
    </row>
    <row r="1232" spans="1:10" ht="57" x14ac:dyDescent="0.2">
      <c r="A1232" s="25" t="s">
        <v>2889</v>
      </c>
      <c r="B1232" s="25">
        <v>2026</v>
      </c>
      <c r="C1232" s="25" t="s">
        <v>6973</v>
      </c>
      <c r="D1232" s="25" t="s">
        <v>6974</v>
      </c>
      <c r="E1232" s="25" t="s">
        <v>6915</v>
      </c>
      <c r="F1232" s="25" t="s">
        <v>6916</v>
      </c>
      <c r="G1232" s="25" t="s">
        <v>5780</v>
      </c>
      <c r="H1232" s="25" t="s">
        <v>6975</v>
      </c>
      <c r="I1232" s="25" t="s">
        <v>3353</v>
      </c>
      <c r="J1232" s="25" t="s">
        <v>6918</v>
      </c>
    </row>
    <row r="1233" spans="1:10" ht="57" x14ac:dyDescent="0.2">
      <c r="A1233" s="26" t="s">
        <v>2897</v>
      </c>
      <c r="B1233" s="26">
        <v>2026</v>
      </c>
      <c r="C1233" s="26" t="s">
        <v>6976</v>
      </c>
      <c r="D1233" s="26" t="s">
        <v>6977</v>
      </c>
      <c r="E1233" s="26" t="s">
        <v>6915</v>
      </c>
      <c r="F1233" s="26" t="s">
        <v>6916</v>
      </c>
      <c r="G1233" s="26" t="s">
        <v>5780</v>
      </c>
      <c r="H1233" s="26" t="s">
        <v>6978</v>
      </c>
      <c r="I1233" s="26" t="s">
        <v>3353</v>
      </c>
      <c r="J1233" s="26" t="s">
        <v>6918</v>
      </c>
    </row>
    <row r="1234" spans="1:10" ht="38" x14ac:dyDescent="0.2">
      <c r="A1234" s="26" t="s">
        <v>2897</v>
      </c>
      <c r="B1234" s="26">
        <v>2026</v>
      </c>
      <c r="C1234" s="26" t="s">
        <v>6979</v>
      </c>
      <c r="D1234" s="26" t="s">
        <v>6980</v>
      </c>
      <c r="E1234" s="26" t="s">
        <v>6915</v>
      </c>
      <c r="F1234" s="26" t="s">
        <v>6916</v>
      </c>
      <c r="G1234" s="26" t="s">
        <v>5780</v>
      </c>
      <c r="H1234" s="26" t="s">
        <v>6978</v>
      </c>
      <c r="I1234" s="26" t="s">
        <v>3353</v>
      </c>
      <c r="J1234" s="26" t="s">
        <v>6918</v>
      </c>
    </row>
    <row r="1235" spans="1:10" ht="95" x14ac:dyDescent="0.2">
      <c r="A1235" s="26" t="s">
        <v>2904</v>
      </c>
      <c r="B1235" s="26">
        <v>2026</v>
      </c>
      <c r="C1235" s="26" t="s">
        <v>6981</v>
      </c>
      <c r="D1235" s="26" t="s">
        <v>6982</v>
      </c>
      <c r="E1235" s="26" t="s">
        <v>6915</v>
      </c>
      <c r="F1235" s="26" t="s">
        <v>6916</v>
      </c>
      <c r="G1235" s="26" t="s">
        <v>5780</v>
      </c>
      <c r="H1235" s="26" t="s">
        <v>6983</v>
      </c>
      <c r="I1235" s="26" t="s">
        <v>3353</v>
      </c>
      <c r="J1235" s="26" t="s">
        <v>6918</v>
      </c>
    </row>
    <row r="1236" spans="1:10" ht="57" x14ac:dyDescent="0.2">
      <c r="A1236" s="26" t="s">
        <v>2904</v>
      </c>
      <c r="B1236" s="26">
        <v>2026</v>
      </c>
      <c r="C1236" s="26" t="s">
        <v>6984</v>
      </c>
      <c r="D1236" s="26" t="s">
        <v>6985</v>
      </c>
      <c r="E1236" s="26" t="s">
        <v>6915</v>
      </c>
      <c r="F1236" s="26" t="s">
        <v>6916</v>
      </c>
      <c r="G1236" s="26" t="s">
        <v>5780</v>
      </c>
      <c r="H1236" s="26" t="s">
        <v>3379</v>
      </c>
      <c r="I1236" s="26" t="s">
        <v>3353</v>
      </c>
      <c r="J1236" s="26" t="s">
        <v>6918</v>
      </c>
    </row>
    <row r="1237" spans="1:10" ht="95" x14ac:dyDescent="0.2">
      <c r="A1237" s="26" t="s">
        <v>2912</v>
      </c>
      <c r="B1237" s="26">
        <v>2026</v>
      </c>
      <c r="C1237" s="26" t="s">
        <v>6986</v>
      </c>
      <c r="D1237" s="26" t="s">
        <v>6987</v>
      </c>
      <c r="E1237" s="26" t="s">
        <v>6915</v>
      </c>
      <c r="F1237" s="26" t="s">
        <v>6916</v>
      </c>
      <c r="G1237" s="26" t="s">
        <v>5780</v>
      </c>
      <c r="H1237" s="26" t="s">
        <v>4157</v>
      </c>
      <c r="I1237" s="26" t="s">
        <v>3353</v>
      </c>
      <c r="J1237" s="26" t="s">
        <v>6918</v>
      </c>
    </row>
    <row r="1238" spans="1:10" ht="171" x14ac:dyDescent="0.2">
      <c r="A1238" s="26" t="s">
        <v>2920</v>
      </c>
      <c r="B1238" s="26">
        <v>2026</v>
      </c>
      <c r="C1238" s="26" t="s">
        <v>6988</v>
      </c>
      <c r="D1238" s="26" t="s">
        <v>6989</v>
      </c>
      <c r="E1238" s="26" t="s">
        <v>6915</v>
      </c>
      <c r="F1238" s="26" t="s">
        <v>6916</v>
      </c>
      <c r="G1238" s="26" t="s">
        <v>5780</v>
      </c>
      <c r="H1238" s="26" t="s">
        <v>6990</v>
      </c>
      <c r="I1238" s="26" t="s">
        <v>3353</v>
      </c>
      <c r="J1238" s="26" t="s">
        <v>6918</v>
      </c>
    </row>
    <row r="1239" spans="1:10" ht="114" x14ac:dyDescent="0.2">
      <c r="A1239" s="26" t="s">
        <v>2928</v>
      </c>
      <c r="B1239" s="26">
        <v>2025</v>
      </c>
      <c r="C1239" s="26" t="s">
        <v>6991</v>
      </c>
      <c r="D1239" s="26" t="s">
        <v>6992</v>
      </c>
      <c r="E1239" s="26" t="s">
        <v>6915</v>
      </c>
      <c r="F1239" s="26" t="s">
        <v>6916</v>
      </c>
      <c r="G1239" s="26" t="s">
        <v>5780</v>
      </c>
      <c r="H1239" s="26" t="s">
        <v>4624</v>
      </c>
      <c r="I1239" s="26" t="s">
        <v>3353</v>
      </c>
      <c r="J1239" s="26" t="s">
        <v>6918</v>
      </c>
    </row>
    <row r="1240" spans="1:10" ht="133" x14ac:dyDescent="0.2">
      <c r="A1240" s="26" t="s">
        <v>2936</v>
      </c>
      <c r="B1240" s="26">
        <v>2025</v>
      </c>
      <c r="C1240" s="26" t="s">
        <v>6993</v>
      </c>
      <c r="D1240" s="26" t="s">
        <v>6994</v>
      </c>
      <c r="E1240" s="26" t="s">
        <v>6915</v>
      </c>
      <c r="F1240" s="26" t="s">
        <v>6916</v>
      </c>
      <c r="G1240" s="26" t="s">
        <v>5780</v>
      </c>
      <c r="H1240" s="26" t="s">
        <v>6995</v>
      </c>
      <c r="I1240" s="26" t="s">
        <v>3353</v>
      </c>
      <c r="J1240" s="26" t="s">
        <v>6918</v>
      </c>
    </row>
    <row r="1241" spans="1:10" ht="133" x14ac:dyDescent="0.2">
      <c r="A1241" s="26" t="s">
        <v>2944</v>
      </c>
      <c r="B1241" s="26">
        <v>2026</v>
      </c>
      <c r="C1241" s="26" t="s">
        <v>6996</v>
      </c>
      <c r="D1241" s="26" t="s">
        <v>6997</v>
      </c>
      <c r="E1241" s="26" t="s">
        <v>6915</v>
      </c>
      <c r="F1241" s="26" t="s">
        <v>6916</v>
      </c>
      <c r="G1241" s="26" t="s">
        <v>5780</v>
      </c>
      <c r="H1241" s="26" t="s">
        <v>6998</v>
      </c>
      <c r="I1241" s="26" t="s">
        <v>3353</v>
      </c>
      <c r="J1241" s="26" t="s">
        <v>6918</v>
      </c>
    </row>
    <row r="1242" spans="1:10" ht="76" x14ac:dyDescent="0.2">
      <c r="A1242" s="26" t="s">
        <v>2952</v>
      </c>
      <c r="B1242" s="26">
        <v>2026</v>
      </c>
      <c r="C1242" s="26" t="s">
        <v>6999</v>
      </c>
      <c r="D1242" s="26" t="s">
        <v>7000</v>
      </c>
      <c r="E1242" s="26" t="s">
        <v>6915</v>
      </c>
      <c r="F1242" s="26" t="s">
        <v>6916</v>
      </c>
      <c r="G1242" s="26" t="s">
        <v>5780</v>
      </c>
      <c r="H1242" s="26" t="s">
        <v>7001</v>
      </c>
      <c r="I1242" s="26" t="s">
        <v>3353</v>
      </c>
      <c r="J1242" s="26" t="s">
        <v>6918</v>
      </c>
    </row>
    <row r="1243" spans="1:10" ht="95" x14ac:dyDescent="0.2">
      <c r="A1243" s="26" t="s">
        <v>2959</v>
      </c>
      <c r="B1243" s="26">
        <v>2025</v>
      </c>
      <c r="C1243" s="26" t="s">
        <v>7002</v>
      </c>
      <c r="D1243" s="26" t="s">
        <v>7003</v>
      </c>
      <c r="E1243" s="26" t="s">
        <v>6915</v>
      </c>
      <c r="F1243" s="26" t="s">
        <v>6916</v>
      </c>
      <c r="G1243" s="26" t="s">
        <v>5780</v>
      </c>
      <c r="H1243" s="26" t="s">
        <v>5817</v>
      </c>
      <c r="I1243" s="26" t="s">
        <v>3353</v>
      </c>
      <c r="J1243" s="26" t="s">
        <v>6918</v>
      </c>
    </row>
    <row r="1244" spans="1:10" ht="95" x14ac:dyDescent="0.2">
      <c r="A1244" s="26" t="s">
        <v>2967</v>
      </c>
      <c r="B1244" s="26">
        <v>2025</v>
      </c>
      <c r="C1244" s="26" t="s">
        <v>7004</v>
      </c>
      <c r="D1244" s="26" t="s">
        <v>7005</v>
      </c>
      <c r="E1244" s="26" t="s">
        <v>6915</v>
      </c>
      <c r="F1244" s="26" t="s">
        <v>6916</v>
      </c>
      <c r="G1244" s="26" t="s">
        <v>5780</v>
      </c>
      <c r="H1244" s="26" t="s">
        <v>7006</v>
      </c>
      <c r="I1244" s="26" t="s">
        <v>3353</v>
      </c>
      <c r="J1244" s="26" t="s">
        <v>6918</v>
      </c>
    </row>
    <row r="1245" spans="1:10" ht="76" x14ac:dyDescent="0.2">
      <c r="A1245" s="26" t="s">
        <v>2975</v>
      </c>
      <c r="B1245" s="26">
        <v>2025</v>
      </c>
      <c r="C1245" s="26" t="s">
        <v>7007</v>
      </c>
      <c r="D1245" s="26" t="s">
        <v>7008</v>
      </c>
      <c r="E1245" s="26" t="s">
        <v>6915</v>
      </c>
      <c r="F1245" s="26" t="s">
        <v>6916</v>
      </c>
      <c r="G1245" s="26" t="s">
        <v>5780</v>
      </c>
      <c r="H1245" s="26" t="s">
        <v>7009</v>
      </c>
      <c r="I1245" s="26" t="s">
        <v>3353</v>
      </c>
      <c r="J1245" s="26" t="s">
        <v>6918</v>
      </c>
    </row>
    <row r="1246" spans="1:10" ht="95" x14ac:dyDescent="0.2">
      <c r="A1246" s="26" t="s">
        <v>2983</v>
      </c>
      <c r="B1246" s="26">
        <v>2026</v>
      </c>
      <c r="C1246" s="26" t="s">
        <v>7010</v>
      </c>
      <c r="D1246" s="26" t="s">
        <v>7011</v>
      </c>
      <c r="E1246" s="26" t="s">
        <v>6915</v>
      </c>
      <c r="F1246" s="26" t="s">
        <v>6916</v>
      </c>
      <c r="G1246" s="26" t="s">
        <v>5780</v>
      </c>
      <c r="H1246" s="26" t="s">
        <v>7012</v>
      </c>
      <c r="I1246" s="26" t="s">
        <v>3353</v>
      </c>
      <c r="J1246" s="26" t="s">
        <v>6918</v>
      </c>
    </row>
    <row r="1247" spans="1:10" ht="76" x14ac:dyDescent="0.2">
      <c r="A1247" s="26" t="s">
        <v>2989</v>
      </c>
      <c r="B1247" s="26">
        <v>2026</v>
      </c>
      <c r="C1247" s="26" t="s">
        <v>7013</v>
      </c>
      <c r="D1247" s="26" t="s">
        <v>7014</v>
      </c>
      <c r="E1247" s="26" t="s">
        <v>6915</v>
      </c>
      <c r="F1247" s="26" t="s">
        <v>6916</v>
      </c>
      <c r="G1247" s="26" t="s">
        <v>5780</v>
      </c>
      <c r="H1247" s="26" t="s">
        <v>5823</v>
      </c>
      <c r="I1247" s="26" t="s">
        <v>3353</v>
      </c>
      <c r="J1247" s="26" t="s">
        <v>6918</v>
      </c>
    </row>
    <row r="1248" spans="1:10" ht="133" x14ac:dyDescent="0.2">
      <c r="A1248" s="26" t="s">
        <v>2996</v>
      </c>
      <c r="B1248" s="26">
        <v>2026</v>
      </c>
      <c r="C1248" s="26" t="s">
        <v>7015</v>
      </c>
      <c r="D1248" s="26" t="s">
        <v>7016</v>
      </c>
      <c r="E1248" s="26" t="s">
        <v>6915</v>
      </c>
      <c r="F1248" s="26" t="s">
        <v>6916</v>
      </c>
      <c r="G1248" s="26" t="s">
        <v>5780</v>
      </c>
      <c r="H1248" s="26" t="s">
        <v>7017</v>
      </c>
      <c r="I1248" s="26" t="s">
        <v>3353</v>
      </c>
      <c r="J1248" s="26" t="s">
        <v>6918</v>
      </c>
    </row>
    <row r="1249" spans="1:10" ht="76" x14ac:dyDescent="0.2">
      <c r="A1249" s="26" t="s">
        <v>3004</v>
      </c>
      <c r="B1249" s="26">
        <v>2024</v>
      </c>
      <c r="C1249" s="26" t="s">
        <v>7018</v>
      </c>
      <c r="D1249" s="26" t="s">
        <v>7019</v>
      </c>
      <c r="E1249" s="26" t="s">
        <v>6915</v>
      </c>
      <c r="F1249" s="26" t="s">
        <v>6916</v>
      </c>
      <c r="G1249" s="26" t="s">
        <v>5780</v>
      </c>
      <c r="H1249" s="26" t="s">
        <v>6064</v>
      </c>
      <c r="I1249" s="26" t="s">
        <v>3353</v>
      </c>
      <c r="J1249" s="26" t="s">
        <v>6918</v>
      </c>
    </row>
    <row r="1250" spans="1:10" ht="133" x14ac:dyDescent="0.2">
      <c r="A1250" s="26" t="s">
        <v>3012</v>
      </c>
      <c r="B1250" s="26">
        <v>2025</v>
      </c>
      <c r="C1250" s="26" t="s">
        <v>7020</v>
      </c>
      <c r="D1250" s="26" t="s">
        <v>7021</v>
      </c>
      <c r="E1250" s="26" t="s">
        <v>6915</v>
      </c>
      <c r="F1250" s="26" t="s">
        <v>6916</v>
      </c>
      <c r="G1250" s="26" t="s">
        <v>5780</v>
      </c>
      <c r="H1250" s="26" t="s">
        <v>7022</v>
      </c>
      <c r="I1250" s="26" t="s">
        <v>3353</v>
      </c>
      <c r="J1250" s="26" t="s">
        <v>6918</v>
      </c>
    </row>
    <row r="1251" spans="1:10" ht="95" x14ac:dyDescent="0.2">
      <c r="A1251" s="26" t="s">
        <v>3020</v>
      </c>
      <c r="B1251" s="26">
        <v>2026</v>
      </c>
      <c r="C1251" s="26" t="s">
        <v>7023</v>
      </c>
      <c r="D1251" s="26" t="s">
        <v>7024</v>
      </c>
      <c r="E1251" s="26" t="s">
        <v>6915</v>
      </c>
      <c r="F1251" s="26" t="s">
        <v>6916</v>
      </c>
      <c r="G1251" s="26" t="s">
        <v>5780</v>
      </c>
      <c r="H1251" s="26" t="s">
        <v>7025</v>
      </c>
      <c r="I1251" s="26" t="s">
        <v>3353</v>
      </c>
      <c r="J1251" s="26" t="s">
        <v>6918</v>
      </c>
    </row>
    <row r="1252" spans="1:10" ht="95" x14ac:dyDescent="0.2">
      <c r="A1252" s="26" t="s">
        <v>3028</v>
      </c>
      <c r="B1252" s="26">
        <v>2026</v>
      </c>
      <c r="C1252" s="26" t="s">
        <v>7026</v>
      </c>
      <c r="D1252" s="26" t="s">
        <v>7027</v>
      </c>
      <c r="E1252" s="26" t="s">
        <v>6915</v>
      </c>
      <c r="F1252" s="26" t="s">
        <v>6916</v>
      </c>
      <c r="G1252" s="26" t="s">
        <v>5780</v>
      </c>
      <c r="H1252" s="26" t="s">
        <v>7028</v>
      </c>
      <c r="I1252" s="26" t="s">
        <v>3353</v>
      </c>
      <c r="J1252" s="26" t="s">
        <v>6918</v>
      </c>
    </row>
    <row r="1253" spans="1:10" ht="76" x14ac:dyDescent="0.2">
      <c r="A1253" s="26" t="s">
        <v>3035</v>
      </c>
      <c r="B1253" s="26">
        <v>2024</v>
      </c>
      <c r="C1253" s="26" t="s">
        <v>7029</v>
      </c>
      <c r="D1253" s="26" t="s">
        <v>7030</v>
      </c>
      <c r="E1253" s="26" t="s">
        <v>6915</v>
      </c>
      <c r="F1253" s="26" t="s">
        <v>6916</v>
      </c>
      <c r="G1253" s="26" t="s">
        <v>5780</v>
      </c>
      <c r="H1253" s="26" t="s">
        <v>7031</v>
      </c>
      <c r="I1253" s="26" t="s">
        <v>3353</v>
      </c>
      <c r="J1253" s="26" t="s">
        <v>6918</v>
      </c>
    </row>
    <row r="1254" spans="1:10" ht="114" x14ac:dyDescent="0.2">
      <c r="A1254" s="26" t="s">
        <v>3043</v>
      </c>
      <c r="B1254" s="26">
        <v>2026</v>
      </c>
      <c r="C1254" s="26" t="s">
        <v>7032</v>
      </c>
      <c r="D1254" s="26" t="s">
        <v>7033</v>
      </c>
      <c r="E1254" s="26" t="s">
        <v>6915</v>
      </c>
      <c r="F1254" s="26" t="s">
        <v>6916</v>
      </c>
      <c r="G1254" s="26" t="s">
        <v>5780</v>
      </c>
      <c r="H1254" s="26" t="s">
        <v>7034</v>
      </c>
      <c r="I1254" s="26" t="s">
        <v>3353</v>
      </c>
      <c r="J1254" s="26" t="s">
        <v>6918</v>
      </c>
    </row>
    <row r="1255" spans="1:10" ht="133" x14ac:dyDescent="0.2">
      <c r="A1255" s="26" t="s">
        <v>3051</v>
      </c>
      <c r="B1255" s="26">
        <v>2025</v>
      </c>
      <c r="C1255" s="26" t="s">
        <v>7035</v>
      </c>
      <c r="D1255" s="26" t="s">
        <v>7036</v>
      </c>
      <c r="E1255" s="26" t="s">
        <v>6915</v>
      </c>
      <c r="F1255" s="26" t="s">
        <v>6916</v>
      </c>
      <c r="G1255" s="26" t="s">
        <v>5780</v>
      </c>
      <c r="H1255" s="26" t="s">
        <v>6079</v>
      </c>
      <c r="I1255" s="26" t="s">
        <v>3353</v>
      </c>
      <c r="J1255" s="26" t="s">
        <v>6918</v>
      </c>
    </row>
    <row r="1256" spans="1:10" ht="95" x14ac:dyDescent="0.2">
      <c r="A1256" s="26" t="s">
        <v>3058</v>
      </c>
      <c r="B1256" s="26">
        <v>2025</v>
      </c>
      <c r="C1256" s="26" t="s">
        <v>7037</v>
      </c>
      <c r="D1256" s="26" t="s">
        <v>7038</v>
      </c>
      <c r="E1256" s="26" t="s">
        <v>6915</v>
      </c>
      <c r="F1256" s="26" t="s">
        <v>6916</v>
      </c>
      <c r="G1256" s="26" t="s">
        <v>5780</v>
      </c>
      <c r="H1256" s="26" t="s">
        <v>7039</v>
      </c>
      <c r="I1256" s="26" t="s">
        <v>3353</v>
      </c>
      <c r="J1256" s="26" t="s">
        <v>6918</v>
      </c>
    </row>
    <row r="1257" spans="1:10" ht="95" x14ac:dyDescent="0.2">
      <c r="A1257" s="26" t="s">
        <v>3065</v>
      </c>
      <c r="B1257" s="26">
        <v>2026</v>
      </c>
      <c r="C1257" s="26" t="s">
        <v>7040</v>
      </c>
      <c r="D1257" s="26" t="s">
        <v>7041</v>
      </c>
      <c r="E1257" s="26" t="s">
        <v>6915</v>
      </c>
      <c r="F1257" s="26" t="s">
        <v>6916</v>
      </c>
      <c r="G1257" s="26" t="s">
        <v>5780</v>
      </c>
      <c r="H1257" s="26" t="s">
        <v>7042</v>
      </c>
      <c r="I1257" s="26" t="s">
        <v>3353</v>
      </c>
      <c r="J1257" s="26" t="s">
        <v>6918</v>
      </c>
    </row>
    <row r="1258" spans="1:10" ht="95" x14ac:dyDescent="0.2">
      <c r="A1258" s="26" t="s">
        <v>3072</v>
      </c>
      <c r="B1258" s="26">
        <v>2026</v>
      </c>
      <c r="C1258" s="26" t="s">
        <v>7043</v>
      </c>
      <c r="D1258" s="26" t="s">
        <v>7044</v>
      </c>
      <c r="E1258" s="26" t="s">
        <v>6915</v>
      </c>
      <c r="F1258" s="26" t="s">
        <v>6916</v>
      </c>
      <c r="G1258" s="26" t="s">
        <v>5780</v>
      </c>
      <c r="H1258" s="26" t="s">
        <v>7045</v>
      </c>
      <c r="I1258" s="26" t="s">
        <v>3353</v>
      </c>
      <c r="J1258" s="26" t="s">
        <v>6918</v>
      </c>
    </row>
    <row r="1259" spans="1:10" ht="114" x14ac:dyDescent="0.2">
      <c r="A1259" s="26" t="s">
        <v>3080</v>
      </c>
      <c r="B1259" s="26">
        <v>2026</v>
      </c>
      <c r="C1259" s="26" t="s">
        <v>7046</v>
      </c>
      <c r="D1259" s="26" t="s">
        <v>7047</v>
      </c>
      <c r="E1259" s="26" t="s">
        <v>6915</v>
      </c>
      <c r="F1259" s="26" t="s">
        <v>6916</v>
      </c>
      <c r="G1259" s="26" t="s">
        <v>5780</v>
      </c>
      <c r="H1259" s="26" t="s">
        <v>7048</v>
      </c>
      <c r="I1259" s="26" t="s">
        <v>3353</v>
      </c>
      <c r="J1259" s="26" t="s">
        <v>6918</v>
      </c>
    </row>
    <row r="1260" spans="1:10" ht="76" x14ac:dyDescent="0.2">
      <c r="A1260" s="26" t="s">
        <v>3087</v>
      </c>
      <c r="B1260" s="26">
        <v>2026</v>
      </c>
      <c r="C1260" s="26" t="s">
        <v>7049</v>
      </c>
      <c r="D1260" s="26" t="s">
        <v>7050</v>
      </c>
      <c r="E1260" s="26" t="s">
        <v>6915</v>
      </c>
      <c r="F1260" s="26" t="s">
        <v>6916</v>
      </c>
      <c r="G1260" s="26" t="s">
        <v>5780</v>
      </c>
      <c r="H1260" s="26" t="s">
        <v>7051</v>
      </c>
      <c r="I1260" s="26" t="s">
        <v>3353</v>
      </c>
      <c r="J1260" s="26" t="s">
        <v>6918</v>
      </c>
    </row>
    <row r="1261" spans="1:10" ht="133" x14ac:dyDescent="0.2">
      <c r="A1261" s="26" t="s">
        <v>3095</v>
      </c>
      <c r="B1261" s="26">
        <v>2026</v>
      </c>
      <c r="C1261" s="26" t="s">
        <v>7052</v>
      </c>
      <c r="D1261" s="26" t="s">
        <v>7053</v>
      </c>
      <c r="E1261" s="26" t="s">
        <v>6915</v>
      </c>
      <c r="F1261" s="26" t="s">
        <v>6916</v>
      </c>
      <c r="G1261" s="26" t="s">
        <v>5780</v>
      </c>
      <c r="H1261" s="26" t="s">
        <v>7054</v>
      </c>
      <c r="I1261" s="26" t="s">
        <v>3353</v>
      </c>
      <c r="J1261" s="26" t="s">
        <v>6918</v>
      </c>
    </row>
    <row r="1262" spans="1:10" ht="133" x14ac:dyDescent="0.2">
      <c r="A1262" s="26" t="s">
        <v>3102</v>
      </c>
      <c r="B1262" s="26">
        <v>2026</v>
      </c>
      <c r="C1262" s="26" t="s">
        <v>7055</v>
      </c>
      <c r="D1262" s="26" t="s">
        <v>7056</v>
      </c>
      <c r="E1262" s="26" t="s">
        <v>6915</v>
      </c>
      <c r="F1262" s="26" t="s">
        <v>6916</v>
      </c>
      <c r="G1262" s="26" t="s">
        <v>5780</v>
      </c>
      <c r="H1262" s="26" t="s">
        <v>7057</v>
      </c>
      <c r="I1262" s="26" t="s">
        <v>3353</v>
      </c>
      <c r="J1262" s="26" t="s">
        <v>6918</v>
      </c>
    </row>
    <row r="1263" spans="1:10" ht="114" x14ac:dyDescent="0.2">
      <c r="A1263" s="26" t="s">
        <v>3109</v>
      </c>
      <c r="B1263" s="26">
        <v>2026</v>
      </c>
      <c r="C1263" s="26" t="s">
        <v>7058</v>
      </c>
      <c r="D1263" s="26" t="s">
        <v>7059</v>
      </c>
      <c r="E1263" s="26" t="s">
        <v>6915</v>
      </c>
      <c r="F1263" s="26" t="s">
        <v>6916</v>
      </c>
      <c r="G1263" s="26" t="s">
        <v>5780</v>
      </c>
      <c r="H1263" s="26" t="s">
        <v>7060</v>
      </c>
      <c r="I1263" s="26" t="s">
        <v>3353</v>
      </c>
      <c r="J1263" s="26" t="s">
        <v>6918</v>
      </c>
    </row>
    <row r="1264" spans="1:10" ht="76" x14ac:dyDescent="0.2">
      <c r="A1264" s="26" t="s">
        <v>3117</v>
      </c>
      <c r="B1264" s="26">
        <v>2026</v>
      </c>
      <c r="C1264" s="26" t="s">
        <v>7061</v>
      </c>
      <c r="D1264" s="26" t="s">
        <v>7062</v>
      </c>
      <c r="E1264" s="26" t="s">
        <v>6915</v>
      </c>
      <c r="F1264" s="26" t="s">
        <v>6916</v>
      </c>
      <c r="G1264" s="26" t="s">
        <v>5780</v>
      </c>
      <c r="H1264" s="26" t="s">
        <v>6102</v>
      </c>
      <c r="I1264" s="26" t="s">
        <v>3353</v>
      </c>
      <c r="J1264" s="26" t="s">
        <v>6918</v>
      </c>
    </row>
    <row r="1265" spans="1:10" ht="76" x14ac:dyDescent="0.2">
      <c r="A1265" s="26" t="s">
        <v>3125</v>
      </c>
      <c r="B1265" s="26">
        <v>2025</v>
      </c>
      <c r="C1265" s="26" t="s">
        <v>7063</v>
      </c>
      <c r="D1265" s="26" t="s">
        <v>7064</v>
      </c>
      <c r="E1265" s="26" t="s">
        <v>6915</v>
      </c>
      <c r="F1265" s="26" t="s">
        <v>6916</v>
      </c>
      <c r="G1265" s="26" t="s">
        <v>5780</v>
      </c>
      <c r="H1265" s="26" t="s">
        <v>7065</v>
      </c>
      <c r="I1265" s="26" t="s">
        <v>3353</v>
      </c>
      <c r="J1265" s="26" t="s">
        <v>6918</v>
      </c>
    </row>
    <row r="1266" spans="1:10" ht="57" x14ac:dyDescent="0.2">
      <c r="A1266" s="26" t="s">
        <v>3132</v>
      </c>
      <c r="B1266" s="26">
        <v>2026</v>
      </c>
      <c r="C1266" s="26" t="s">
        <v>7066</v>
      </c>
      <c r="D1266" s="26" t="s">
        <v>7067</v>
      </c>
      <c r="E1266" s="26" t="s">
        <v>6915</v>
      </c>
      <c r="F1266" s="26" t="s">
        <v>6916</v>
      </c>
      <c r="G1266" s="26" t="s">
        <v>5780</v>
      </c>
      <c r="H1266" s="26" t="s">
        <v>7068</v>
      </c>
      <c r="I1266" s="26" t="s">
        <v>3353</v>
      </c>
      <c r="J1266" s="26" t="s">
        <v>6918</v>
      </c>
    </row>
    <row r="1267" spans="1:10" ht="76" x14ac:dyDescent="0.2">
      <c r="A1267" s="26" t="s">
        <v>3140</v>
      </c>
      <c r="B1267" s="26">
        <v>2026</v>
      </c>
      <c r="C1267" s="26" t="s">
        <v>7069</v>
      </c>
      <c r="D1267" s="26" t="s">
        <v>7070</v>
      </c>
      <c r="E1267" s="26" t="s">
        <v>6915</v>
      </c>
      <c r="F1267" s="26" t="s">
        <v>6916</v>
      </c>
      <c r="G1267" s="26" t="s">
        <v>5780</v>
      </c>
      <c r="H1267" s="26" t="s">
        <v>6105</v>
      </c>
      <c r="I1267" s="26" t="s">
        <v>3353</v>
      </c>
      <c r="J1267" s="26" t="s">
        <v>6918</v>
      </c>
    </row>
    <row r="1268" spans="1:10" ht="95" x14ac:dyDescent="0.2">
      <c r="A1268" s="26" t="s">
        <v>3147</v>
      </c>
      <c r="B1268" s="26">
        <v>2026</v>
      </c>
      <c r="C1268" s="26" t="s">
        <v>7071</v>
      </c>
      <c r="D1268" s="26" t="s">
        <v>7072</v>
      </c>
      <c r="E1268" s="26" t="s">
        <v>6915</v>
      </c>
      <c r="F1268" s="26" t="s">
        <v>6916</v>
      </c>
      <c r="G1268" s="26" t="s">
        <v>5780</v>
      </c>
      <c r="H1268" s="26" t="s">
        <v>7073</v>
      </c>
      <c r="I1268" s="26" t="s">
        <v>3353</v>
      </c>
      <c r="J1268" s="26" t="s">
        <v>6918</v>
      </c>
    </row>
    <row r="1269" spans="1:10" ht="95" x14ac:dyDescent="0.2">
      <c r="A1269" s="26" t="s">
        <v>3155</v>
      </c>
      <c r="B1269" s="26">
        <v>2026</v>
      </c>
      <c r="C1269" s="26" t="s">
        <v>7074</v>
      </c>
      <c r="D1269" s="26" t="s">
        <v>7075</v>
      </c>
      <c r="E1269" s="26" t="s">
        <v>6915</v>
      </c>
      <c r="F1269" s="26" t="s">
        <v>6916</v>
      </c>
      <c r="G1269" s="26" t="s">
        <v>5780</v>
      </c>
      <c r="H1269" s="26" t="s">
        <v>7076</v>
      </c>
      <c r="I1269" s="26" t="s">
        <v>3353</v>
      </c>
      <c r="J1269" s="26" t="s">
        <v>6918</v>
      </c>
    </row>
    <row r="1270" spans="1:10" ht="114" x14ac:dyDescent="0.2">
      <c r="A1270" s="26" t="s">
        <v>3163</v>
      </c>
      <c r="B1270" s="26">
        <v>2025</v>
      </c>
      <c r="C1270" s="26" t="s">
        <v>7077</v>
      </c>
      <c r="D1270" s="26" t="s">
        <v>7078</v>
      </c>
      <c r="E1270" s="26" t="s">
        <v>6915</v>
      </c>
      <c r="F1270" s="26" t="s">
        <v>6916</v>
      </c>
      <c r="G1270" s="26" t="s">
        <v>5780</v>
      </c>
      <c r="H1270" s="26" t="s">
        <v>7079</v>
      </c>
      <c r="I1270" s="26" t="s">
        <v>3353</v>
      </c>
      <c r="J1270" s="26" t="s">
        <v>6918</v>
      </c>
    </row>
    <row r="1271" spans="1:10" ht="76" x14ac:dyDescent="0.2">
      <c r="A1271" s="26" t="s">
        <v>3171</v>
      </c>
      <c r="B1271" s="26">
        <v>2026</v>
      </c>
      <c r="C1271" s="26" t="s">
        <v>7080</v>
      </c>
      <c r="D1271" s="26" t="s">
        <v>7081</v>
      </c>
      <c r="E1271" s="26" t="s">
        <v>6915</v>
      </c>
      <c r="F1271" s="26" t="s">
        <v>6916</v>
      </c>
      <c r="G1271" s="26" t="s">
        <v>5780</v>
      </c>
      <c r="H1271" s="26" t="s">
        <v>5859</v>
      </c>
      <c r="I1271" s="26" t="s">
        <v>3353</v>
      </c>
      <c r="J1271" s="26" t="s">
        <v>6918</v>
      </c>
    </row>
    <row r="1272" spans="1:10" ht="57" x14ac:dyDescent="0.2">
      <c r="A1272" s="26" t="s">
        <v>3179</v>
      </c>
      <c r="B1272" s="26">
        <v>2026</v>
      </c>
      <c r="C1272" s="26" t="s">
        <v>7082</v>
      </c>
      <c r="D1272" s="26" t="s">
        <v>7083</v>
      </c>
      <c r="E1272" s="26" t="s">
        <v>6915</v>
      </c>
      <c r="F1272" s="26" t="s">
        <v>6916</v>
      </c>
      <c r="G1272" s="26" t="s">
        <v>5780</v>
      </c>
      <c r="H1272" s="26" t="s">
        <v>6621</v>
      </c>
      <c r="I1272" s="26" t="s">
        <v>3353</v>
      </c>
      <c r="J1272" s="26" t="s">
        <v>6918</v>
      </c>
    </row>
    <row r="1273" spans="1:10" ht="95" x14ac:dyDescent="0.2">
      <c r="A1273" s="26" t="s">
        <v>3187</v>
      </c>
      <c r="B1273" s="26">
        <v>2026</v>
      </c>
      <c r="C1273" s="26" t="s">
        <v>7084</v>
      </c>
      <c r="D1273" s="26" t="s">
        <v>7085</v>
      </c>
      <c r="E1273" s="26" t="s">
        <v>6915</v>
      </c>
      <c r="F1273" s="26" t="s">
        <v>6916</v>
      </c>
      <c r="G1273" s="26" t="s">
        <v>5780</v>
      </c>
      <c r="H1273" s="26" t="s">
        <v>7086</v>
      </c>
      <c r="I1273" s="26" t="s">
        <v>3353</v>
      </c>
      <c r="J1273" s="26" t="s">
        <v>6918</v>
      </c>
    </row>
    <row r="1274" spans="1:10" ht="95" x14ac:dyDescent="0.2">
      <c r="A1274" s="26" t="s">
        <v>3194</v>
      </c>
      <c r="B1274" s="26">
        <v>2025</v>
      </c>
      <c r="C1274" s="26" t="s">
        <v>7087</v>
      </c>
      <c r="D1274" s="26" t="s">
        <v>7088</v>
      </c>
      <c r="E1274" s="26" t="s">
        <v>6915</v>
      </c>
      <c r="F1274" s="26" t="s">
        <v>6916</v>
      </c>
      <c r="G1274" s="26" t="s">
        <v>5780</v>
      </c>
      <c r="H1274" s="26" t="s">
        <v>7089</v>
      </c>
      <c r="I1274" s="26" t="s">
        <v>3353</v>
      </c>
      <c r="J1274" s="26" t="s">
        <v>6918</v>
      </c>
    </row>
    <row r="1275" spans="1:10" ht="95" x14ac:dyDescent="0.2">
      <c r="A1275" s="26" t="s">
        <v>3201</v>
      </c>
      <c r="B1275" s="26">
        <v>2026</v>
      </c>
      <c r="C1275" s="26" t="s">
        <v>7090</v>
      </c>
      <c r="D1275" s="26" t="s">
        <v>7091</v>
      </c>
      <c r="E1275" s="26" t="s">
        <v>6915</v>
      </c>
      <c r="F1275" s="26" t="s">
        <v>6916</v>
      </c>
      <c r="G1275" s="26" t="s">
        <v>5780</v>
      </c>
      <c r="H1275" s="26" t="s">
        <v>7092</v>
      </c>
      <c r="I1275" s="26" t="s">
        <v>3353</v>
      </c>
      <c r="J1275" s="26" t="s">
        <v>6918</v>
      </c>
    </row>
    <row r="1276" spans="1:10" ht="95" x14ac:dyDescent="0.2">
      <c r="A1276" s="26" t="s">
        <v>3209</v>
      </c>
      <c r="B1276" s="26">
        <v>2026</v>
      </c>
      <c r="C1276" s="26" t="s">
        <v>7093</v>
      </c>
      <c r="D1276" s="26" t="s">
        <v>7094</v>
      </c>
      <c r="E1276" s="26" t="s">
        <v>6915</v>
      </c>
      <c r="F1276" s="26" t="s">
        <v>6916</v>
      </c>
      <c r="G1276" s="26" t="s">
        <v>5780</v>
      </c>
      <c r="H1276" s="26" t="s">
        <v>7095</v>
      </c>
      <c r="I1276" s="26" t="s">
        <v>3353</v>
      </c>
      <c r="J1276" s="26" t="s">
        <v>6918</v>
      </c>
    </row>
    <row r="1277" spans="1:10" ht="95" x14ac:dyDescent="0.2">
      <c r="A1277" s="26" t="s">
        <v>3217</v>
      </c>
      <c r="B1277" s="26">
        <v>2026</v>
      </c>
      <c r="C1277" s="26" t="s">
        <v>7096</v>
      </c>
      <c r="D1277" s="26" t="s">
        <v>7097</v>
      </c>
      <c r="E1277" s="26" t="s">
        <v>6915</v>
      </c>
      <c r="F1277" s="26" t="s">
        <v>6916</v>
      </c>
      <c r="G1277" s="26" t="s">
        <v>5780</v>
      </c>
      <c r="H1277" s="26" t="s">
        <v>7098</v>
      </c>
      <c r="I1277" s="26" t="s">
        <v>3353</v>
      </c>
      <c r="J1277" s="26" t="s">
        <v>6918</v>
      </c>
    </row>
    <row r="1278" spans="1:10" ht="114" x14ac:dyDescent="0.2">
      <c r="A1278" s="26" t="s">
        <v>3223</v>
      </c>
      <c r="B1278" s="26">
        <v>2026</v>
      </c>
      <c r="C1278" s="26" t="s">
        <v>7099</v>
      </c>
      <c r="D1278" s="26" t="s">
        <v>7100</v>
      </c>
      <c r="E1278" s="26" t="s">
        <v>6915</v>
      </c>
      <c r="F1278" s="26" t="s">
        <v>6916</v>
      </c>
      <c r="G1278" s="26" t="s">
        <v>5780</v>
      </c>
      <c r="H1278" s="26" t="s">
        <v>7101</v>
      </c>
      <c r="I1278" s="26" t="s">
        <v>3353</v>
      </c>
      <c r="J1278" s="26" t="s">
        <v>6918</v>
      </c>
    </row>
    <row r="1279" spans="1:10" ht="95" x14ac:dyDescent="0.2">
      <c r="A1279" s="26" t="s">
        <v>3229</v>
      </c>
      <c r="B1279" s="26">
        <v>2025</v>
      </c>
      <c r="C1279" s="26" t="s">
        <v>7102</v>
      </c>
      <c r="D1279" s="26" t="s">
        <v>7103</v>
      </c>
      <c r="E1279" s="26" t="s">
        <v>6915</v>
      </c>
      <c r="F1279" s="26" t="s">
        <v>6916</v>
      </c>
      <c r="G1279" s="26" t="s">
        <v>5780</v>
      </c>
      <c r="H1279" s="26" t="s">
        <v>7104</v>
      </c>
      <c r="I1279" s="26" t="s">
        <v>3353</v>
      </c>
      <c r="J1279" s="26" t="s">
        <v>6918</v>
      </c>
    </row>
    <row r="1280" spans="1:10" ht="114" x14ac:dyDescent="0.2">
      <c r="A1280" s="26" t="s">
        <v>3236</v>
      </c>
      <c r="B1280" s="26">
        <v>2025</v>
      </c>
      <c r="C1280" s="26" t="s">
        <v>7105</v>
      </c>
      <c r="D1280" s="26" t="s">
        <v>7106</v>
      </c>
      <c r="E1280" s="26" t="s">
        <v>6915</v>
      </c>
      <c r="F1280" s="26" t="s">
        <v>6916</v>
      </c>
      <c r="G1280" s="26" t="s">
        <v>5780</v>
      </c>
      <c r="H1280" s="26" t="s">
        <v>7107</v>
      </c>
      <c r="I1280" s="26" t="s">
        <v>3353</v>
      </c>
      <c r="J1280" s="26" t="s">
        <v>6918</v>
      </c>
    </row>
    <row r="1281" spans="1:10" ht="114" x14ac:dyDescent="0.2">
      <c r="A1281" s="26" t="s">
        <v>3243</v>
      </c>
      <c r="B1281" s="26">
        <v>2026</v>
      </c>
      <c r="C1281" s="26" t="s">
        <v>7108</v>
      </c>
      <c r="D1281" s="26" t="s">
        <v>7109</v>
      </c>
      <c r="E1281" s="26" t="s">
        <v>6915</v>
      </c>
      <c r="F1281" s="26" t="s">
        <v>6916</v>
      </c>
      <c r="G1281" s="26" t="s">
        <v>5780</v>
      </c>
      <c r="H1281" s="26" t="s">
        <v>7110</v>
      </c>
      <c r="I1281" s="26" t="s">
        <v>3353</v>
      </c>
      <c r="J1281" s="26" t="s">
        <v>6918</v>
      </c>
    </row>
    <row r="1282" spans="1:10" ht="95" x14ac:dyDescent="0.2">
      <c r="A1282" s="26" t="s">
        <v>3248</v>
      </c>
      <c r="B1282" s="26">
        <v>2024</v>
      </c>
      <c r="C1282" s="26" t="s">
        <v>7111</v>
      </c>
      <c r="D1282" s="26" t="s">
        <v>7112</v>
      </c>
      <c r="E1282" s="26" t="s">
        <v>6915</v>
      </c>
      <c r="F1282" s="26" t="s">
        <v>6916</v>
      </c>
      <c r="G1282" s="26" t="s">
        <v>5780</v>
      </c>
      <c r="H1282" s="26" t="s">
        <v>7113</v>
      </c>
      <c r="I1282" s="26" t="s">
        <v>3353</v>
      </c>
      <c r="J1282" s="26" t="s">
        <v>6918</v>
      </c>
    </row>
    <row r="1283" spans="1:10" ht="76" x14ac:dyDescent="0.2">
      <c r="A1283" s="26" t="s">
        <v>3256</v>
      </c>
      <c r="B1283" s="26">
        <v>2024</v>
      </c>
      <c r="C1283" s="26" t="s">
        <v>7114</v>
      </c>
      <c r="D1283" s="26" t="s">
        <v>7115</v>
      </c>
      <c r="E1283" s="26" t="s">
        <v>6915</v>
      </c>
      <c r="F1283" s="26" t="s">
        <v>6916</v>
      </c>
      <c r="G1283" s="26" t="s">
        <v>5780</v>
      </c>
      <c r="H1283" s="26" t="s">
        <v>5868</v>
      </c>
      <c r="I1283" s="26" t="s">
        <v>3353</v>
      </c>
      <c r="J1283" s="26" t="s">
        <v>6918</v>
      </c>
    </row>
    <row r="1284" spans="1:10" ht="57" x14ac:dyDescent="0.2">
      <c r="A1284" s="26" t="s">
        <v>3264</v>
      </c>
      <c r="B1284" s="26">
        <v>2024</v>
      </c>
      <c r="C1284" s="26" t="s">
        <v>7116</v>
      </c>
      <c r="D1284" s="26" t="s">
        <v>7117</v>
      </c>
      <c r="E1284" s="26" t="s">
        <v>6915</v>
      </c>
      <c r="F1284" s="26" t="s">
        <v>6916</v>
      </c>
      <c r="G1284" s="26" t="s">
        <v>5780</v>
      </c>
      <c r="H1284" s="26" t="s">
        <v>7118</v>
      </c>
      <c r="I1284" s="26" t="s">
        <v>3353</v>
      </c>
      <c r="J1284" s="26" t="s">
        <v>6918</v>
      </c>
    </row>
    <row r="1285" spans="1:10" ht="95" x14ac:dyDescent="0.2">
      <c r="A1285" s="26" t="s">
        <v>3272</v>
      </c>
      <c r="B1285" s="26">
        <v>2024</v>
      </c>
      <c r="C1285" s="26" t="s">
        <v>7119</v>
      </c>
      <c r="D1285" s="26" t="s">
        <v>7120</v>
      </c>
      <c r="E1285" s="26" t="s">
        <v>6915</v>
      </c>
      <c r="F1285" s="26" t="s">
        <v>6916</v>
      </c>
      <c r="G1285" s="26" t="s">
        <v>5780</v>
      </c>
      <c r="H1285" s="26" t="s">
        <v>7121</v>
      </c>
      <c r="I1285" s="26" t="s">
        <v>3353</v>
      </c>
      <c r="J1285" s="26" t="s">
        <v>6918</v>
      </c>
    </row>
    <row r="1286" spans="1:10" ht="114" x14ac:dyDescent="0.2">
      <c r="A1286" s="26" t="s">
        <v>3278</v>
      </c>
      <c r="B1286" s="26">
        <v>2025</v>
      </c>
      <c r="C1286" s="26" t="s">
        <v>7122</v>
      </c>
      <c r="D1286" s="26" t="s">
        <v>7123</v>
      </c>
      <c r="E1286" s="26" t="s">
        <v>6915</v>
      </c>
      <c r="F1286" s="26" t="s">
        <v>6916</v>
      </c>
      <c r="G1286" s="26" t="s">
        <v>5780</v>
      </c>
      <c r="H1286" s="26" t="s">
        <v>7124</v>
      </c>
      <c r="I1286" s="26" t="s">
        <v>3353</v>
      </c>
      <c r="J1286" s="26" t="s">
        <v>6918</v>
      </c>
    </row>
    <row r="1287" spans="1:10" ht="114" x14ac:dyDescent="0.2">
      <c r="A1287" s="26" t="s">
        <v>3286</v>
      </c>
      <c r="B1287" s="26">
        <v>2025</v>
      </c>
      <c r="C1287" s="26" t="s">
        <v>7125</v>
      </c>
      <c r="D1287" s="26" t="s">
        <v>7126</v>
      </c>
      <c r="E1287" s="26" t="s">
        <v>6915</v>
      </c>
      <c r="F1287" s="26" t="s">
        <v>6916</v>
      </c>
      <c r="G1287" s="26" t="s">
        <v>5780</v>
      </c>
      <c r="H1287" s="26" t="s">
        <v>7127</v>
      </c>
      <c r="I1287" s="26" t="s">
        <v>3353</v>
      </c>
      <c r="J1287" s="26" t="s">
        <v>6918</v>
      </c>
    </row>
    <row r="1288" spans="1:10" ht="95" x14ac:dyDescent="0.2">
      <c r="A1288" s="26" t="s">
        <v>3290</v>
      </c>
      <c r="B1288" s="26">
        <v>2024</v>
      </c>
      <c r="C1288" s="26" t="s">
        <v>7128</v>
      </c>
      <c r="D1288" s="26" t="s">
        <v>7129</v>
      </c>
      <c r="E1288" s="26" t="s">
        <v>6915</v>
      </c>
      <c r="F1288" s="26" t="s">
        <v>6916</v>
      </c>
      <c r="G1288" s="26" t="s">
        <v>5780</v>
      </c>
      <c r="H1288" s="26" t="s">
        <v>7130</v>
      </c>
      <c r="I1288" s="26" t="s">
        <v>3353</v>
      </c>
      <c r="J1288" s="26" t="s">
        <v>6918</v>
      </c>
    </row>
    <row r="1289" spans="1:10" ht="57" x14ac:dyDescent="0.2">
      <c r="A1289" s="26" t="s">
        <v>3298</v>
      </c>
      <c r="B1289" s="26">
        <v>2024</v>
      </c>
      <c r="C1289" s="26" t="s">
        <v>7131</v>
      </c>
      <c r="D1289" s="26" t="s">
        <v>7132</v>
      </c>
      <c r="E1289" s="26" t="s">
        <v>6915</v>
      </c>
      <c r="F1289" s="26" t="s">
        <v>6916</v>
      </c>
      <c r="G1289" s="26" t="s">
        <v>5780</v>
      </c>
      <c r="H1289" s="26" t="s">
        <v>7133</v>
      </c>
      <c r="I1289" s="26" t="s">
        <v>3353</v>
      </c>
      <c r="J1289" s="26" t="s">
        <v>6918</v>
      </c>
    </row>
    <row r="1290" spans="1:10" ht="114" x14ac:dyDescent="0.2">
      <c r="A1290" s="26" t="s">
        <v>3306</v>
      </c>
      <c r="B1290" s="26">
        <v>2024</v>
      </c>
      <c r="C1290" s="26" t="s">
        <v>7134</v>
      </c>
      <c r="D1290" s="26" t="s">
        <v>7135</v>
      </c>
      <c r="E1290" s="26" t="s">
        <v>6915</v>
      </c>
      <c r="F1290" s="26" t="s">
        <v>6916</v>
      </c>
      <c r="G1290" s="26" t="s">
        <v>5780</v>
      </c>
      <c r="H1290" s="26" t="s">
        <v>7136</v>
      </c>
      <c r="I1290" s="26" t="s">
        <v>3353</v>
      </c>
      <c r="J1290" s="26" t="s">
        <v>6918</v>
      </c>
    </row>
    <row r="1291" spans="1:10" ht="133" x14ac:dyDescent="0.2">
      <c r="A1291" s="26" t="s">
        <v>3313</v>
      </c>
      <c r="B1291" s="26">
        <v>2026</v>
      </c>
      <c r="C1291" s="26" t="s">
        <v>7137</v>
      </c>
      <c r="D1291" s="26" t="s">
        <v>7138</v>
      </c>
      <c r="E1291" s="26" t="s">
        <v>6915</v>
      </c>
      <c r="F1291" s="26" t="s">
        <v>6916</v>
      </c>
      <c r="G1291" s="26" t="s">
        <v>5780</v>
      </c>
      <c r="H1291" s="26" t="s">
        <v>7139</v>
      </c>
      <c r="I1291" s="26" t="s">
        <v>3353</v>
      </c>
      <c r="J1291" s="26" t="s">
        <v>6918</v>
      </c>
    </row>
    <row r="1292" spans="1:10" ht="76" x14ac:dyDescent="0.2">
      <c r="A1292" s="26" t="s">
        <v>3318</v>
      </c>
      <c r="B1292" s="26">
        <v>2025</v>
      </c>
      <c r="C1292" s="26" t="s">
        <v>7140</v>
      </c>
      <c r="D1292" s="26" t="s">
        <v>7141</v>
      </c>
      <c r="E1292" s="26" t="s">
        <v>6915</v>
      </c>
      <c r="F1292" s="26" t="s">
        <v>6916</v>
      </c>
      <c r="G1292" s="26" t="s">
        <v>5780</v>
      </c>
      <c r="H1292" s="26" t="s">
        <v>7142</v>
      </c>
      <c r="I1292" s="26" t="s">
        <v>3353</v>
      </c>
      <c r="J1292" s="26" t="s">
        <v>6918</v>
      </c>
    </row>
    <row r="1293" spans="1:10" ht="133" x14ac:dyDescent="0.2">
      <c r="A1293" s="26" t="s">
        <v>3325</v>
      </c>
      <c r="B1293" s="26">
        <v>2026</v>
      </c>
      <c r="C1293" s="26" t="s">
        <v>7143</v>
      </c>
      <c r="D1293" s="26" t="s">
        <v>7144</v>
      </c>
      <c r="E1293" s="26" t="s">
        <v>6915</v>
      </c>
      <c r="F1293" s="26" t="s">
        <v>6916</v>
      </c>
      <c r="G1293" s="26" t="s">
        <v>5780</v>
      </c>
      <c r="H1293" s="26" t="s">
        <v>6149</v>
      </c>
      <c r="I1293" s="26" t="s">
        <v>3353</v>
      </c>
      <c r="J1293" s="26" t="s">
        <v>6918</v>
      </c>
    </row>
    <row r="1294" spans="1:10" x14ac:dyDescent="0.2">
      <c r="A1294" s="26"/>
      <c r="B1294" s="26"/>
      <c r="C1294" s="26"/>
      <c r="D1294" s="26"/>
      <c r="E1294" s="26"/>
      <c r="F1294" s="26"/>
      <c r="G1294" s="26"/>
      <c r="H1294" s="26"/>
      <c r="I1294" s="26"/>
      <c r="J1294" s="26"/>
    </row>
    <row r="1295" spans="1:10" x14ac:dyDescent="0.2">
      <c r="A1295" s="26"/>
      <c r="B1295" s="26"/>
      <c r="C1295" s="26"/>
      <c r="D1295" s="26"/>
      <c r="E1295" s="26"/>
      <c r="F1295" s="26"/>
      <c r="G1295" s="26"/>
      <c r="H1295" s="26"/>
      <c r="I1295" s="26"/>
      <c r="J1295" s="26"/>
    </row>
    <row r="1296" spans="1:10" x14ac:dyDescent="0.2">
      <c r="A1296" s="26"/>
      <c r="B1296" s="26"/>
      <c r="C1296" s="26"/>
      <c r="D1296" s="26"/>
      <c r="E1296" s="26"/>
      <c r="F1296" s="26"/>
      <c r="G1296" s="26"/>
      <c r="H1296" s="26"/>
      <c r="I1296" s="26"/>
      <c r="J1296" s="26"/>
    </row>
    <row r="1297" spans="1:10" x14ac:dyDescent="0.2">
      <c r="A1297" s="26"/>
      <c r="B1297" s="26"/>
      <c r="C1297" s="26"/>
      <c r="D1297" s="26"/>
      <c r="E1297" s="26"/>
      <c r="F1297" s="26"/>
      <c r="G1297" s="26"/>
      <c r="H1297" s="26"/>
      <c r="I1297" s="26"/>
      <c r="J1297" s="26"/>
    </row>
    <row r="1298" spans="1:10" x14ac:dyDescent="0.2">
      <c r="A1298" s="26"/>
      <c r="B1298" s="26"/>
      <c r="C1298" s="26"/>
      <c r="D1298" s="26"/>
      <c r="E1298" s="26"/>
      <c r="F1298" s="26"/>
      <c r="G1298" s="26"/>
      <c r="H1298" s="26"/>
      <c r="I1298" s="26"/>
      <c r="J1298" s="26"/>
    </row>
    <row r="1299" spans="1:10" x14ac:dyDescent="0.2">
      <c r="A1299" s="26"/>
      <c r="B1299" s="26"/>
      <c r="C1299" s="26"/>
      <c r="D1299" s="26"/>
      <c r="E1299" s="26"/>
      <c r="F1299" s="26"/>
      <c r="G1299" s="26"/>
      <c r="H1299" s="26"/>
      <c r="I1299" s="26"/>
      <c r="J1299" s="26"/>
    </row>
    <row r="1300" spans="1:10" x14ac:dyDescent="0.2">
      <c r="A1300" s="26"/>
      <c r="B1300" s="26"/>
      <c r="C1300" s="26"/>
      <c r="D1300" s="26"/>
      <c r="E1300" s="26"/>
      <c r="F1300" s="26"/>
      <c r="G1300" s="26"/>
      <c r="H1300" s="26"/>
      <c r="I1300" s="26"/>
      <c r="J1300" s="26"/>
    </row>
    <row r="1301" spans="1:10" x14ac:dyDescent="0.2">
      <c r="A1301" s="26"/>
      <c r="B1301" s="26"/>
      <c r="C1301" s="26"/>
      <c r="D1301" s="26"/>
      <c r="E1301" s="26"/>
      <c r="F1301" s="26"/>
      <c r="G1301" s="26"/>
      <c r="H1301" s="26"/>
      <c r="I1301" s="26"/>
      <c r="J1301" s="26"/>
    </row>
    <row r="1302" spans="1:10" x14ac:dyDescent="0.2">
      <c r="A1302" s="26"/>
      <c r="B1302" s="26"/>
      <c r="C1302" s="26"/>
      <c r="D1302" s="26"/>
      <c r="E1302" s="26"/>
      <c r="F1302" s="26"/>
      <c r="G1302" s="26"/>
      <c r="H1302" s="26"/>
      <c r="I1302" s="26"/>
      <c r="J1302" s="26"/>
    </row>
    <row r="1303" spans="1:10" x14ac:dyDescent="0.2">
      <c r="A1303" s="26"/>
      <c r="B1303" s="26"/>
      <c r="C1303" s="26"/>
      <c r="D1303" s="26"/>
      <c r="E1303" s="26"/>
      <c r="F1303" s="26"/>
      <c r="G1303" s="26"/>
      <c r="H1303" s="26"/>
      <c r="I1303" s="26"/>
      <c r="J1303" s="26"/>
    </row>
    <row r="1304" spans="1:10" x14ac:dyDescent="0.2">
      <c r="A1304" s="26"/>
      <c r="B1304" s="26"/>
      <c r="C1304" s="26"/>
      <c r="D1304" s="26"/>
      <c r="E1304" s="26"/>
      <c r="F1304" s="26"/>
      <c r="G1304" s="26"/>
      <c r="H1304" s="26"/>
      <c r="I1304" s="26"/>
      <c r="J1304" s="26"/>
    </row>
    <row r="1305" spans="1:10" x14ac:dyDescent="0.2">
      <c r="A1305" s="26"/>
      <c r="B1305" s="26"/>
      <c r="C1305" s="26"/>
      <c r="D1305" s="26"/>
      <c r="E1305" s="26"/>
      <c r="F1305" s="26"/>
      <c r="G1305" s="26"/>
      <c r="H1305" s="26"/>
      <c r="I1305" s="26"/>
      <c r="J1305" s="26"/>
    </row>
    <row r="1306" spans="1:10" x14ac:dyDescent="0.2">
      <c r="A1306" s="26"/>
      <c r="B1306" s="26"/>
      <c r="C1306" s="26"/>
      <c r="D1306" s="26"/>
      <c r="E1306" s="26"/>
      <c r="F1306" s="26"/>
      <c r="G1306" s="26"/>
      <c r="H1306" s="26"/>
      <c r="I1306" s="26"/>
      <c r="J1306" s="26"/>
    </row>
    <row r="1307" spans="1:10" x14ac:dyDescent="0.2">
      <c r="A1307" s="26"/>
      <c r="B1307" s="26"/>
      <c r="C1307" s="26"/>
      <c r="D1307" s="26"/>
      <c r="E1307" s="26"/>
      <c r="F1307" s="26"/>
      <c r="G1307" s="26"/>
      <c r="H1307" s="26"/>
      <c r="I1307" s="26"/>
      <c r="J1307" s="26"/>
    </row>
    <row r="1308" spans="1:10" x14ac:dyDescent="0.2">
      <c r="A1308" s="26"/>
      <c r="B1308" s="26"/>
      <c r="C1308" s="26"/>
      <c r="D1308" s="26"/>
      <c r="E1308" s="26"/>
      <c r="F1308" s="26"/>
      <c r="G1308" s="26"/>
      <c r="H1308" s="26"/>
      <c r="I1308" s="26"/>
      <c r="J1308" s="26"/>
    </row>
    <row r="1309" spans="1:10" x14ac:dyDescent="0.2">
      <c r="A1309" s="26"/>
      <c r="B1309" s="26"/>
      <c r="C1309" s="26"/>
      <c r="D1309" s="26"/>
      <c r="E1309" s="26"/>
      <c r="F1309" s="26"/>
      <c r="G1309" s="26"/>
      <c r="H1309" s="26"/>
      <c r="I1309" s="26"/>
      <c r="J1309" s="26"/>
    </row>
    <row r="1310" spans="1:10" x14ac:dyDescent="0.2">
      <c r="A1310" s="26"/>
      <c r="B1310" s="26"/>
      <c r="C1310" s="26"/>
      <c r="D1310" s="26"/>
      <c r="E1310" s="26"/>
      <c r="F1310" s="26"/>
      <c r="G1310" s="26"/>
      <c r="H1310" s="26"/>
      <c r="I1310" s="26"/>
      <c r="J1310" s="26"/>
    </row>
    <row r="1311" spans="1:10" x14ac:dyDescent="0.2">
      <c r="A1311" s="26"/>
      <c r="B1311" s="26"/>
      <c r="C1311" s="26"/>
      <c r="D1311" s="26"/>
      <c r="E1311" s="26"/>
      <c r="F1311" s="26"/>
      <c r="G1311" s="26"/>
      <c r="H1311" s="26"/>
      <c r="I1311" s="26"/>
      <c r="J1311" s="26"/>
    </row>
    <row r="1312" spans="1:10" x14ac:dyDescent="0.2">
      <c r="A1312" s="26"/>
      <c r="B1312" s="26"/>
      <c r="C1312" s="26"/>
      <c r="D1312" s="26"/>
      <c r="E1312" s="26"/>
      <c r="F1312" s="26"/>
      <c r="G1312" s="26"/>
      <c r="H1312" s="26"/>
      <c r="I1312" s="26"/>
      <c r="J1312" s="26"/>
    </row>
    <row r="1313" spans="1:10" x14ac:dyDescent="0.2">
      <c r="A1313" s="26"/>
      <c r="B1313" s="26"/>
      <c r="C1313" s="26"/>
      <c r="D1313" s="26"/>
      <c r="E1313" s="26"/>
      <c r="F1313" s="26"/>
      <c r="G1313" s="26"/>
      <c r="H1313" s="26"/>
      <c r="I1313" s="26"/>
      <c r="J1313" s="26"/>
    </row>
    <row r="1314" spans="1:10" x14ac:dyDescent="0.2">
      <c r="A1314" s="26"/>
      <c r="B1314" s="26"/>
      <c r="C1314" s="26"/>
      <c r="D1314" s="26"/>
      <c r="E1314" s="26"/>
      <c r="F1314" s="26"/>
      <c r="G1314" s="26"/>
      <c r="H1314" s="26"/>
      <c r="I1314" s="26"/>
      <c r="J1314" s="26"/>
    </row>
    <row r="1315" spans="1:10" x14ac:dyDescent="0.2">
      <c r="A1315" s="26"/>
      <c r="B1315" s="26"/>
      <c r="C1315" s="26"/>
      <c r="D1315" s="26"/>
      <c r="E1315" s="26"/>
      <c r="F1315" s="26"/>
      <c r="G1315" s="26"/>
      <c r="H1315" s="26"/>
      <c r="I1315" s="26"/>
      <c r="J1315" s="26"/>
    </row>
    <row r="1316" spans="1:10" x14ac:dyDescent="0.2">
      <c r="A1316" s="26"/>
      <c r="B1316" s="26"/>
      <c r="C1316" s="26"/>
      <c r="D1316" s="26"/>
      <c r="E1316" s="26"/>
      <c r="F1316" s="26"/>
      <c r="G1316" s="26"/>
      <c r="H1316" s="26"/>
      <c r="I1316" s="26"/>
      <c r="J1316" s="26"/>
    </row>
    <row r="1317" spans="1:10" x14ac:dyDescent="0.2">
      <c r="A1317" s="26"/>
      <c r="B1317" s="26"/>
      <c r="C1317" s="26"/>
      <c r="D1317" s="26"/>
      <c r="E1317" s="26"/>
      <c r="F1317" s="26"/>
      <c r="G1317" s="26"/>
      <c r="H1317" s="26"/>
      <c r="I1317" s="26"/>
      <c r="J1317" s="26"/>
    </row>
    <row r="1318" spans="1:10" x14ac:dyDescent="0.2">
      <c r="A1318" s="26"/>
      <c r="B1318" s="26"/>
      <c r="C1318" s="26"/>
      <c r="D1318" s="26"/>
      <c r="E1318" s="26"/>
      <c r="F1318" s="26"/>
      <c r="G1318" s="26"/>
      <c r="H1318" s="26"/>
      <c r="I1318" s="26"/>
      <c r="J1318" s="26"/>
    </row>
    <row r="1319" spans="1:10" x14ac:dyDescent="0.2">
      <c r="A1319" s="26"/>
      <c r="B1319" s="26"/>
      <c r="C1319" s="26"/>
      <c r="D1319" s="26"/>
      <c r="E1319" s="26"/>
      <c r="F1319" s="26"/>
      <c r="G1319" s="26"/>
      <c r="H1319" s="26"/>
      <c r="I1319" s="26"/>
      <c r="J1319"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1"/>
  <sheetViews>
    <sheetView workbookViewId="0">
      <pane ySplit="1" topLeftCell="A2" activePane="bottomLeft" state="frozen"/>
      <selection pane="bottomLeft"/>
    </sheetView>
  </sheetViews>
  <sheetFormatPr baseColWidth="10" defaultColWidth="8.6640625" defaultRowHeight="18" x14ac:dyDescent="0.2"/>
  <cols>
    <col min="1" max="1" width="28.83203125" style="3" customWidth="1"/>
    <col min="2" max="2" width="49.6640625" style="3" customWidth="1"/>
    <col min="3" max="3" width="18.1640625" style="3" customWidth="1"/>
    <col min="4" max="4" width="15.83203125" style="3" customWidth="1"/>
    <col min="5" max="5" width="21.33203125" style="3" customWidth="1"/>
    <col min="6" max="6" width="26" style="3" customWidth="1"/>
    <col min="7" max="7" width="28" style="3" customWidth="1"/>
    <col min="8" max="8" width="25.6640625" style="3" customWidth="1"/>
    <col min="9" max="9" width="10.33203125" style="3" customWidth="1"/>
    <col min="10" max="10" width="20.1640625" style="3" customWidth="1"/>
    <col min="11" max="11" width="15.5" style="3" customWidth="1"/>
    <col min="12" max="12" width="13.6640625" style="3" customWidth="1"/>
    <col min="13" max="13" width="15.6640625" style="3" customWidth="1"/>
    <col min="14" max="14" width="14.6640625" style="3" customWidth="1"/>
    <col min="15" max="15" width="17.6640625" style="3" customWidth="1"/>
    <col min="16" max="16" width="9.1640625" style="3" customWidth="1"/>
    <col min="17" max="16384" width="8.6640625" style="3"/>
  </cols>
  <sheetData>
    <row r="1" spans="1:16" s="10" customFormat="1" ht="42" x14ac:dyDescent="0.2">
      <c r="A1" s="9" t="s">
        <v>7145</v>
      </c>
      <c r="B1" s="9" t="s">
        <v>7146</v>
      </c>
      <c r="C1" s="9" t="s">
        <v>7147</v>
      </c>
      <c r="D1" s="9" t="s">
        <v>3353</v>
      </c>
      <c r="E1" s="9" t="s">
        <v>7148</v>
      </c>
      <c r="F1" s="9" t="s">
        <v>3361</v>
      </c>
      <c r="G1" s="9" t="s">
        <v>7149</v>
      </c>
      <c r="H1" s="9" t="s">
        <v>7150</v>
      </c>
      <c r="I1" s="9" t="s">
        <v>3340</v>
      </c>
      <c r="J1" s="9" t="s">
        <v>7151</v>
      </c>
      <c r="K1" s="9" t="s">
        <v>7152</v>
      </c>
      <c r="L1" s="9" t="s">
        <v>7153</v>
      </c>
      <c r="M1" s="9" t="s">
        <v>7154</v>
      </c>
      <c r="N1" s="9" t="s">
        <v>7155</v>
      </c>
      <c r="O1" s="9" t="s">
        <v>7156</v>
      </c>
      <c r="P1" s="9" t="s">
        <v>106</v>
      </c>
    </row>
    <row r="2" spans="1:16" ht="209" x14ac:dyDescent="0.2">
      <c r="A2" s="27" t="s">
        <v>7157</v>
      </c>
      <c r="B2" s="27" t="s">
        <v>7158</v>
      </c>
      <c r="C2" s="21">
        <f>COUNTIF(Thematic_Map!$F$2:$F$1319,"T1. LLMs Application / Usage for Architecture Design")</f>
        <v>326</v>
      </c>
      <c r="D2" s="21">
        <f>COUNTIFS(Thematic_Map!$F$2:$F$1319,"T1. LLMs Application / Usage for Architecture Design",Thematic_Map!$I$2:$I$1319,"Evidenced")</f>
        <v>297</v>
      </c>
      <c r="E2" s="21">
        <f>COUNTIFS(Thematic_Map!$F$2:$F$1319,"T1. LLMs Application / Usage for Architecture Design",Thematic_Map!$I$2:$I$1319,"Coded silence")</f>
        <v>4</v>
      </c>
      <c r="F2" s="21">
        <f>COUNTIFS(Thematic_Map!$F$2:$F$1319,"T1. LLMs Application / Usage for Architecture Design",Thematic_Map!$I$2:$I$1319,"Related activity")</f>
        <v>25</v>
      </c>
      <c r="G2" s="21">
        <f>SUMPRODUCT(--(COUNTIFS(Thematic_Map!$F$2:$F$1319,"T1. LLMs Application / Usage for Architecture Design",Thematic_Map!$I$2:$I$1319,"Evidenced",Thematic_Map!$A$2:$A$1319,$I$2:$I$71)&gt;0))</f>
        <v>69</v>
      </c>
      <c r="H2" s="21">
        <v>49</v>
      </c>
      <c r="I2" s="28" t="s">
        <v>2825</v>
      </c>
      <c r="J2" s="6">
        <f>COUNTIFS(Thematic_Map!$A$2:$A$1319,$I2,Thematic_Map!$F$2:$F$1319,"T1. LLMs Application / Usage for Architecture Design")</f>
        <v>7</v>
      </c>
      <c r="K2" s="6">
        <f>COUNTIFS(Thematic_Map!$A$2:$A$1319,$I2,Thematic_Map!$F$2:$F$1319,"T2. Techniques for Optimization")</f>
        <v>4</v>
      </c>
      <c r="L2" s="6">
        <f>COUNTIFS(Thematic_Map!$A$2:$A$1319,$I2,Thematic_Map!$F$2:$F$1319,"T3. Techniques for Evaluation")</f>
        <v>4</v>
      </c>
      <c r="M2" s="6">
        <f>COUNTIFS(Thematic_Map!$A$2:$A$1319,$I2,Thematic_Map!$F$2:$F$1319,"T4. Emerging Trends")</f>
        <v>6</v>
      </c>
      <c r="N2" s="6">
        <f>COUNTIFS(Thematic_Map!$A$2:$A$1319,$I2,Thematic_Map!$F$2:$F$1319,"T5. Limitations")</f>
        <v>5</v>
      </c>
      <c r="O2" s="6">
        <f>COUNTIFS(Thematic_Map!$A$2:$A$1319,$I2,Thematic_Map!$F$2:$F$1319,"T6. Challenges")</f>
        <v>2</v>
      </c>
      <c r="P2" s="7">
        <f t="shared" ref="P2:P33" si="0">SUM(J2:O2)</f>
        <v>28</v>
      </c>
    </row>
    <row r="3" spans="1:16" ht="114" x14ac:dyDescent="0.2">
      <c r="A3" s="29" t="s">
        <v>7159</v>
      </c>
      <c r="B3" s="29" t="s">
        <v>7160</v>
      </c>
      <c r="C3" s="22">
        <f>COUNTIF(Thematic_Map!$F$2:$F$1319,"T2. Techniques for Optimization")</f>
        <v>223</v>
      </c>
      <c r="D3" s="22">
        <f>COUNTIFS(Thematic_Map!$F$2:$F$1319,"T2. Techniques for Optimization",Thematic_Map!$I$2:$I$1319,"Evidenced")</f>
        <v>194</v>
      </c>
      <c r="E3" s="22">
        <f>COUNTIFS(Thematic_Map!$F$2:$F$1319,"T2. Techniques for Optimization",Thematic_Map!$I$2:$I$1319,"Coded silence")</f>
        <v>27</v>
      </c>
      <c r="F3" s="22">
        <f>COUNTIFS(Thematic_Map!$F$2:$F$1319,"T2. Techniques for Optimization",Thematic_Map!$I$2:$I$1319,"Related activity")</f>
        <v>2</v>
      </c>
      <c r="G3" s="22">
        <f>SUMPRODUCT(--(COUNTIFS(Thematic_Map!$F$2:$F$1319,"T2. Techniques for Optimization",Thematic_Map!$I$2:$I$1319,"Evidenced",Thematic_Map!$A$2:$A$1319,$I$2:$I$71)&gt;0))</f>
        <v>69</v>
      </c>
      <c r="H3" s="22">
        <v>49</v>
      </c>
      <c r="I3" s="28" t="s">
        <v>2833</v>
      </c>
      <c r="J3" s="6">
        <f>COUNTIFS(Thematic_Map!$A$2:$A$1319,$I3,Thematic_Map!$F$2:$F$1319,"T1. LLMs Application / Usage for Architecture Design")</f>
        <v>8</v>
      </c>
      <c r="K3" s="6">
        <f>COUNTIFS(Thematic_Map!$A$2:$A$1319,$I3,Thematic_Map!$F$2:$F$1319,"T2. Techniques for Optimization")</f>
        <v>4</v>
      </c>
      <c r="L3" s="6">
        <f>COUNTIFS(Thematic_Map!$A$2:$A$1319,$I3,Thematic_Map!$F$2:$F$1319,"T3. Techniques for Evaluation")</f>
        <v>6</v>
      </c>
      <c r="M3" s="6">
        <f>COUNTIFS(Thematic_Map!$A$2:$A$1319,$I3,Thematic_Map!$F$2:$F$1319,"T4. Emerging Trends")</f>
        <v>8</v>
      </c>
      <c r="N3" s="6">
        <f>COUNTIFS(Thematic_Map!$A$2:$A$1319,$I3,Thematic_Map!$F$2:$F$1319,"T5. Limitations")</f>
        <v>4</v>
      </c>
      <c r="O3" s="6">
        <f>COUNTIFS(Thematic_Map!$A$2:$A$1319,$I3,Thematic_Map!$F$2:$F$1319,"T6. Challenges")</f>
        <v>4</v>
      </c>
      <c r="P3" s="7">
        <f t="shared" si="0"/>
        <v>34</v>
      </c>
    </row>
    <row r="4" spans="1:16" ht="114" x14ac:dyDescent="0.2">
      <c r="A4" s="30" t="s">
        <v>7161</v>
      </c>
      <c r="B4" s="30" t="s">
        <v>7162</v>
      </c>
      <c r="C4" s="23">
        <f>COUNTIF(Thematic_Map!$F$2:$F$1319,"T3. Techniques for Evaluation")</f>
        <v>266</v>
      </c>
      <c r="D4" s="23">
        <f>COUNTIFS(Thematic_Map!$F$2:$F$1319,"T3. Techniques for Evaluation",Thematic_Map!$I$2:$I$1319,"Evidenced")</f>
        <v>210</v>
      </c>
      <c r="E4" s="23">
        <f>COUNTIFS(Thematic_Map!$F$2:$F$1319,"T3. Techniques for Evaluation",Thematic_Map!$I$2:$I$1319,"Coded silence")</f>
        <v>54</v>
      </c>
      <c r="F4" s="23">
        <f>COUNTIFS(Thematic_Map!$F$2:$F$1319,"T3. Techniques for Evaluation",Thematic_Map!$I$2:$I$1319,"Related activity")</f>
        <v>2</v>
      </c>
      <c r="G4" s="23">
        <f>SUMPRODUCT(--(COUNTIFS(Thematic_Map!$F$2:$F$1319,"T3. Techniques for Evaluation",Thematic_Map!$I$2:$I$1319,"Evidenced",Thematic_Map!$A$2:$A$1319,$I$2:$I$71)&gt;0))</f>
        <v>67</v>
      </c>
      <c r="H4" s="23">
        <v>47</v>
      </c>
      <c r="I4" s="28" t="s">
        <v>2841</v>
      </c>
      <c r="J4" s="6">
        <f>COUNTIFS(Thematic_Map!$A$2:$A$1319,$I4,Thematic_Map!$F$2:$F$1319,"T1. LLMs Application / Usage for Architecture Design")</f>
        <v>9</v>
      </c>
      <c r="K4" s="6">
        <f>COUNTIFS(Thematic_Map!$A$2:$A$1319,$I4,Thematic_Map!$F$2:$F$1319,"T2. Techniques for Optimization")</f>
        <v>7</v>
      </c>
      <c r="L4" s="6">
        <f>COUNTIFS(Thematic_Map!$A$2:$A$1319,$I4,Thematic_Map!$F$2:$F$1319,"T3. Techniques for Evaluation")</f>
        <v>8</v>
      </c>
      <c r="M4" s="6">
        <f>COUNTIFS(Thematic_Map!$A$2:$A$1319,$I4,Thematic_Map!$F$2:$F$1319,"T4. Emerging Trends")</f>
        <v>5</v>
      </c>
      <c r="N4" s="6">
        <f>COUNTIFS(Thematic_Map!$A$2:$A$1319,$I4,Thematic_Map!$F$2:$F$1319,"T5. Limitations")</f>
        <v>5</v>
      </c>
      <c r="O4" s="6">
        <f>COUNTIFS(Thematic_Map!$A$2:$A$1319,$I4,Thematic_Map!$F$2:$F$1319,"T6. Challenges")</f>
        <v>3</v>
      </c>
      <c r="P4" s="7">
        <f t="shared" si="0"/>
        <v>37</v>
      </c>
    </row>
    <row r="5" spans="1:16" ht="190" x14ac:dyDescent="0.2">
      <c r="A5" s="31" t="s">
        <v>7163</v>
      </c>
      <c r="B5" s="31" t="s">
        <v>7164</v>
      </c>
      <c r="C5" s="24">
        <f>COUNTIF(Thematic_Map!$F$2:$F$1319,"T4. Emerging Trends")</f>
        <v>226</v>
      </c>
      <c r="D5" s="24">
        <f>COUNTIFS(Thematic_Map!$F$2:$F$1319,"T4. Emerging Trends",Thematic_Map!$I$2:$I$1319,"Evidenced")</f>
        <v>146</v>
      </c>
      <c r="E5" s="24">
        <f>COUNTIFS(Thematic_Map!$F$2:$F$1319,"T4. Emerging Trends",Thematic_Map!$I$2:$I$1319,"Coded silence")</f>
        <v>31</v>
      </c>
      <c r="F5" s="24">
        <f>COUNTIFS(Thematic_Map!$F$2:$F$1319,"T4. Emerging Trends",Thematic_Map!$I$2:$I$1319,"Related activity")</f>
        <v>49</v>
      </c>
      <c r="G5" s="24">
        <f>SUMPRODUCT(--(COUNTIFS(Thematic_Map!$F$2:$F$1319,"T4. Emerging Trends",Thematic_Map!$I$2:$I$1319,"Evidenced",Thematic_Map!$A$2:$A$1319,$I$2:$I$71)&gt;0))</f>
        <v>66</v>
      </c>
      <c r="H5" s="24">
        <v>47</v>
      </c>
      <c r="I5" s="28" t="s">
        <v>2849</v>
      </c>
      <c r="J5" s="6">
        <f>COUNTIFS(Thematic_Map!$A$2:$A$1319,$I5,Thematic_Map!$F$2:$F$1319,"T1. LLMs Application / Usage for Architecture Design")</f>
        <v>6</v>
      </c>
      <c r="K5" s="6">
        <f>COUNTIFS(Thematic_Map!$A$2:$A$1319,$I5,Thematic_Map!$F$2:$F$1319,"T2. Techniques for Optimization")</f>
        <v>4</v>
      </c>
      <c r="L5" s="6">
        <f>COUNTIFS(Thematic_Map!$A$2:$A$1319,$I5,Thematic_Map!$F$2:$F$1319,"T3. Techniques for Evaluation")</f>
        <v>5</v>
      </c>
      <c r="M5" s="6">
        <f>COUNTIFS(Thematic_Map!$A$2:$A$1319,$I5,Thematic_Map!$F$2:$F$1319,"T4. Emerging Trends")</f>
        <v>3</v>
      </c>
      <c r="N5" s="6">
        <f>COUNTIFS(Thematic_Map!$A$2:$A$1319,$I5,Thematic_Map!$F$2:$F$1319,"T5. Limitations")</f>
        <v>4</v>
      </c>
      <c r="O5" s="6">
        <f>COUNTIFS(Thematic_Map!$A$2:$A$1319,$I5,Thematic_Map!$F$2:$F$1319,"T6. Challenges")</f>
        <v>3</v>
      </c>
      <c r="P5" s="7">
        <f t="shared" si="0"/>
        <v>25</v>
      </c>
    </row>
    <row r="6" spans="1:16" ht="57" x14ac:dyDescent="0.2">
      <c r="A6" s="32" t="s">
        <v>7165</v>
      </c>
      <c r="B6" s="32" t="s">
        <v>7166</v>
      </c>
      <c r="C6" s="25">
        <f>COUNTIF(Thematic_Map!$F$2:$F$1319,"T5. Limitations")</f>
        <v>167</v>
      </c>
      <c r="D6" s="25">
        <f>COUNTIFS(Thematic_Map!$F$2:$F$1319,"T5. Limitations",Thematic_Map!$I$2:$I$1319,"Evidenced")</f>
        <v>156</v>
      </c>
      <c r="E6" s="25">
        <f>COUNTIFS(Thematic_Map!$F$2:$F$1319,"T5. Limitations",Thematic_Map!$I$2:$I$1319,"Coded silence")</f>
        <v>11</v>
      </c>
      <c r="F6" s="25">
        <f>COUNTIFS(Thematic_Map!$F$2:$F$1319,"T5. Limitations",Thematic_Map!$I$2:$I$1319,"Related activity")</f>
        <v>0</v>
      </c>
      <c r="G6" s="25">
        <f>SUMPRODUCT(--(COUNTIFS(Thematic_Map!$F$2:$F$1319,"T5. Limitations",Thematic_Map!$I$2:$I$1319,"Evidenced",Thematic_Map!$A$2:$A$1319,$I$2:$I$71)&gt;0))</f>
        <v>68</v>
      </c>
      <c r="H6" s="25">
        <v>48</v>
      </c>
      <c r="I6" s="28" t="s">
        <v>2857</v>
      </c>
      <c r="J6" s="6">
        <f>COUNTIFS(Thematic_Map!$A$2:$A$1319,$I6,Thematic_Map!$F$2:$F$1319,"T1. LLMs Application / Usage for Architecture Design")</f>
        <v>6</v>
      </c>
      <c r="K6" s="6">
        <f>COUNTIFS(Thematic_Map!$A$2:$A$1319,$I6,Thematic_Map!$F$2:$F$1319,"T2. Techniques for Optimization")</f>
        <v>4</v>
      </c>
      <c r="L6" s="6">
        <f>COUNTIFS(Thematic_Map!$A$2:$A$1319,$I6,Thematic_Map!$F$2:$F$1319,"T3. Techniques for Evaluation")</f>
        <v>6</v>
      </c>
      <c r="M6" s="6">
        <f>COUNTIFS(Thematic_Map!$A$2:$A$1319,$I6,Thematic_Map!$F$2:$F$1319,"T4. Emerging Trends")</f>
        <v>2</v>
      </c>
      <c r="N6" s="6">
        <f>COUNTIFS(Thematic_Map!$A$2:$A$1319,$I6,Thematic_Map!$F$2:$F$1319,"T5. Limitations")</f>
        <v>5</v>
      </c>
      <c r="O6" s="6">
        <f>COUNTIFS(Thematic_Map!$A$2:$A$1319,$I6,Thematic_Map!$F$2:$F$1319,"T6. Challenges")</f>
        <v>3</v>
      </c>
      <c r="P6" s="7">
        <f t="shared" si="0"/>
        <v>26</v>
      </c>
    </row>
    <row r="7" spans="1:16" ht="19" x14ac:dyDescent="0.2">
      <c r="A7" s="33" t="s">
        <v>7167</v>
      </c>
      <c r="B7" s="33" t="s">
        <v>7168</v>
      </c>
      <c r="C7" s="26">
        <f>COUNTIF(Thematic_Map!$F$2:$F$1319,"T6. Challenges")</f>
        <v>84</v>
      </c>
      <c r="D7" s="26">
        <f>COUNTIFS(Thematic_Map!$F$2:$F$1319,"T6. Challenges",Thematic_Map!$I$2:$I$1319,"Evidenced")</f>
        <v>84</v>
      </c>
      <c r="E7" s="26">
        <f>COUNTIFS(Thematic_Map!$F$2:$F$1319,"T6. Challenges",Thematic_Map!$I$2:$I$1319,"Coded silence")</f>
        <v>0</v>
      </c>
      <c r="F7" s="26">
        <f>COUNTIFS(Thematic_Map!$F$2:$F$1319,"T6. Challenges",Thematic_Map!$I$2:$I$1319,"Related activity")</f>
        <v>0</v>
      </c>
      <c r="G7" s="26">
        <f>SUMPRODUCT(--(COUNTIFS(Thematic_Map!$F$2:$F$1319,"T6. Challenges",Thematic_Map!$I$2:$I$1319,"Evidenced",Thematic_Map!$A$2:$A$1319,$I$2:$I$71)&gt;0))</f>
        <v>68</v>
      </c>
      <c r="H7" s="26">
        <v>48</v>
      </c>
      <c r="I7" s="28" t="s">
        <v>2865</v>
      </c>
      <c r="J7" s="6">
        <f>COUNTIFS(Thematic_Map!$A$2:$A$1319,$I7,Thematic_Map!$F$2:$F$1319,"T1. LLMs Application / Usage for Architecture Design")</f>
        <v>4</v>
      </c>
      <c r="K7" s="6">
        <f>COUNTIFS(Thematic_Map!$A$2:$A$1319,$I7,Thematic_Map!$F$2:$F$1319,"T2. Techniques for Optimization")</f>
        <v>4</v>
      </c>
      <c r="L7" s="6">
        <f>COUNTIFS(Thematic_Map!$A$2:$A$1319,$I7,Thematic_Map!$F$2:$F$1319,"T3. Techniques for Evaluation")</f>
        <v>6</v>
      </c>
      <c r="M7" s="6">
        <f>COUNTIFS(Thematic_Map!$A$2:$A$1319,$I7,Thematic_Map!$F$2:$F$1319,"T4. Emerging Trends")</f>
        <v>2</v>
      </c>
      <c r="N7" s="6">
        <f>COUNTIFS(Thematic_Map!$A$2:$A$1319,$I7,Thematic_Map!$F$2:$F$1319,"T5. Limitations")</f>
        <v>5</v>
      </c>
      <c r="O7" s="6">
        <f>COUNTIFS(Thematic_Map!$A$2:$A$1319,$I7,Thematic_Map!$F$2:$F$1319,"T6. Challenges")</f>
        <v>2</v>
      </c>
      <c r="P7" s="7">
        <f t="shared" si="0"/>
        <v>23</v>
      </c>
    </row>
    <row r="8" spans="1:16" ht="23" x14ac:dyDescent="0.25">
      <c r="A8" s="11" t="s">
        <v>7169</v>
      </c>
      <c r="B8" s="12"/>
      <c r="C8" s="13">
        <f>SUM(C2:C7)</f>
        <v>1292</v>
      </c>
      <c r="D8" s="13">
        <f>SUM(D2:D7)</f>
        <v>1087</v>
      </c>
      <c r="E8" s="13">
        <f>SUM(E2:E7)</f>
        <v>127</v>
      </c>
      <c r="F8" s="13">
        <f>SUM(F2:F7)</f>
        <v>78</v>
      </c>
      <c r="G8" s="13">
        <f>COUNTA(I2:I71)</f>
        <v>69</v>
      </c>
      <c r="H8" s="13">
        <v>49</v>
      </c>
      <c r="I8" s="28" t="s">
        <v>2873</v>
      </c>
      <c r="J8" s="6">
        <f>COUNTIFS(Thematic_Map!$A$2:$A$1319,$I8,Thematic_Map!$F$2:$F$1319,"T1. LLMs Application / Usage for Architecture Design")</f>
        <v>6</v>
      </c>
      <c r="K8" s="6">
        <f>COUNTIFS(Thematic_Map!$A$2:$A$1319,$I8,Thematic_Map!$F$2:$F$1319,"T2. Techniques for Optimization")</f>
        <v>4</v>
      </c>
      <c r="L8" s="6">
        <f>COUNTIFS(Thematic_Map!$A$2:$A$1319,$I8,Thematic_Map!$F$2:$F$1319,"T3. Techniques for Evaluation")</f>
        <v>5</v>
      </c>
      <c r="M8" s="6">
        <f>COUNTIFS(Thematic_Map!$A$2:$A$1319,$I8,Thematic_Map!$F$2:$F$1319,"T4. Emerging Trends")</f>
        <v>1</v>
      </c>
      <c r="N8" s="6">
        <f>COUNTIFS(Thematic_Map!$A$2:$A$1319,$I8,Thematic_Map!$F$2:$F$1319,"T5. Limitations")</f>
        <v>3</v>
      </c>
      <c r="O8" s="6">
        <f>COUNTIFS(Thematic_Map!$A$2:$A$1319,$I8,Thematic_Map!$F$2:$F$1319,"T6. Challenges")</f>
        <v>1</v>
      </c>
      <c r="P8" s="7">
        <f t="shared" si="0"/>
        <v>20</v>
      </c>
    </row>
    <row r="9" spans="1:16" x14ac:dyDescent="0.2">
      <c r="I9" s="28" t="s">
        <v>2881</v>
      </c>
      <c r="J9" s="6">
        <f>COUNTIFS(Thematic_Map!$A$2:$A$1319,$I9,Thematic_Map!$F$2:$F$1319,"T1. LLMs Application / Usage for Architecture Design")</f>
        <v>7</v>
      </c>
      <c r="K9" s="6">
        <f>COUNTIFS(Thematic_Map!$A$2:$A$1319,$I9,Thematic_Map!$F$2:$F$1319,"T2. Techniques for Optimization")</f>
        <v>4</v>
      </c>
      <c r="L9" s="6">
        <f>COUNTIFS(Thematic_Map!$A$2:$A$1319,$I9,Thematic_Map!$F$2:$F$1319,"T3. Techniques for Evaluation")</f>
        <v>4</v>
      </c>
      <c r="M9" s="6">
        <f>COUNTIFS(Thematic_Map!$A$2:$A$1319,$I9,Thematic_Map!$F$2:$F$1319,"T4. Emerging Trends")</f>
        <v>5</v>
      </c>
      <c r="N9" s="6">
        <f>COUNTIFS(Thematic_Map!$A$2:$A$1319,$I9,Thematic_Map!$F$2:$F$1319,"T5. Limitations")</f>
        <v>4</v>
      </c>
      <c r="O9" s="6">
        <f>COUNTIFS(Thematic_Map!$A$2:$A$1319,$I9,Thematic_Map!$F$2:$F$1319,"T6. Challenges")</f>
        <v>3</v>
      </c>
      <c r="P9" s="7">
        <f t="shared" si="0"/>
        <v>27</v>
      </c>
    </row>
    <row r="10" spans="1:16" x14ac:dyDescent="0.2">
      <c r="A10" s="36"/>
      <c r="B10" s="36"/>
      <c r="C10" s="36"/>
      <c r="D10" s="36"/>
      <c r="E10" s="36"/>
      <c r="F10" s="36"/>
      <c r="G10" s="36"/>
      <c r="H10" s="36"/>
      <c r="I10" s="28" t="s">
        <v>2889</v>
      </c>
      <c r="J10" s="6">
        <f>COUNTIFS(Thematic_Map!$A$2:$A$1319,$I10,Thematic_Map!$F$2:$F$1319,"T1. LLMs Application / Usage for Architecture Design")</f>
        <v>7</v>
      </c>
      <c r="K10" s="6">
        <f>COUNTIFS(Thematic_Map!$A$2:$A$1319,$I10,Thematic_Map!$F$2:$F$1319,"T2. Techniques for Optimization")</f>
        <v>6</v>
      </c>
      <c r="L10" s="6">
        <f>COUNTIFS(Thematic_Map!$A$2:$A$1319,$I10,Thematic_Map!$F$2:$F$1319,"T3. Techniques for Evaluation")</f>
        <v>4</v>
      </c>
      <c r="M10" s="6">
        <f>COUNTIFS(Thematic_Map!$A$2:$A$1319,$I10,Thematic_Map!$F$2:$F$1319,"T4. Emerging Trends")</f>
        <v>6</v>
      </c>
      <c r="N10" s="6">
        <f>COUNTIFS(Thematic_Map!$A$2:$A$1319,$I10,Thematic_Map!$F$2:$F$1319,"T5. Limitations")</f>
        <v>5</v>
      </c>
      <c r="O10" s="6">
        <f>COUNTIFS(Thematic_Map!$A$2:$A$1319,$I10,Thematic_Map!$F$2:$F$1319,"T6. Challenges")</f>
        <v>2</v>
      </c>
      <c r="P10" s="7">
        <f t="shared" si="0"/>
        <v>30</v>
      </c>
    </row>
    <row r="11" spans="1:16" x14ac:dyDescent="0.2">
      <c r="I11" s="28" t="s">
        <v>2897</v>
      </c>
      <c r="J11" s="6">
        <f>COUNTIFS(Thematic_Map!$A$2:$A$1319,$I11,Thematic_Map!$F$2:$F$1319,"T1. LLMs Application / Usage for Architecture Design")</f>
        <v>6</v>
      </c>
      <c r="K11" s="6">
        <f>COUNTIFS(Thematic_Map!$A$2:$A$1319,$I11,Thematic_Map!$F$2:$F$1319,"T2. Techniques for Optimization")</f>
        <v>5</v>
      </c>
      <c r="L11" s="6">
        <f>COUNTIFS(Thematic_Map!$A$2:$A$1319,$I11,Thematic_Map!$F$2:$F$1319,"T3. Techniques for Evaluation")</f>
        <v>3</v>
      </c>
      <c r="M11" s="6">
        <f>COUNTIFS(Thematic_Map!$A$2:$A$1319,$I11,Thematic_Map!$F$2:$F$1319,"T4. Emerging Trends")</f>
        <v>5</v>
      </c>
      <c r="N11" s="6">
        <f>COUNTIFS(Thematic_Map!$A$2:$A$1319,$I11,Thematic_Map!$F$2:$F$1319,"T5. Limitations")</f>
        <v>3</v>
      </c>
      <c r="O11" s="6">
        <f>COUNTIFS(Thematic_Map!$A$2:$A$1319,$I11,Thematic_Map!$F$2:$F$1319,"T6. Challenges")</f>
        <v>2</v>
      </c>
      <c r="P11" s="7">
        <f t="shared" si="0"/>
        <v>24</v>
      </c>
    </row>
    <row r="12" spans="1:16" x14ac:dyDescent="0.2">
      <c r="I12" s="28" t="s">
        <v>2904</v>
      </c>
      <c r="J12" s="6">
        <f>COUNTIFS(Thematic_Map!$A$2:$A$1319,$I12,Thematic_Map!$F$2:$F$1319,"T1. LLMs Application / Usage for Architecture Design")</f>
        <v>4</v>
      </c>
      <c r="K12" s="6">
        <f>COUNTIFS(Thematic_Map!$A$2:$A$1319,$I12,Thematic_Map!$F$2:$F$1319,"T2. Techniques for Optimization")</f>
        <v>3</v>
      </c>
      <c r="L12" s="6">
        <f>COUNTIFS(Thematic_Map!$A$2:$A$1319,$I12,Thematic_Map!$F$2:$F$1319,"T3. Techniques for Evaluation")</f>
        <v>4</v>
      </c>
      <c r="M12" s="6">
        <f>COUNTIFS(Thematic_Map!$A$2:$A$1319,$I12,Thematic_Map!$F$2:$F$1319,"T4. Emerging Trends")</f>
        <v>5</v>
      </c>
      <c r="N12" s="6">
        <f>COUNTIFS(Thematic_Map!$A$2:$A$1319,$I12,Thematic_Map!$F$2:$F$1319,"T5. Limitations")</f>
        <v>2</v>
      </c>
      <c r="O12" s="6">
        <f>COUNTIFS(Thematic_Map!$A$2:$A$1319,$I12,Thematic_Map!$F$2:$F$1319,"T6. Challenges")</f>
        <v>2</v>
      </c>
      <c r="P12" s="7">
        <f t="shared" si="0"/>
        <v>20</v>
      </c>
    </row>
    <row r="13" spans="1:16" x14ac:dyDescent="0.2">
      <c r="I13" s="28" t="s">
        <v>2912</v>
      </c>
      <c r="J13" s="6">
        <f>COUNTIFS(Thematic_Map!$A$2:$A$1319,$I13,Thematic_Map!$F$2:$F$1319,"T1. LLMs Application / Usage for Architecture Design")</f>
        <v>5</v>
      </c>
      <c r="K13" s="6">
        <f>COUNTIFS(Thematic_Map!$A$2:$A$1319,$I13,Thematic_Map!$F$2:$F$1319,"T2. Techniques for Optimization")</f>
        <v>4</v>
      </c>
      <c r="L13" s="6">
        <f>COUNTIFS(Thematic_Map!$A$2:$A$1319,$I13,Thematic_Map!$F$2:$F$1319,"T3. Techniques for Evaluation")</f>
        <v>3</v>
      </c>
      <c r="M13" s="6">
        <f>COUNTIFS(Thematic_Map!$A$2:$A$1319,$I13,Thematic_Map!$F$2:$F$1319,"T4. Emerging Trends")</f>
        <v>5</v>
      </c>
      <c r="N13" s="6">
        <f>COUNTIFS(Thematic_Map!$A$2:$A$1319,$I13,Thematic_Map!$F$2:$F$1319,"T5. Limitations")</f>
        <v>2</v>
      </c>
      <c r="O13" s="6">
        <f>COUNTIFS(Thematic_Map!$A$2:$A$1319,$I13,Thematic_Map!$F$2:$F$1319,"T6. Challenges")</f>
        <v>1</v>
      </c>
      <c r="P13" s="7">
        <f t="shared" si="0"/>
        <v>20</v>
      </c>
    </row>
    <row r="14" spans="1:16" x14ac:dyDescent="0.2">
      <c r="I14" s="28" t="s">
        <v>2920</v>
      </c>
      <c r="J14" s="6">
        <f>COUNTIFS(Thematic_Map!$A$2:$A$1319,$I14,Thematic_Map!$F$2:$F$1319,"T1. LLMs Application / Usage for Architecture Design")</f>
        <v>6</v>
      </c>
      <c r="K14" s="6">
        <f>COUNTIFS(Thematic_Map!$A$2:$A$1319,$I14,Thematic_Map!$F$2:$F$1319,"T2. Techniques for Optimization")</f>
        <v>4</v>
      </c>
      <c r="L14" s="6">
        <f>COUNTIFS(Thematic_Map!$A$2:$A$1319,$I14,Thematic_Map!$F$2:$F$1319,"T3. Techniques for Evaluation")</f>
        <v>6</v>
      </c>
      <c r="M14" s="6">
        <f>COUNTIFS(Thematic_Map!$A$2:$A$1319,$I14,Thematic_Map!$F$2:$F$1319,"T4. Emerging Trends")</f>
        <v>5</v>
      </c>
      <c r="N14" s="6">
        <f>COUNTIFS(Thematic_Map!$A$2:$A$1319,$I14,Thematic_Map!$F$2:$F$1319,"T5. Limitations")</f>
        <v>4</v>
      </c>
      <c r="O14" s="6">
        <f>COUNTIFS(Thematic_Map!$A$2:$A$1319,$I14,Thematic_Map!$F$2:$F$1319,"T6. Challenges")</f>
        <v>1</v>
      </c>
      <c r="P14" s="7">
        <f t="shared" si="0"/>
        <v>26</v>
      </c>
    </row>
    <row r="15" spans="1:16" x14ac:dyDescent="0.2">
      <c r="I15" s="28" t="s">
        <v>2928</v>
      </c>
      <c r="J15" s="6">
        <f>COUNTIFS(Thematic_Map!$A$2:$A$1319,$I15,Thematic_Map!$F$2:$F$1319,"T1. LLMs Application / Usage for Architecture Design")</f>
        <v>6</v>
      </c>
      <c r="K15" s="6">
        <f>COUNTIFS(Thematic_Map!$A$2:$A$1319,$I15,Thematic_Map!$F$2:$F$1319,"T2. Techniques for Optimization")</f>
        <v>6</v>
      </c>
      <c r="L15" s="6">
        <f>COUNTIFS(Thematic_Map!$A$2:$A$1319,$I15,Thematic_Map!$F$2:$F$1319,"T3. Techniques for Evaluation")</f>
        <v>3</v>
      </c>
      <c r="M15" s="6">
        <f>COUNTIFS(Thematic_Map!$A$2:$A$1319,$I15,Thematic_Map!$F$2:$F$1319,"T4. Emerging Trends")</f>
        <v>5</v>
      </c>
      <c r="N15" s="6">
        <f>COUNTIFS(Thematic_Map!$A$2:$A$1319,$I15,Thematic_Map!$F$2:$F$1319,"T5. Limitations")</f>
        <v>2</v>
      </c>
      <c r="O15" s="6">
        <f>COUNTIFS(Thematic_Map!$A$2:$A$1319,$I15,Thematic_Map!$F$2:$F$1319,"T6. Challenges")</f>
        <v>1</v>
      </c>
      <c r="P15" s="7">
        <f t="shared" si="0"/>
        <v>23</v>
      </c>
    </row>
    <row r="16" spans="1:16" x14ac:dyDescent="0.2">
      <c r="I16" s="28" t="s">
        <v>2936</v>
      </c>
      <c r="J16" s="6">
        <f>COUNTIFS(Thematic_Map!$A$2:$A$1319,$I16,Thematic_Map!$F$2:$F$1319,"T1. LLMs Application / Usage for Architecture Design")</f>
        <v>4</v>
      </c>
      <c r="K16" s="6">
        <f>COUNTIFS(Thematic_Map!$A$2:$A$1319,$I16,Thematic_Map!$F$2:$F$1319,"T2. Techniques for Optimization")</f>
        <v>3</v>
      </c>
      <c r="L16" s="6">
        <f>COUNTIFS(Thematic_Map!$A$2:$A$1319,$I16,Thematic_Map!$F$2:$F$1319,"T3. Techniques for Evaluation")</f>
        <v>4</v>
      </c>
      <c r="M16" s="6">
        <f>COUNTIFS(Thematic_Map!$A$2:$A$1319,$I16,Thematic_Map!$F$2:$F$1319,"T4. Emerging Trends")</f>
        <v>5</v>
      </c>
      <c r="N16" s="6">
        <f>COUNTIFS(Thematic_Map!$A$2:$A$1319,$I16,Thematic_Map!$F$2:$F$1319,"T5. Limitations")</f>
        <v>2</v>
      </c>
      <c r="O16" s="6">
        <f>COUNTIFS(Thematic_Map!$A$2:$A$1319,$I16,Thematic_Map!$F$2:$F$1319,"T6. Challenges")</f>
        <v>1</v>
      </c>
      <c r="P16" s="7">
        <f t="shared" si="0"/>
        <v>19</v>
      </c>
    </row>
    <row r="17" spans="9:16" x14ac:dyDescent="0.2">
      <c r="I17" s="28" t="s">
        <v>2944</v>
      </c>
      <c r="J17" s="6">
        <f>COUNTIFS(Thematic_Map!$A$2:$A$1319,$I17,Thematic_Map!$F$2:$F$1319,"T1. LLMs Application / Usage for Architecture Design")</f>
        <v>3</v>
      </c>
      <c r="K17" s="6">
        <f>COUNTIFS(Thematic_Map!$A$2:$A$1319,$I17,Thematic_Map!$F$2:$F$1319,"T2. Techniques for Optimization")</f>
        <v>3</v>
      </c>
      <c r="L17" s="6">
        <f>COUNTIFS(Thematic_Map!$A$2:$A$1319,$I17,Thematic_Map!$F$2:$F$1319,"T3. Techniques for Evaluation")</f>
        <v>4</v>
      </c>
      <c r="M17" s="6">
        <f>COUNTIFS(Thematic_Map!$A$2:$A$1319,$I17,Thematic_Map!$F$2:$F$1319,"T4. Emerging Trends")</f>
        <v>5</v>
      </c>
      <c r="N17" s="6">
        <f>COUNTIFS(Thematic_Map!$A$2:$A$1319,$I17,Thematic_Map!$F$2:$F$1319,"T5. Limitations")</f>
        <v>3</v>
      </c>
      <c r="O17" s="6">
        <f>COUNTIFS(Thematic_Map!$A$2:$A$1319,$I17,Thematic_Map!$F$2:$F$1319,"T6. Challenges")</f>
        <v>1</v>
      </c>
      <c r="P17" s="7">
        <f t="shared" si="0"/>
        <v>19</v>
      </c>
    </row>
    <row r="18" spans="9:16" x14ac:dyDescent="0.2">
      <c r="I18" s="28" t="s">
        <v>2952</v>
      </c>
      <c r="J18" s="6">
        <f>COUNTIFS(Thematic_Map!$A$2:$A$1319,$I18,Thematic_Map!$F$2:$F$1319,"T1. LLMs Application / Usage for Architecture Design")</f>
        <v>4</v>
      </c>
      <c r="K18" s="6">
        <f>COUNTIFS(Thematic_Map!$A$2:$A$1319,$I18,Thematic_Map!$F$2:$F$1319,"T2. Techniques for Optimization")</f>
        <v>4</v>
      </c>
      <c r="L18" s="6">
        <f>COUNTIFS(Thematic_Map!$A$2:$A$1319,$I18,Thematic_Map!$F$2:$F$1319,"T3. Techniques for Evaluation")</f>
        <v>4</v>
      </c>
      <c r="M18" s="6">
        <f>COUNTIFS(Thematic_Map!$A$2:$A$1319,$I18,Thematic_Map!$F$2:$F$1319,"T4. Emerging Trends")</f>
        <v>5</v>
      </c>
      <c r="N18" s="6">
        <f>COUNTIFS(Thematic_Map!$A$2:$A$1319,$I18,Thematic_Map!$F$2:$F$1319,"T5. Limitations")</f>
        <v>3</v>
      </c>
      <c r="O18" s="6">
        <f>COUNTIFS(Thematic_Map!$A$2:$A$1319,$I18,Thematic_Map!$F$2:$F$1319,"T6. Challenges")</f>
        <v>1</v>
      </c>
      <c r="P18" s="7">
        <f t="shared" si="0"/>
        <v>21</v>
      </c>
    </row>
    <row r="19" spans="9:16" x14ac:dyDescent="0.2">
      <c r="I19" s="28" t="s">
        <v>2959</v>
      </c>
      <c r="J19" s="6">
        <f>COUNTIFS(Thematic_Map!$A$2:$A$1319,$I19,Thematic_Map!$F$2:$F$1319,"T1. LLMs Application / Usage for Architecture Design")</f>
        <v>5</v>
      </c>
      <c r="K19" s="6">
        <f>COUNTIFS(Thematic_Map!$A$2:$A$1319,$I19,Thematic_Map!$F$2:$F$1319,"T2. Techniques for Optimization")</f>
        <v>3</v>
      </c>
      <c r="L19" s="6">
        <f>COUNTIFS(Thematic_Map!$A$2:$A$1319,$I19,Thematic_Map!$F$2:$F$1319,"T3. Techniques for Evaluation")</f>
        <v>4</v>
      </c>
      <c r="M19" s="6">
        <f>COUNTIFS(Thematic_Map!$A$2:$A$1319,$I19,Thematic_Map!$F$2:$F$1319,"T4. Emerging Trends")</f>
        <v>5</v>
      </c>
      <c r="N19" s="6">
        <f>COUNTIFS(Thematic_Map!$A$2:$A$1319,$I19,Thematic_Map!$F$2:$F$1319,"T5. Limitations")</f>
        <v>2</v>
      </c>
      <c r="O19" s="6">
        <f>COUNTIFS(Thematic_Map!$A$2:$A$1319,$I19,Thematic_Map!$F$2:$F$1319,"T6. Challenges")</f>
        <v>1</v>
      </c>
      <c r="P19" s="7">
        <f t="shared" si="0"/>
        <v>20</v>
      </c>
    </row>
    <row r="20" spans="9:16" x14ac:dyDescent="0.2">
      <c r="I20" s="28" t="s">
        <v>2967</v>
      </c>
      <c r="J20" s="6">
        <f>COUNTIFS(Thematic_Map!$A$2:$A$1319,$I20,Thematic_Map!$F$2:$F$1319,"T1. LLMs Application / Usage for Architecture Design")</f>
        <v>4</v>
      </c>
      <c r="K20" s="6">
        <f>COUNTIFS(Thematic_Map!$A$2:$A$1319,$I20,Thematic_Map!$F$2:$F$1319,"T2. Techniques for Optimization")</f>
        <v>3</v>
      </c>
      <c r="L20" s="6">
        <f>COUNTIFS(Thematic_Map!$A$2:$A$1319,$I20,Thematic_Map!$F$2:$F$1319,"T3. Techniques for Evaluation")</f>
        <v>4</v>
      </c>
      <c r="M20" s="6">
        <f>COUNTIFS(Thematic_Map!$A$2:$A$1319,$I20,Thematic_Map!$F$2:$F$1319,"T4. Emerging Trends")</f>
        <v>3</v>
      </c>
      <c r="N20" s="6">
        <f>COUNTIFS(Thematic_Map!$A$2:$A$1319,$I20,Thematic_Map!$F$2:$F$1319,"T5. Limitations")</f>
        <v>2</v>
      </c>
      <c r="O20" s="6">
        <f>COUNTIFS(Thematic_Map!$A$2:$A$1319,$I20,Thematic_Map!$F$2:$F$1319,"T6. Challenges")</f>
        <v>1</v>
      </c>
      <c r="P20" s="7">
        <f t="shared" si="0"/>
        <v>17</v>
      </c>
    </row>
    <row r="21" spans="9:16" x14ac:dyDescent="0.2">
      <c r="I21" s="28" t="s">
        <v>2975</v>
      </c>
      <c r="J21" s="6">
        <f>COUNTIFS(Thematic_Map!$A$2:$A$1319,$I21,Thematic_Map!$F$2:$F$1319,"T1. LLMs Application / Usage for Architecture Design")</f>
        <v>4</v>
      </c>
      <c r="K21" s="6">
        <f>COUNTIFS(Thematic_Map!$A$2:$A$1319,$I21,Thematic_Map!$F$2:$F$1319,"T2. Techniques for Optimization")</f>
        <v>3</v>
      </c>
      <c r="L21" s="6">
        <f>COUNTIFS(Thematic_Map!$A$2:$A$1319,$I21,Thematic_Map!$F$2:$F$1319,"T3. Techniques for Evaluation")</f>
        <v>4</v>
      </c>
      <c r="M21" s="6">
        <f>COUNTIFS(Thematic_Map!$A$2:$A$1319,$I21,Thematic_Map!$F$2:$F$1319,"T4. Emerging Trends")</f>
        <v>3</v>
      </c>
      <c r="N21" s="6">
        <f>COUNTIFS(Thematic_Map!$A$2:$A$1319,$I21,Thematic_Map!$F$2:$F$1319,"T5. Limitations")</f>
        <v>2</v>
      </c>
      <c r="O21" s="6">
        <f>COUNTIFS(Thematic_Map!$A$2:$A$1319,$I21,Thematic_Map!$F$2:$F$1319,"T6. Challenges")</f>
        <v>1</v>
      </c>
      <c r="P21" s="7">
        <f t="shared" si="0"/>
        <v>17</v>
      </c>
    </row>
    <row r="22" spans="9:16" x14ac:dyDescent="0.2">
      <c r="I22" s="28" t="s">
        <v>2983</v>
      </c>
      <c r="J22" s="6">
        <f>COUNTIFS(Thematic_Map!$A$2:$A$1319,$I22,Thematic_Map!$F$2:$F$1319,"T1. LLMs Application / Usage for Architecture Design")</f>
        <v>4</v>
      </c>
      <c r="K22" s="6">
        <f>COUNTIFS(Thematic_Map!$A$2:$A$1319,$I22,Thematic_Map!$F$2:$F$1319,"T2. Techniques for Optimization")</f>
        <v>3</v>
      </c>
      <c r="L22" s="6">
        <f>COUNTIFS(Thematic_Map!$A$2:$A$1319,$I22,Thematic_Map!$F$2:$F$1319,"T3. Techniques for Evaluation")</f>
        <v>4</v>
      </c>
      <c r="M22" s="6">
        <f>COUNTIFS(Thematic_Map!$A$2:$A$1319,$I22,Thematic_Map!$F$2:$F$1319,"T4. Emerging Trends")</f>
        <v>4</v>
      </c>
      <c r="N22" s="6">
        <f>COUNTIFS(Thematic_Map!$A$2:$A$1319,$I22,Thematic_Map!$F$2:$F$1319,"T5. Limitations")</f>
        <v>2</v>
      </c>
      <c r="O22" s="6">
        <f>COUNTIFS(Thematic_Map!$A$2:$A$1319,$I22,Thematic_Map!$F$2:$F$1319,"T6. Challenges")</f>
        <v>1</v>
      </c>
      <c r="P22" s="7">
        <f t="shared" si="0"/>
        <v>18</v>
      </c>
    </row>
    <row r="23" spans="9:16" x14ac:dyDescent="0.2">
      <c r="I23" s="28" t="s">
        <v>2989</v>
      </c>
      <c r="J23" s="6">
        <f>COUNTIFS(Thematic_Map!$A$2:$A$1319,$I23,Thematic_Map!$F$2:$F$1319,"T1. LLMs Application / Usage for Architecture Design")</f>
        <v>3</v>
      </c>
      <c r="K23" s="6">
        <f>COUNTIFS(Thematic_Map!$A$2:$A$1319,$I23,Thematic_Map!$F$2:$F$1319,"T2. Techniques for Optimization")</f>
        <v>2</v>
      </c>
      <c r="L23" s="6">
        <f>COUNTIFS(Thematic_Map!$A$2:$A$1319,$I23,Thematic_Map!$F$2:$F$1319,"T3. Techniques for Evaluation")</f>
        <v>3</v>
      </c>
      <c r="M23" s="6">
        <f>COUNTIFS(Thematic_Map!$A$2:$A$1319,$I23,Thematic_Map!$F$2:$F$1319,"T4. Emerging Trends")</f>
        <v>1</v>
      </c>
      <c r="N23" s="6">
        <f>COUNTIFS(Thematic_Map!$A$2:$A$1319,$I23,Thematic_Map!$F$2:$F$1319,"T5. Limitations")</f>
        <v>2</v>
      </c>
      <c r="O23" s="6">
        <f>COUNTIFS(Thematic_Map!$A$2:$A$1319,$I23,Thematic_Map!$F$2:$F$1319,"T6. Challenges")</f>
        <v>1</v>
      </c>
      <c r="P23" s="7">
        <f t="shared" si="0"/>
        <v>12</v>
      </c>
    </row>
    <row r="24" spans="9:16" x14ac:dyDescent="0.2">
      <c r="I24" s="28" t="s">
        <v>2996</v>
      </c>
      <c r="J24" s="6">
        <f>COUNTIFS(Thematic_Map!$A$2:$A$1319,$I24,Thematic_Map!$F$2:$F$1319,"T1. LLMs Application / Usage for Architecture Design")</f>
        <v>3</v>
      </c>
      <c r="K24" s="6">
        <f>COUNTIFS(Thematic_Map!$A$2:$A$1319,$I24,Thematic_Map!$F$2:$F$1319,"T2. Techniques for Optimization")</f>
        <v>3</v>
      </c>
      <c r="L24" s="6">
        <f>COUNTIFS(Thematic_Map!$A$2:$A$1319,$I24,Thematic_Map!$F$2:$F$1319,"T3. Techniques for Evaluation")</f>
        <v>3</v>
      </c>
      <c r="M24" s="6">
        <f>COUNTIFS(Thematic_Map!$A$2:$A$1319,$I24,Thematic_Map!$F$2:$F$1319,"T4. Emerging Trends")</f>
        <v>4</v>
      </c>
      <c r="N24" s="6">
        <f>COUNTIFS(Thematic_Map!$A$2:$A$1319,$I24,Thematic_Map!$F$2:$F$1319,"T5. Limitations")</f>
        <v>2</v>
      </c>
      <c r="O24" s="6">
        <f>COUNTIFS(Thematic_Map!$A$2:$A$1319,$I24,Thematic_Map!$F$2:$F$1319,"T6. Challenges")</f>
        <v>1</v>
      </c>
      <c r="P24" s="7">
        <f t="shared" si="0"/>
        <v>16</v>
      </c>
    </row>
    <row r="25" spans="9:16" x14ac:dyDescent="0.2">
      <c r="I25" s="28" t="s">
        <v>3004</v>
      </c>
      <c r="J25" s="6">
        <f>COUNTIFS(Thematic_Map!$A$2:$A$1319,$I25,Thematic_Map!$F$2:$F$1319,"T1. LLMs Application / Usage for Architecture Design")</f>
        <v>4</v>
      </c>
      <c r="K25" s="6">
        <f>COUNTIFS(Thematic_Map!$A$2:$A$1319,$I25,Thematic_Map!$F$2:$F$1319,"T2. Techniques for Optimization")</f>
        <v>3</v>
      </c>
      <c r="L25" s="6">
        <f>COUNTIFS(Thematic_Map!$A$2:$A$1319,$I25,Thematic_Map!$F$2:$F$1319,"T3. Techniques for Evaluation")</f>
        <v>4</v>
      </c>
      <c r="M25" s="6">
        <f>COUNTIFS(Thematic_Map!$A$2:$A$1319,$I25,Thematic_Map!$F$2:$F$1319,"T4. Emerging Trends")</f>
        <v>2</v>
      </c>
      <c r="N25" s="6">
        <f>COUNTIFS(Thematic_Map!$A$2:$A$1319,$I25,Thematic_Map!$F$2:$F$1319,"T5. Limitations")</f>
        <v>2</v>
      </c>
      <c r="O25" s="6">
        <f>COUNTIFS(Thematic_Map!$A$2:$A$1319,$I25,Thematic_Map!$F$2:$F$1319,"T6. Challenges")</f>
        <v>1</v>
      </c>
      <c r="P25" s="7">
        <f t="shared" si="0"/>
        <v>16</v>
      </c>
    </row>
    <row r="26" spans="9:16" x14ac:dyDescent="0.2">
      <c r="I26" s="28" t="s">
        <v>3012</v>
      </c>
      <c r="J26" s="6">
        <f>COUNTIFS(Thematic_Map!$A$2:$A$1319,$I26,Thematic_Map!$F$2:$F$1319,"T1. LLMs Application / Usage for Architecture Design")</f>
        <v>4</v>
      </c>
      <c r="K26" s="6">
        <f>COUNTIFS(Thematic_Map!$A$2:$A$1319,$I26,Thematic_Map!$F$2:$F$1319,"T2. Techniques for Optimization")</f>
        <v>3</v>
      </c>
      <c r="L26" s="6">
        <f>COUNTIFS(Thematic_Map!$A$2:$A$1319,$I26,Thematic_Map!$F$2:$F$1319,"T3. Techniques for Evaluation")</f>
        <v>4</v>
      </c>
      <c r="M26" s="6">
        <f>COUNTIFS(Thematic_Map!$A$2:$A$1319,$I26,Thematic_Map!$F$2:$F$1319,"T4. Emerging Trends")</f>
        <v>2</v>
      </c>
      <c r="N26" s="6">
        <f>COUNTIFS(Thematic_Map!$A$2:$A$1319,$I26,Thematic_Map!$F$2:$F$1319,"T5. Limitations")</f>
        <v>2</v>
      </c>
      <c r="O26" s="6">
        <f>COUNTIFS(Thematic_Map!$A$2:$A$1319,$I26,Thematic_Map!$F$2:$F$1319,"T6. Challenges")</f>
        <v>1</v>
      </c>
      <c r="P26" s="7">
        <f t="shared" si="0"/>
        <v>16</v>
      </c>
    </row>
    <row r="27" spans="9:16" x14ac:dyDescent="0.2">
      <c r="I27" s="28" t="s">
        <v>3020</v>
      </c>
      <c r="J27" s="6">
        <f>COUNTIFS(Thematic_Map!$A$2:$A$1319,$I27,Thematic_Map!$F$2:$F$1319,"T1. LLMs Application / Usage for Architecture Design")</f>
        <v>4</v>
      </c>
      <c r="K27" s="6">
        <f>COUNTIFS(Thematic_Map!$A$2:$A$1319,$I27,Thematic_Map!$F$2:$F$1319,"T2. Techniques for Optimization")</f>
        <v>3</v>
      </c>
      <c r="L27" s="6">
        <f>COUNTIFS(Thematic_Map!$A$2:$A$1319,$I27,Thematic_Map!$F$2:$F$1319,"T3. Techniques for Evaluation")</f>
        <v>4</v>
      </c>
      <c r="M27" s="6">
        <f>COUNTIFS(Thematic_Map!$A$2:$A$1319,$I27,Thematic_Map!$F$2:$F$1319,"T4. Emerging Trends")</f>
        <v>2</v>
      </c>
      <c r="N27" s="6">
        <f>COUNTIFS(Thematic_Map!$A$2:$A$1319,$I27,Thematic_Map!$F$2:$F$1319,"T5. Limitations")</f>
        <v>2</v>
      </c>
      <c r="O27" s="6">
        <f>COUNTIFS(Thematic_Map!$A$2:$A$1319,$I27,Thematic_Map!$F$2:$F$1319,"T6. Challenges")</f>
        <v>1</v>
      </c>
      <c r="P27" s="7">
        <f t="shared" si="0"/>
        <v>16</v>
      </c>
    </row>
    <row r="28" spans="9:16" x14ac:dyDescent="0.2">
      <c r="I28" s="28" t="s">
        <v>3028</v>
      </c>
      <c r="J28" s="6">
        <f>COUNTIFS(Thematic_Map!$A$2:$A$1319,$I28,Thematic_Map!$F$2:$F$1319,"T1. LLMs Application / Usage for Architecture Design")</f>
        <v>3</v>
      </c>
      <c r="K28" s="6">
        <f>COUNTIFS(Thematic_Map!$A$2:$A$1319,$I28,Thematic_Map!$F$2:$F$1319,"T2. Techniques for Optimization")</f>
        <v>3</v>
      </c>
      <c r="L28" s="6">
        <f>COUNTIFS(Thematic_Map!$A$2:$A$1319,$I28,Thematic_Map!$F$2:$F$1319,"T3. Techniques for Evaluation")</f>
        <v>4</v>
      </c>
      <c r="M28" s="6">
        <f>COUNTIFS(Thematic_Map!$A$2:$A$1319,$I28,Thematic_Map!$F$2:$F$1319,"T4. Emerging Trends")</f>
        <v>2</v>
      </c>
      <c r="N28" s="6">
        <f>COUNTIFS(Thematic_Map!$A$2:$A$1319,$I28,Thematic_Map!$F$2:$F$1319,"T5. Limitations")</f>
        <v>2</v>
      </c>
      <c r="O28" s="6">
        <f>COUNTIFS(Thematic_Map!$A$2:$A$1319,$I28,Thematic_Map!$F$2:$F$1319,"T6. Challenges")</f>
        <v>1</v>
      </c>
      <c r="P28" s="7">
        <f t="shared" si="0"/>
        <v>15</v>
      </c>
    </row>
    <row r="29" spans="9:16" x14ac:dyDescent="0.2">
      <c r="I29" s="28" t="s">
        <v>3035</v>
      </c>
      <c r="J29" s="6">
        <f>COUNTIFS(Thematic_Map!$A$2:$A$1319,$I29,Thematic_Map!$F$2:$F$1319,"T1. LLMs Application / Usage for Architecture Design")</f>
        <v>3</v>
      </c>
      <c r="K29" s="6">
        <f>COUNTIFS(Thematic_Map!$A$2:$A$1319,$I29,Thematic_Map!$F$2:$F$1319,"T2. Techniques for Optimization")</f>
        <v>3</v>
      </c>
      <c r="L29" s="6">
        <f>COUNTIFS(Thematic_Map!$A$2:$A$1319,$I29,Thematic_Map!$F$2:$F$1319,"T3. Techniques for Evaluation")</f>
        <v>4</v>
      </c>
      <c r="M29" s="6">
        <f>COUNTIFS(Thematic_Map!$A$2:$A$1319,$I29,Thematic_Map!$F$2:$F$1319,"T4. Emerging Trends")</f>
        <v>2</v>
      </c>
      <c r="N29" s="6">
        <f>COUNTIFS(Thematic_Map!$A$2:$A$1319,$I29,Thematic_Map!$F$2:$F$1319,"T5. Limitations")</f>
        <v>2</v>
      </c>
      <c r="O29" s="6">
        <f>COUNTIFS(Thematic_Map!$A$2:$A$1319,$I29,Thematic_Map!$F$2:$F$1319,"T6. Challenges")</f>
        <v>1</v>
      </c>
      <c r="P29" s="7">
        <f t="shared" si="0"/>
        <v>15</v>
      </c>
    </row>
    <row r="30" spans="9:16" x14ac:dyDescent="0.2">
      <c r="I30" s="28" t="s">
        <v>3043</v>
      </c>
      <c r="J30" s="6">
        <f>COUNTIFS(Thematic_Map!$A$2:$A$1319,$I30,Thematic_Map!$F$2:$F$1319,"T1. LLMs Application / Usage for Architecture Design")</f>
        <v>3</v>
      </c>
      <c r="K30" s="6">
        <f>COUNTIFS(Thematic_Map!$A$2:$A$1319,$I30,Thematic_Map!$F$2:$F$1319,"T2. Techniques for Optimization")</f>
        <v>3</v>
      </c>
      <c r="L30" s="6">
        <f>COUNTIFS(Thematic_Map!$A$2:$A$1319,$I30,Thematic_Map!$F$2:$F$1319,"T3. Techniques for Evaluation")</f>
        <v>4</v>
      </c>
      <c r="M30" s="6">
        <f>COUNTIFS(Thematic_Map!$A$2:$A$1319,$I30,Thematic_Map!$F$2:$F$1319,"T4. Emerging Trends")</f>
        <v>3</v>
      </c>
      <c r="N30" s="6">
        <f>COUNTIFS(Thematic_Map!$A$2:$A$1319,$I30,Thematic_Map!$F$2:$F$1319,"T5. Limitations")</f>
        <v>2</v>
      </c>
      <c r="O30" s="6">
        <f>COUNTIFS(Thematic_Map!$A$2:$A$1319,$I30,Thematic_Map!$F$2:$F$1319,"T6. Challenges")</f>
        <v>1</v>
      </c>
      <c r="P30" s="7">
        <f t="shared" si="0"/>
        <v>16</v>
      </c>
    </row>
    <row r="31" spans="9:16" x14ac:dyDescent="0.2">
      <c r="I31" s="28" t="s">
        <v>3051</v>
      </c>
      <c r="J31" s="6">
        <f>COUNTIFS(Thematic_Map!$A$2:$A$1319,$I31,Thematic_Map!$F$2:$F$1319,"T1. LLMs Application / Usage for Architecture Design")</f>
        <v>7</v>
      </c>
      <c r="K31" s="6">
        <f>COUNTIFS(Thematic_Map!$A$2:$A$1319,$I31,Thematic_Map!$F$2:$F$1319,"T2. Techniques for Optimization")</f>
        <v>4</v>
      </c>
      <c r="L31" s="6">
        <f>COUNTIFS(Thematic_Map!$A$2:$A$1319,$I31,Thematic_Map!$F$2:$F$1319,"T3. Techniques for Evaluation")</f>
        <v>4</v>
      </c>
      <c r="M31" s="6">
        <f>COUNTIFS(Thematic_Map!$A$2:$A$1319,$I31,Thematic_Map!$F$2:$F$1319,"T4. Emerging Trends")</f>
        <v>4</v>
      </c>
      <c r="N31" s="6">
        <f>COUNTIFS(Thematic_Map!$A$2:$A$1319,$I31,Thematic_Map!$F$2:$F$1319,"T5. Limitations")</f>
        <v>2</v>
      </c>
      <c r="O31" s="6">
        <f>COUNTIFS(Thematic_Map!$A$2:$A$1319,$I31,Thematic_Map!$F$2:$F$1319,"T6. Challenges")</f>
        <v>1</v>
      </c>
      <c r="P31" s="7">
        <f t="shared" si="0"/>
        <v>22</v>
      </c>
    </row>
    <row r="32" spans="9:16" x14ac:dyDescent="0.2">
      <c r="I32" s="28" t="s">
        <v>3058</v>
      </c>
      <c r="J32" s="6">
        <f>COUNTIFS(Thematic_Map!$A$2:$A$1319,$I32,Thematic_Map!$F$2:$F$1319,"T1. LLMs Application / Usage for Architecture Design")</f>
        <v>7</v>
      </c>
      <c r="K32" s="6">
        <f>COUNTIFS(Thematic_Map!$A$2:$A$1319,$I32,Thematic_Map!$F$2:$F$1319,"T2. Techniques for Optimization")</f>
        <v>3</v>
      </c>
      <c r="L32" s="6">
        <f>COUNTIFS(Thematic_Map!$A$2:$A$1319,$I32,Thematic_Map!$F$2:$F$1319,"T3. Techniques for Evaluation")</f>
        <v>3</v>
      </c>
      <c r="M32" s="6">
        <f>COUNTIFS(Thematic_Map!$A$2:$A$1319,$I32,Thematic_Map!$F$2:$F$1319,"T4. Emerging Trends")</f>
        <v>5</v>
      </c>
      <c r="N32" s="6">
        <f>COUNTIFS(Thematic_Map!$A$2:$A$1319,$I32,Thematic_Map!$F$2:$F$1319,"T5. Limitations")</f>
        <v>2</v>
      </c>
      <c r="O32" s="6">
        <f>COUNTIFS(Thematic_Map!$A$2:$A$1319,$I32,Thematic_Map!$F$2:$F$1319,"T6. Challenges")</f>
        <v>1</v>
      </c>
      <c r="P32" s="7">
        <f t="shared" si="0"/>
        <v>21</v>
      </c>
    </row>
    <row r="33" spans="9:16" x14ac:dyDescent="0.2">
      <c r="I33" s="28" t="s">
        <v>3065</v>
      </c>
      <c r="J33" s="6">
        <f>COUNTIFS(Thematic_Map!$A$2:$A$1319,$I33,Thematic_Map!$F$2:$F$1319,"T1. LLMs Application / Usage for Architecture Design")</f>
        <v>4</v>
      </c>
      <c r="K33" s="6">
        <f>COUNTIFS(Thematic_Map!$A$2:$A$1319,$I33,Thematic_Map!$F$2:$F$1319,"T2. Techniques for Optimization")</f>
        <v>3</v>
      </c>
      <c r="L33" s="6">
        <f>COUNTIFS(Thematic_Map!$A$2:$A$1319,$I33,Thematic_Map!$F$2:$F$1319,"T3. Techniques for Evaluation")</f>
        <v>4</v>
      </c>
      <c r="M33" s="6">
        <f>COUNTIFS(Thematic_Map!$A$2:$A$1319,$I33,Thematic_Map!$F$2:$F$1319,"T4. Emerging Trends")</f>
        <v>2</v>
      </c>
      <c r="N33" s="6">
        <f>COUNTIFS(Thematic_Map!$A$2:$A$1319,$I33,Thematic_Map!$F$2:$F$1319,"T5. Limitations")</f>
        <v>2</v>
      </c>
      <c r="O33" s="6">
        <f>COUNTIFS(Thematic_Map!$A$2:$A$1319,$I33,Thematic_Map!$F$2:$F$1319,"T6. Challenges")</f>
        <v>1</v>
      </c>
      <c r="P33" s="7">
        <f t="shared" si="0"/>
        <v>16</v>
      </c>
    </row>
    <row r="34" spans="9:16" x14ac:dyDescent="0.2">
      <c r="I34" s="28" t="s">
        <v>3072</v>
      </c>
      <c r="J34" s="6">
        <f>COUNTIFS(Thematic_Map!$A$2:$A$1319,$I34,Thematic_Map!$F$2:$F$1319,"T1. LLMs Application / Usage for Architecture Design")</f>
        <v>6</v>
      </c>
      <c r="K34" s="6">
        <f>COUNTIFS(Thematic_Map!$A$2:$A$1319,$I34,Thematic_Map!$F$2:$F$1319,"T2. Techniques for Optimization")</f>
        <v>4</v>
      </c>
      <c r="L34" s="6">
        <f>COUNTIFS(Thematic_Map!$A$2:$A$1319,$I34,Thematic_Map!$F$2:$F$1319,"T3. Techniques for Evaluation")</f>
        <v>4</v>
      </c>
      <c r="M34" s="6">
        <f>COUNTIFS(Thematic_Map!$A$2:$A$1319,$I34,Thematic_Map!$F$2:$F$1319,"T4. Emerging Trends")</f>
        <v>1</v>
      </c>
      <c r="N34" s="6">
        <f>COUNTIFS(Thematic_Map!$A$2:$A$1319,$I34,Thematic_Map!$F$2:$F$1319,"T5. Limitations")</f>
        <v>2</v>
      </c>
      <c r="O34" s="6">
        <f>COUNTIFS(Thematic_Map!$A$2:$A$1319,$I34,Thematic_Map!$F$2:$F$1319,"T6. Challenges")</f>
        <v>1</v>
      </c>
      <c r="P34" s="7">
        <f t="shared" ref="P34:P65" si="1">SUM(J34:O34)</f>
        <v>18</v>
      </c>
    </row>
    <row r="35" spans="9:16" x14ac:dyDescent="0.2">
      <c r="I35" s="28" t="s">
        <v>3080</v>
      </c>
      <c r="J35" s="6">
        <f>COUNTIFS(Thematic_Map!$A$2:$A$1319,$I35,Thematic_Map!$F$2:$F$1319,"T1. LLMs Application / Usage for Architecture Design")</f>
        <v>6</v>
      </c>
      <c r="K35" s="6">
        <f>COUNTIFS(Thematic_Map!$A$2:$A$1319,$I35,Thematic_Map!$F$2:$F$1319,"T2. Techniques for Optimization")</f>
        <v>4</v>
      </c>
      <c r="L35" s="6">
        <f>COUNTIFS(Thematic_Map!$A$2:$A$1319,$I35,Thematic_Map!$F$2:$F$1319,"T3. Techniques for Evaluation")</f>
        <v>3</v>
      </c>
      <c r="M35" s="6">
        <f>COUNTIFS(Thematic_Map!$A$2:$A$1319,$I35,Thematic_Map!$F$2:$F$1319,"T4. Emerging Trends")</f>
        <v>4</v>
      </c>
      <c r="N35" s="6">
        <f>COUNTIFS(Thematic_Map!$A$2:$A$1319,$I35,Thematic_Map!$F$2:$F$1319,"T5. Limitations")</f>
        <v>2</v>
      </c>
      <c r="O35" s="6">
        <f>COUNTIFS(Thematic_Map!$A$2:$A$1319,$I35,Thematic_Map!$F$2:$F$1319,"T6. Challenges")</f>
        <v>1</v>
      </c>
      <c r="P35" s="7">
        <f t="shared" si="1"/>
        <v>20</v>
      </c>
    </row>
    <row r="36" spans="9:16" x14ac:dyDescent="0.2">
      <c r="I36" s="28" t="s">
        <v>3087</v>
      </c>
      <c r="J36" s="6">
        <f>COUNTIFS(Thematic_Map!$A$2:$A$1319,$I36,Thematic_Map!$F$2:$F$1319,"T1. LLMs Application / Usage for Architecture Design")</f>
        <v>4</v>
      </c>
      <c r="K36" s="6">
        <f>COUNTIFS(Thematic_Map!$A$2:$A$1319,$I36,Thematic_Map!$F$2:$F$1319,"T2. Techniques for Optimization")</f>
        <v>3</v>
      </c>
      <c r="L36" s="6">
        <f>COUNTIFS(Thematic_Map!$A$2:$A$1319,$I36,Thematic_Map!$F$2:$F$1319,"T3. Techniques for Evaluation")</f>
        <v>4</v>
      </c>
      <c r="M36" s="6">
        <f>COUNTIFS(Thematic_Map!$A$2:$A$1319,$I36,Thematic_Map!$F$2:$F$1319,"T4. Emerging Trends")</f>
        <v>3</v>
      </c>
      <c r="N36" s="6">
        <f>COUNTIFS(Thematic_Map!$A$2:$A$1319,$I36,Thematic_Map!$F$2:$F$1319,"T5. Limitations")</f>
        <v>2</v>
      </c>
      <c r="O36" s="6">
        <f>COUNTIFS(Thematic_Map!$A$2:$A$1319,$I36,Thematic_Map!$F$2:$F$1319,"T6. Challenges")</f>
        <v>1</v>
      </c>
      <c r="P36" s="7">
        <f t="shared" si="1"/>
        <v>17</v>
      </c>
    </row>
    <row r="37" spans="9:16" x14ac:dyDescent="0.2">
      <c r="I37" s="28" t="s">
        <v>3095</v>
      </c>
      <c r="J37" s="6">
        <f>COUNTIFS(Thematic_Map!$A$2:$A$1319,$I37,Thematic_Map!$F$2:$F$1319,"T1. LLMs Application / Usage for Architecture Design")</f>
        <v>4</v>
      </c>
      <c r="K37" s="6">
        <f>COUNTIFS(Thematic_Map!$A$2:$A$1319,$I37,Thematic_Map!$F$2:$F$1319,"T2. Techniques for Optimization")</f>
        <v>3</v>
      </c>
      <c r="L37" s="6">
        <f>COUNTIFS(Thematic_Map!$A$2:$A$1319,$I37,Thematic_Map!$F$2:$F$1319,"T3. Techniques for Evaluation")</f>
        <v>4</v>
      </c>
      <c r="M37" s="6">
        <f>COUNTIFS(Thematic_Map!$A$2:$A$1319,$I37,Thematic_Map!$F$2:$F$1319,"T4. Emerging Trends")</f>
        <v>3</v>
      </c>
      <c r="N37" s="6">
        <f>COUNTIFS(Thematic_Map!$A$2:$A$1319,$I37,Thematic_Map!$F$2:$F$1319,"T5. Limitations")</f>
        <v>2</v>
      </c>
      <c r="O37" s="6">
        <f>COUNTIFS(Thematic_Map!$A$2:$A$1319,$I37,Thematic_Map!$F$2:$F$1319,"T6. Challenges")</f>
        <v>1</v>
      </c>
      <c r="P37" s="7">
        <f t="shared" si="1"/>
        <v>17</v>
      </c>
    </row>
    <row r="38" spans="9:16" x14ac:dyDescent="0.2">
      <c r="I38" s="28" t="s">
        <v>3102</v>
      </c>
      <c r="J38" s="6">
        <f>COUNTIFS(Thematic_Map!$A$2:$A$1319,$I38,Thematic_Map!$F$2:$F$1319,"T1. LLMs Application / Usage for Architecture Design")</f>
        <v>5</v>
      </c>
      <c r="K38" s="6">
        <f>COUNTIFS(Thematic_Map!$A$2:$A$1319,$I38,Thematic_Map!$F$2:$F$1319,"T2. Techniques for Optimization")</f>
        <v>3</v>
      </c>
      <c r="L38" s="6">
        <f>COUNTIFS(Thematic_Map!$A$2:$A$1319,$I38,Thematic_Map!$F$2:$F$1319,"T3. Techniques for Evaluation")</f>
        <v>4</v>
      </c>
      <c r="M38" s="6">
        <f>COUNTIFS(Thematic_Map!$A$2:$A$1319,$I38,Thematic_Map!$F$2:$F$1319,"T4. Emerging Trends")</f>
        <v>4</v>
      </c>
      <c r="N38" s="6">
        <f>COUNTIFS(Thematic_Map!$A$2:$A$1319,$I38,Thematic_Map!$F$2:$F$1319,"T5. Limitations")</f>
        <v>2</v>
      </c>
      <c r="O38" s="6">
        <f>COUNTIFS(Thematic_Map!$A$2:$A$1319,$I38,Thematic_Map!$F$2:$F$1319,"T6. Challenges")</f>
        <v>1</v>
      </c>
      <c r="P38" s="7">
        <f t="shared" si="1"/>
        <v>19</v>
      </c>
    </row>
    <row r="39" spans="9:16" x14ac:dyDescent="0.2">
      <c r="I39" s="28" t="s">
        <v>3109</v>
      </c>
      <c r="J39" s="6">
        <f>COUNTIFS(Thematic_Map!$A$2:$A$1319,$I39,Thematic_Map!$F$2:$F$1319,"T1. LLMs Application / Usage for Architecture Design")</f>
        <v>5</v>
      </c>
      <c r="K39" s="6">
        <f>COUNTIFS(Thematic_Map!$A$2:$A$1319,$I39,Thematic_Map!$F$2:$F$1319,"T2. Techniques for Optimization")</f>
        <v>2</v>
      </c>
      <c r="L39" s="6">
        <f>COUNTIFS(Thematic_Map!$A$2:$A$1319,$I39,Thematic_Map!$F$2:$F$1319,"T3. Techniques for Evaluation")</f>
        <v>4</v>
      </c>
      <c r="M39" s="6">
        <f>COUNTIFS(Thematic_Map!$A$2:$A$1319,$I39,Thematic_Map!$F$2:$F$1319,"T4. Emerging Trends")</f>
        <v>5</v>
      </c>
      <c r="N39" s="6">
        <f>COUNTIFS(Thematic_Map!$A$2:$A$1319,$I39,Thematic_Map!$F$2:$F$1319,"T5. Limitations")</f>
        <v>2</v>
      </c>
      <c r="O39" s="6">
        <f>COUNTIFS(Thematic_Map!$A$2:$A$1319,$I39,Thematic_Map!$F$2:$F$1319,"T6. Challenges")</f>
        <v>1</v>
      </c>
      <c r="P39" s="7">
        <f t="shared" si="1"/>
        <v>19</v>
      </c>
    </row>
    <row r="40" spans="9:16" x14ac:dyDescent="0.2">
      <c r="I40" s="28" t="s">
        <v>3117</v>
      </c>
      <c r="J40" s="6">
        <f>COUNTIFS(Thematic_Map!$A$2:$A$1319,$I40,Thematic_Map!$F$2:$F$1319,"T1. LLMs Application / Usage for Architecture Design")</f>
        <v>4</v>
      </c>
      <c r="K40" s="6">
        <f>COUNTIFS(Thematic_Map!$A$2:$A$1319,$I40,Thematic_Map!$F$2:$F$1319,"T2. Techniques for Optimization")</f>
        <v>3</v>
      </c>
      <c r="L40" s="6">
        <f>COUNTIFS(Thematic_Map!$A$2:$A$1319,$I40,Thematic_Map!$F$2:$F$1319,"T3. Techniques for Evaluation")</f>
        <v>4</v>
      </c>
      <c r="M40" s="6">
        <f>COUNTIFS(Thematic_Map!$A$2:$A$1319,$I40,Thematic_Map!$F$2:$F$1319,"T4. Emerging Trends")</f>
        <v>4</v>
      </c>
      <c r="N40" s="6">
        <f>COUNTIFS(Thematic_Map!$A$2:$A$1319,$I40,Thematic_Map!$F$2:$F$1319,"T5. Limitations")</f>
        <v>2</v>
      </c>
      <c r="O40" s="6">
        <f>COUNTIFS(Thematic_Map!$A$2:$A$1319,$I40,Thematic_Map!$F$2:$F$1319,"T6. Challenges")</f>
        <v>1</v>
      </c>
      <c r="P40" s="7">
        <f t="shared" si="1"/>
        <v>18</v>
      </c>
    </row>
    <row r="41" spans="9:16" x14ac:dyDescent="0.2">
      <c r="I41" s="28" t="s">
        <v>3125</v>
      </c>
      <c r="J41" s="6">
        <f>COUNTIFS(Thematic_Map!$A$2:$A$1319,$I41,Thematic_Map!$F$2:$F$1319,"T1. LLMs Application / Usage for Architecture Design")</f>
        <v>3</v>
      </c>
      <c r="K41" s="6">
        <f>COUNTIFS(Thematic_Map!$A$2:$A$1319,$I41,Thematic_Map!$F$2:$F$1319,"T2. Techniques for Optimization")</f>
        <v>3</v>
      </c>
      <c r="L41" s="6">
        <f>COUNTIFS(Thematic_Map!$A$2:$A$1319,$I41,Thematic_Map!$F$2:$F$1319,"T3. Techniques for Evaluation")</f>
        <v>4</v>
      </c>
      <c r="M41" s="6">
        <f>COUNTIFS(Thematic_Map!$A$2:$A$1319,$I41,Thematic_Map!$F$2:$F$1319,"T4. Emerging Trends")</f>
        <v>3</v>
      </c>
      <c r="N41" s="6">
        <f>COUNTIFS(Thematic_Map!$A$2:$A$1319,$I41,Thematic_Map!$F$2:$F$1319,"T5. Limitations")</f>
        <v>2</v>
      </c>
      <c r="O41" s="6">
        <f>COUNTIFS(Thematic_Map!$A$2:$A$1319,$I41,Thematic_Map!$F$2:$F$1319,"T6. Challenges")</f>
        <v>1</v>
      </c>
      <c r="P41" s="7">
        <f t="shared" si="1"/>
        <v>16</v>
      </c>
    </row>
    <row r="42" spans="9:16" x14ac:dyDescent="0.2">
      <c r="I42" s="28" t="s">
        <v>3132</v>
      </c>
      <c r="J42" s="6">
        <f>COUNTIFS(Thematic_Map!$A$2:$A$1319,$I42,Thematic_Map!$F$2:$F$1319,"T1. LLMs Application / Usage for Architecture Design")</f>
        <v>4</v>
      </c>
      <c r="K42" s="6">
        <f>COUNTIFS(Thematic_Map!$A$2:$A$1319,$I42,Thematic_Map!$F$2:$F$1319,"T2. Techniques for Optimization")</f>
        <v>3</v>
      </c>
      <c r="L42" s="6">
        <f>COUNTIFS(Thematic_Map!$A$2:$A$1319,$I42,Thematic_Map!$F$2:$F$1319,"T3. Techniques for Evaluation")</f>
        <v>4</v>
      </c>
      <c r="M42" s="6">
        <f>COUNTIFS(Thematic_Map!$A$2:$A$1319,$I42,Thematic_Map!$F$2:$F$1319,"T4. Emerging Trends")</f>
        <v>2</v>
      </c>
      <c r="N42" s="6">
        <f>COUNTIFS(Thematic_Map!$A$2:$A$1319,$I42,Thematic_Map!$F$2:$F$1319,"T5. Limitations")</f>
        <v>2</v>
      </c>
      <c r="O42" s="6">
        <f>COUNTIFS(Thematic_Map!$A$2:$A$1319,$I42,Thematic_Map!$F$2:$F$1319,"T6. Challenges")</f>
        <v>1</v>
      </c>
      <c r="P42" s="7">
        <f t="shared" si="1"/>
        <v>16</v>
      </c>
    </row>
    <row r="43" spans="9:16" x14ac:dyDescent="0.2">
      <c r="I43" s="28" t="s">
        <v>3140</v>
      </c>
      <c r="J43" s="6">
        <f>COUNTIFS(Thematic_Map!$A$2:$A$1319,$I43,Thematic_Map!$F$2:$F$1319,"T1. LLMs Application / Usage for Architecture Design")</f>
        <v>4</v>
      </c>
      <c r="K43" s="6">
        <f>COUNTIFS(Thematic_Map!$A$2:$A$1319,$I43,Thematic_Map!$F$2:$F$1319,"T2. Techniques for Optimization")</f>
        <v>3</v>
      </c>
      <c r="L43" s="6">
        <f>COUNTIFS(Thematic_Map!$A$2:$A$1319,$I43,Thematic_Map!$F$2:$F$1319,"T3. Techniques for Evaluation")</f>
        <v>4</v>
      </c>
      <c r="M43" s="6">
        <f>COUNTIFS(Thematic_Map!$A$2:$A$1319,$I43,Thematic_Map!$F$2:$F$1319,"T4. Emerging Trends")</f>
        <v>3</v>
      </c>
      <c r="N43" s="6">
        <f>COUNTIFS(Thematic_Map!$A$2:$A$1319,$I43,Thematic_Map!$F$2:$F$1319,"T5. Limitations")</f>
        <v>2</v>
      </c>
      <c r="O43" s="6">
        <f>COUNTIFS(Thematic_Map!$A$2:$A$1319,$I43,Thematic_Map!$F$2:$F$1319,"T6. Challenges")</f>
        <v>1</v>
      </c>
      <c r="P43" s="7">
        <f t="shared" si="1"/>
        <v>17</v>
      </c>
    </row>
    <row r="44" spans="9:16" x14ac:dyDescent="0.2">
      <c r="I44" s="28" t="s">
        <v>3147</v>
      </c>
      <c r="J44" s="6">
        <f>COUNTIFS(Thematic_Map!$A$2:$A$1319,$I44,Thematic_Map!$F$2:$F$1319,"T1. LLMs Application / Usage for Architecture Design")</f>
        <v>5</v>
      </c>
      <c r="K44" s="6">
        <f>COUNTIFS(Thematic_Map!$A$2:$A$1319,$I44,Thematic_Map!$F$2:$F$1319,"T2. Techniques for Optimization")</f>
        <v>3</v>
      </c>
      <c r="L44" s="6">
        <f>COUNTIFS(Thematic_Map!$A$2:$A$1319,$I44,Thematic_Map!$F$2:$F$1319,"T3. Techniques for Evaluation")</f>
        <v>4</v>
      </c>
      <c r="M44" s="6">
        <f>COUNTIFS(Thematic_Map!$A$2:$A$1319,$I44,Thematic_Map!$F$2:$F$1319,"T4. Emerging Trends")</f>
        <v>2</v>
      </c>
      <c r="N44" s="6">
        <f>COUNTIFS(Thematic_Map!$A$2:$A$1319,$I44,Thematic_Map!$F$2:$F$1319,"T5. Limitations")</f>
        <v>2</v>
      </c>
      <c r="O44" s="6">
        <f>COUNTIFS(Thematic_Map!$A$2:$A$1319,$I44,Thematic_Map!$F$2:$F$1319,"T6. Challenges")</f>
        <v>1</v>
      </c>
      <c r="P44" s="7">
        <f t="shared" si="1"/>
        <v>17</v>
      </c>
    </row>
    <row r="45" spans="9:16" x14ac:dyDescent="0.2">
      <c r="I45" s="28" t="s">
        <v>3155</v>
      </c>
      <c r="J45" s="6">
        <f>COUNTIFS(Thematic_Map!$A$2:$A$1319,$I45,Thematic_Map!$F$2:$F$1319,"T1. LLMs Application / Usage for Architecture Design")</f>
        <v>4</v>
      </c>
      <c r="K45" s="6">
        <f>COUNTIFS(Thematic_Map!$A$2:$A$1319,$I45,Thematic_Map!$F$2:$F$1319,"T2. Techniques for Optimization")</f>
        <v>1</v>
      </c>
      <c r="L45" s="6">
        <f>COUNTIFS(Thematic_Map!$A$2:$A$1319,$I45,Thematic_Map!$F$2:$F$1319,"T3. Techniques for Evaluation")</f>
        <v>2</v>
      </c>
      <c r="M45" s="6">
        <f>COUNTIFS(Thematic_Map!$A$2:$A$1319,$I45,Thematic_Map!$F$2:$F$1319,"T4. Emerging Trends")</f>
        <v>4</v>
      </c>
      <c r="N45" s="6">
        <f>COUNTIFS(Thematic_Map!$A$2:$A$1319,$I45,Thematic_Map!$F$2:$F$1319,"T5. Limitations")</f>
        <v>2</v>
      </c>
      <c r="O45" s="6">
        <f>COUNTIFS(Thematic_Map!$A$2:$A$1319,$I45,Thematic_Map!$F$2:$F$1319,"T6. Challenges")</f>
        <v>1</v>
      </c>
      <c r="P45" s="7">
        <f t="shared" si="1"/>
        <v>14</v>
      </c>
    </row>
    <row r="46" spans="9:16" x14ac:dyDescent="0.2">
      <c r="I46" s="28" t="s">
        <v>3163</v>
      </c>
      <c r="J46" s="6">
        <f>COUNTIFS(Thematic_Map!$A$2:$A$1319,$I46,Thematic_Map!$F$2:$F$1319,"T1. LLMs Application / Usage for Architecture Design")</f>
        <v>4</v>
      </c>
      <c r="K46" s="6">
        <f>COUNTIFS(Thematic_Map!$A$2:$A$1319,$I46,Thematic_Map!$F$2:$F$1319,"T2. Techniques for Optimization")</f>
        <v>3</v>
      </c>
      <c r="L46" s="6">
        <f>COUNTIFS(Thematic_Map!$A$2:$A$1319,$I46,Thematic_Map!$F$2:$F$1319,"T3. Techniques for Evaluation")</f>
        <v>4</v>
      </c>
      <c r="M46" s="6">
        <f>COUNTIFS(Thematic_Map!$A$2:$A$1319,$I46,Thematic_Map!$F$2:$F$1319,"T4. Emerging Trends")</f>
        <v>2</v>
      </c>
      <c r="N46" s="6">
        <f>COUNTIFS(Thematic_Map!$A$2:$A$1319,$I46,Thematic_Map!$F$2:$F$1319,"T5. Limitations")</f>
        <v>2</v>
      </c>
      <c r="O46" s="6">
        <f>COUNTIFS(Thematic_Map!$A$2:$A$1319,$I46,Thematic_Map!$F$2:$F$1319,"T6. Challenges")</f>
        <v>1</v>
      </c>
      <c r="P46" s="7">
        <f t="shared" si="1"/>
        <v>16</v>
      </c>
    </row>
    <row r="47" spans="9:16" x14ac:dyDescent="0.2">
      <c r="I47" s="28" t="s">
        <v>3171</v>
      </c>
      <c r="J47" s="6">
        <f>COUNTIFS(Thematic_Map!$A$2:$A$1319,$I47,Thematic_Map!$F$2:$F$1319,"T1. LLMs Application / Usage for Architecture Design")</f>
        <v>5</v>
      </c>
      <c r="K47" s="6">
        <f>COUNTIFS(Thematic_Map!$A$2:$A$1319,$I47,Thematic_Map!$F$2:$F$1319,"T2. Techniques for Optimization")</f>
        <v>3</v>
      </c>
      <c r="L47" s="6">
        <f>COUNTIFS(Thematic_Map!$A$2:$A$1319,$I47,Thematic_Map!$F$2:$F$1319,"T3. Techniques for Evaluation")</f>
        <v>4</v>
      </c>
      <c r="M47" s="6">
        <f>COUNTIFS(Thematic_Map!$A$2:$A$1319,$I47,Thematic_Map!$F$2:$F$1319,"T4. Emerging Trends")</f>
        <v>5</v>
      </c>
      <c r="N47" s="6">
        <f>COUNTIFS(Thematic_Map!$A$2:$A$1319,$I47,Thematic_Map!$F$2:$F$1319,"T5. Limitations")</f>
        <v>2</v>
      </c>
      <c r="O47" s="6">
        <f>COUNTIFS(Thematic_Map!$A$2:$A$1319,$I47,Thematic_Map!$F$2:$F$1319,"T6. Challenges")</f>
        <v>1</v>
      </c>
      <c r="P47" s="7">
        <f t="shared" si="1"/>
        <v>20</v>
      </c>
    </row>
    <row r="48" spans="9:16" x14ac:dyDescent="0.2">
      <c r="I48" s="28" t="s">
        <v>3179</v>
      </c>
      <c r="J48" s="6">
        <f>COUNTIFS(Thematic_Map!$A$2:$A$1319,$I48,Thematic_Map!$F$2:$F$1319,"T1. LLMs Application / Usage for Architecture Design")</f>
        <v>5</v>
      </c>
      <c r="K48" s="6">
        <f>COUNTIFS(Thematic_Map!$A$2:$A$1319,$I48,Thematic_Map!$F$2:$F$1319,"T2. Techniques for Optimization")</f>
        <v>3</v>
      </c>
      <c r="L48" s="6">
        <f>COUNTIFS(Thematic_Map!$A$2:$A$1319,$I48,Thematic_Map!$F$2:$F$1319,"T3. Techniques for Evaluation")</f>
        <v>3</v>
      </c>
      <c r="M48" s="6">
        <f>COUNTIFS(Thematic_Map!$A$2:$A$1319,$I48,Thematic_Map!$F$2:$F$1319,"T4. Emerging Trends")</f>
        <v>4</v>
      </c>
      <c r="N48" s="6">
        <f>COUNTIFS(Thematic_Map!$A$2:$A$1319,$I48,Thematic_Map!$F$2:$F$1319,"T5. Limitations")</f>
        <v>2</v>
      </c>
      <c r="O48" s="6">
        <f>COUNTIFS(Thematic_Map!$A$2:$A$1319,$I48,Thematic_Map!$F$2:$F$1319,"T6. Challenges")</f>
        <v>1</v>
      </c>
      <c r="P48" s="7">
        <f t="shared" si="1"/>
        <v>18</v>
      </c>
    </row>
    <row r="49" spans="9:16" x14ac:dyDescent="0.2">
      <c r="I49" s="28" t="s">
        <v>3187</v>
      </c>
      <c r="J49" s="6">
        <f>COUNTIFS(Thematic_Map!$A$2:$A$1319,$I49,Thematic_Map!$F$2:$F$1319,"T1. LLMs Application / Usage for Architecture Design")</f>
        <v>4</v>
      </c>
      <c r="K49" s="6">
        <f>COUNTIFS(Thematic_Map!$A$2:$A$1319,$I49,Thematic_Map!$F$2:$F$1319,"T2. Techniques for Optimization")</f>
        <v>3</v>
      </c>
      <c r="L49" s="6">
        <f>COUNTIFS(Thematic_Map!$A$2:$A$1319,$I49,Thematic_Map!$F$2:$F$1319,"T3. Techniques for Evaluation")</f>
        <v>4</v>
      </c>
      <c r="M49" s="6">
        <f>COUNTIFS(Thematic_Map!$A$2:$A$1319,$I49,Thematic_Map!$F$2:$F$1319,"T4. Emerging Trends")</f>
        <v>3</v>
      </c>
      <c r="N49" s="6">
        <f>COUNTIFS(Thematic_Map!$A$2:$A$1319,$I49,Thematic_Map!$F$2:$F$1319,"T5. Limitations")</f>
        <v>2</v>
      </c>
      <c r="O49" s="6">
        <f>COUNTIFS(Thematic_Map!$A$2:$A$1319,$I49,Thematic_Map!$F$2:$F$1319,"T6. Challenges")</f>
        <v>1</v>
      </c>
      <c r="P49" s="7">
        <f t="shared" si="1"/>
        <v>17</v>
      </c>
    </row>
    <row r="50" spans="9:16" x14ac:dyDescent="0.2">
      <c r="I50" s="28" t="s">
        <v>3194</v>
      </c>
      <c r="J50" s="6">
        <f>COUNTIFS(Thematic_Map!$A$2:$A$1319,$I50,Thematic_Map!$F$2:$F$1319,"T1. LLMs Application / Usage for Architecture Design")</f>
        <v>4</v>
      </c>
      <c r="K50" s="6">
        <f>COUNTIFS(Thematic_Map!$A$2:$A$1319,$I50,Thematic_Map!$F$2:$F$1319,"T2. Techniques for Optimization")</f>
        <v>2</v>
      </c>
      <c r="L50" s="6">
        <f>COUNTIFS(Thematic_Map!$A$2:$A$1319,$I50,Thematic_Map!$F$2:$F$1319,"T3. Techniques for Evaluation")</f>
        <v>3</v>
      </c>
      <c r="M50" s="6">
        <f>COUNTIFS(Thematic_Map!$A$2:$A$1319,$I50,Thematic_Map!$F$2:$F$1319,"T4. Emerging Trends")</f>
        <v>3</v>
      </c>
      <c r="N50" s="6">
        <f>COUNTIFS(Thematic_Map!$A$2:$A$1319,$I50,Thematic_Map!$F$2:$F$1319,"T5. Limitations")</f>
        <v>2</v>
      </c>
      <c r="O50" s="6">
        <f>COUNTIFS(Thematic_Map!$A$2:$A$1319,$I50,Thematic_Map!$F$2:$F$1319,"T6. Challenges")</f>
        <v>1</v>
      </c>
      <c r="P50" s="7">
        <f t="shared" si="1"/>
        <v>15</v>
      </c>
    </row>
    <row r="51" spans="9:16" x14ac:dyDescent="0.2">
      <c r="I51" s="28" t="s">
        <v>3201</v>
      </c>
      <c r="J51" s="6">
        <f>COUNTIFS(Thematic_Map!$A$2:$A$1319,$I51,Thematic_Map!$F$2:$F$1319,"T1. LLMs Application / Usage for Architecture Design")</f>
        <v>4</v>
      </c>
      <c r="K51" s="6">
        <f>COUNTIFS(Thematic_Map!$A$2:$A$1319,$I51,Thematic_Map!$F$2:$F$1319,"T2. Techniques for Optimization")</f>
        <v>3</v>
      </c>
      <c r="L51" s="6">
        <f>COUNTIFS(Thematic_Map!$A$2:$A$1319,$I51,Thematic_Map!$F$2:$F$1319,"T3. Techniques for Evaluation")</f>
        <v>3</v>
      </c>
      <c r="M51" s="6">
        <f>COUNTIFS(Thematic_Map!$A$2:$A$1319,$I51,Thematic_Map!$F$2:$F$1319,"T4. Emerging Trends")</f>
        <v>3</v>
      </c>
      <c r="N51" s="6">
        <f>COUNTIFS(Thematic_Map!$A$2:$A$1319,$I51,Thematic_Map!$F$2:$F$1319,"T5. Limitations")</f>
        <v>2</v>
      </c>
      <c r="O51" s="6">
        <f>COUNTIFS(Thematic_Map!$A$2:$A$1319,$I51,Thematic_Map!$F$2:$F$1319,"T6. Challenges")</f>
        <v>1</v>
      </c>
      <c r="P51" s="7">
        <f t="shared" si="1"/>
        <v>16</v>
      </c>
    </row>
    <row r="52" spans="9:16" x14ac:dyDescent="0.2">
      <c r="I52" s="28" t="s">
        <v>3209</v>
      </c>
      <c r="J52" s="6">
        <f>COUNTIFS(Thematic_Map!$A$2:$A$1319,$I52,Thematic_Map!$F$2:$F$1319,"T1. LLMs Application / Usage for Architecture Design")</f>
        <v>5</v>
      </c>
      <c r="K52" s="6">
        <f>COUNTIFS(Thematic_Map!$A$2:$A$1319,$I52,Thematic_Map!$F$2:$F$1319,"T2. Techniques for Optimization")</f>
        <v>3</v>
      </c>
      <c r="L52" s="6">
        <f>COUNTIFS(Thematic_Map!$A$2:$A$1319,$I52,Thematic_Map!$F$2:$F$1319,"T3. Techniques for Evaluation")</f>
        <v>3</v>
      </c>
      <c r="M52" s="6">
        <f>COUNTIFS(Thematic_Map!$A$2:$A$1319,$I52,Thematic_Map!$F$2:$F$1319,"T4. Emerging Trends")</f>
        <v>2</v>
      </c>
      <c r="N52" s="6">
        <f>COUNTIFS(Thematic_Map!$A$2:$A$1319,$I52,Thematic_Map!$F$2:$F$1319,"T5. Limitations")</f>
        <v>2</v>
      </c>
      <c r="O52" s="6">
        <f>COUNTIFS(Thematic_Map!$A$2:$A$1319,$I52,Thematic_Map!$F$2:$F$1319,"T6. Challenges")</f>
        <v>1</v>
      </c>
      <c r="P52" s="7">
        <f t="shared" si="1"/>
        <v>16</v>
      </c>
    </row>
    <row r="53" spans="9:16" x14ac:dyDescent="0.2">
      <c r="I53" s="28" t="s">
        <v>3217</v>
      </c>
      <c r="J53" s="6">
        <f>COUNTIFS(Thematic_Map!$A$2:$A$1319,$I53,Thematic_Map!$F$2:$F$1319,"T1. LLMs Application / Usage for Architecture Design")</f>
        <v>2</v>
      </c>
      <c r="K53" s="6">
        <f>COUNTIFS(Thematic_Map!$A$2:$A$1319,$I53,Thematic_Map!$F$2:$F$1319,"T2. Techniques for Optimization")</f>
        <v>3</v>
      </c>
      <c r="L53" s="6">
        <f>COUNTIFS(Thematic_Map!$A$2:$A$1319,$I53,Thematic_Map!$F$2:$F$1319,"T3. Techniques for Evaluation")</f>
        <v>3</v>
      </c>
      <c r="M53" s="6">
        <f>COUNTIFS(Thematic_Map!$A$2:$A$1319,$I53,Thematic_Map!$F$2:$F$1319,"T4. Emerging Trends")</f>
        <v>2</v>
      </c>
      <c r="N53" s="6">
        <f>COUNTIFS(Thematic_Map!$A$2:$A$1319,$I53,Thematic_Map!$F$2:$F$1319,"T5. Limitations")</f>
        <v>2</v>
      </c>
      <c r="O53" s="6">
        <f>COUNTIFS(Thematic_Map!$A$2:$A$1319,$I53,Thematic_Map!$F$2:$F$1319,"T6. Challenges")</f>
        <v>1</v>
      </c>
      <c r="P53" s="7">
        <f t="shared" si="1"/>
        <v>13</v>
      </c>
    </row>
    <row r="54" spans="9:16" x14ac:dyDescent="0.2">
      <c r="I54" s="28" t="s">
        <v>3223</v>
      </c>
      <c r="J54" s="6">
        <f>COUNTIFS(Thematic_Map!$A$2:$A$1319,$I54,Thematic_Map!$F$2:$F$1319,"T1. LLMs Application / Usage for Architecture Design")</f>
        <v>6</v>
      </c>
      <c r="K54" s="6">
        <f>COUNTIFS(Thematic_Map!$A$2:$A$1319,$I54,Thematic_Map!$F$2:$F$1319,"T2. Techniques for Optimization")</f>
        <v>3</v>
      </c>
      <c r="L54" s="6">
        <f>COUNTIFS(Thematic_Map!$A$2:$A$1319,$I54,Thematic_Map!$F$2:$F$1319,"T3. Techniques for Evaluation")</f>
        <v>4</v>
      </c>
      <c r="M54" s="6">
        <f>COUNTIFS(Thematic_Map!$A$2:$A$1319,$I54,Thematic_Map!$F$2:$F$1319,"T4. Emerging Trends")</f>
        <v>4</v>
      </c>
      <c r="N54" s="6">
        <f>COUNTIFS(Thematic_Map!$A$2:$A$1319,$I54,Thematic_Map!$F$2:$F$1319,"T5. Limitations")</f>
        <v>2</v>
      </c>
      <c r="O54" s="6">
        <f>COUNTIFS(Thematic_Map!$A$2:$A$1319,$I54,Thematic_Map!$F$2:$F$1319,"T6. Challenges")</f>
        <v>1</v>
      </c>
      <c r="P54" s="7">
        <f t="shared" si="1"/>
        <v>20</v>
      </c>
    </row>
    <row r="55" spans="9:16" x14ac:dyDescent="0.2">
      <c r="I55" s="28" t="s">
        <v>3229</v>
      </c>
      <c r="J55" s="6">
        <f>COUNTIFS(Thematic_Map!$A$2:$A$1319,$I55,Thematic_Map!$F$2:$F$1319,"T1. LLMs Application / Usage for Architecture Design")</f>
        <v>6</v>
      </c>
      <c r="K55" s="6">
        <f>COUNTIFS(Thematic_Map!$A$2:$A$1319,$I55,Thematic_Map!$F$2:$F$1319,"T2. Techniques for Optimization")</f>
        <v>3</v>
      </c>
      <c r="L55" s="6">
        <f>COUNTIFS(Thematic_Map!$A$2:$A$1319,$I55,Thematic_Map!$F$2:$F$1319,"T3. Techniques for Evaluation")</f>
        <v>3</v>
      </c>
      <c r="M55" s="6">
        <f>COUNTIFS(Thematic_Map!$A$2:$A$1319,$I55,Thematic_Map!$F$2:$F$1319,"T4. Emerging Trends")</f>
        <v>2</v>
      </c>
      <c r="N55" s="6">
        <f>COUNTIFS(Thematic_Map!$A$2:$A$1319,$I55,Thematic_Map!$F$2:$F$1319,"T5. Limitations")</f>
        <v>2</v>
      </c>
      <c r="O55" s="6">
        <f>COUNTIFS(Thematic_Map!$A$2:$A$1319,$I55,Thematic_Map!$F$2:$F$1319,"T6. Challenges")</f>
        <v>1</v>
      </c>
      <c r="P55" s="7">
        <f t="shared" si="1"/>
        <v>17</v>
      </c>
    </row>
    <row r="56" spans="9:16" x14ac:dyDescent="0.2">
      <c r="I56" s="28" t="s">
        <v>3236</v>
      </c>
      <c r="J56" s="6">
        <f>COUNTIFS(Thematic_Map!$A$2:$A$1319,$I56,Thematic_Map!$F$2:$F$1319,"T1. LLMs Application / Usage for Architecture Design")</f>
        <v>4</v>
      </c>
      <c r="K56" s="6">
        <f>COUNTIFS(Thematic_Map!$A$2:$A$1319,$I56,Thematic_Map!$F$2:$F$1319,"T2. Techniques for Optimization")</f>
        <v>3</v>
      </c>
      <c r="L56" s="6">
        <f>COUNTIFS(Thematic_Map!$A$2:$A$1319,$I56,Thematic_Map!$F$2:$F$1319,"T3. Techniques for Evaluation")</f>
        <v>4</v>
      </c>
      <c r="M56" s="6">
        <f>COUNTIFS(Thematic_Map!$A$2:$A$1319,$I56,Thematic_Map!$F$2:$F$1319,"T4. Emerging Trends")</f>
        <v>4</v>
      </c>
      <c r="N56" s="6">
        <f>COUNTIFS(Thematic_Map!$A$2:$A$1319,$I56,Thematic_Map!$F$2:$F$1319,"T5. Limitations")</f>
        <v>2</v>
      </c>
      <c r="O56" s="6">
        <f>COUNTIFS(Thematic_Map!$A$2:$A$1319,$I56,Thematic_Map!$F$2:$F$1319,"T6. Challenges")</f>
        <v>1</v>
      </c>
      <c r="P56" s="7">
        <f t="shared" si="1"/>
        <v>18</v>
      </c>
    </row>
    <row r="57" spans="9:16" x14ac:dyDescent="0.2">
      <c r="I57" s="28" t="s">
        <v>3243</v>
      </c>
      <c r="J57" s="6">
        <f>COUNTIFS(Thematic_Map!$A$2:$A$1319,$I57,Thematic_Map!$F$2:$F$1319,"T1. LLMs Application / Usage for Architecture Design")</f>
        <v>4</v>
      </c>
      <c r="K57" s="6">
        <f>COUNTIFS(Thematic_Map!$A$2:$A$1319,$I57,Thematic_Map!$F$2:$F$1319,"T2. Techniques for Optimization")</f>
        <v>3</v>
      </c>
      <c r="L57" s="6">
        <f>COUNTIFS(Thematic_Map!$A$2:$A$1319,$I57,Thematic_Map!$F$2:$F$1319,"T3. Techniques for Evaluation")</f>
        <v>4</v>
      </c>
      <c r="M57" s="6">
        <f>COUNTIFS(Thematic_Map!$A$2:$A$1319,$I57,Thematic_Map!$F$2:$F$1319,"T4. Emerging Trends")</f>
        <v>2</v>
      </c>
      <c r="N57" s="6">
        <f>COUNTIFS(Thematic_Map!$A$2:$A$1319,$I57,Thematic_Map!$F$2:$F$1319,"T5. Limitations")</f>
        <v>2</v>
      </c>
      <c r="O57" s="6">
        <f>COUNTIFS(Thematic_Map!$A$2:$A$1319,$I57,Thematic_Map!$F$2:$F$1319,"T6. Challenges")</f>
        <v>1</v>
      </c>
      <c r="P57" s="7">
        <f t="shared" si="1"/>
        <v>16</v>
      </c>
    </row>
    <row r="58" spans="9:16" x14ac:dyDescent="0.2">
      <c r="I58" s="28" t="s">
        <v>3248</v>
      </c>
      <c r="J58" s="6">
        <f>COUNTIFS(Thematic_Map!$A$2:$A$1319,$I58,Thematic_Map!$F$2:$F$1319,"T1. LLMs Application / Usage for Architecture Design")</f>
        <v>3</v>
      </c>
      <c r="K58" s="6">
        <f>COUNTIFS(Thematic_Map!$A$2:$A$1319,$I58,Thematic_Map!$F$2:$F$1319,"T2. Techniques for Optimization")</f>
        <v>3</v>
      </c>
      <c r="L58" s="6">
        <f>COUNTIFS(Thematic_Map!$A$2:$A$1319,$I58,Thematic_Map!$F$2:$F$1319,"T3. Techniques for Evaluation")</f>
        <v>3</v>
      </c>
      <c r="M58" s="6">
        <f>COUNTIFS(Thematic_Map!$A$2:$A$1319,$I58,Thematic_Map!$F$2:$F$1319,"T4. Emerging Trends")</f>
        <v>3</v>
      </c>
      <c r="N58" s="6">
        <f>COUNTIFS(Thematic_Map!$A$2:$A$1319,$I58,Thematic_Map!$F$2:$F$1319,"T5. Limitations")</f>
        <v>2</v>
      </c>
      <c r="O58" s="6">
        <f>COUNTIFS(Thematic_Map!$A$2:$A$1319,$I58,Thematic_Map!$F$2:$F$1319,"T6. Challenges")</f>
        <v>1</v>
      </c>
      <c r="P58" s="7">
        <f t="shared" si="1"/>
        <v>15</v>
      </c>
    </row>
    <row r="59" spans="9:16" x14ac:dyDescent="0.2">
      <c r="I59" s="28" t="s">
        <v>3256</v>
      </c>
      <c r="J59" s="6">
        <f>COUNTIFS(Thematic_Map!$A$2:$A$1319,$I59,Thematic_Map!$F$2:$F$1319,"T1. LLMs Application / Usage for Architecture Design")</f>
        <v>4</v>
      </c>
      <c r="K59" s="6">
        <f>COUNTIFS(Thematic_Map!$A$2:$A$1319,$I59,Thematic_Map!$F$2:$F$1319,"T2. Techniques for Optimization")</f>
        <v>2</v>
      </c>
      <c r="L59" s="6">
        <f>COUNTIFS(Thematic_Map!$A$2:$A$1319,$I59,Thematic_Map!$F$2:$F$1319,"T3. Techniques for Evaluation")</f>
        <v>3</v>
      </c>
      <c r="M59" s="6">
        <f>COUNTIFS(Thematic_Map!$A$2:$A$1319,$I59,Thematic_Map!$F$2:$F$1319,"T4. Emerging Trends")</f>
        <v>4</v>
      </c>
      <c r="N59" s="6">
        <f>COUNTIFS(Thematic_Map!$A$2:$A$1319,$I59,Thematic_Map!$F$2:$F$1319,"T5. Limitations")</f>
        <v>2</v>
      </c>
      <c r="O59" s="6">
        <f>COUNTIFS(Thematic_Map!$A$2:$A$1319,$I59,Thematic_Map!$F$2:$F$1319,"T6. Challenges")</f>
        <v>1</v>
      </c>
      <c r="P59" s="7">
        <f t="shared" si="1"/>
        <v>16</v>
      </c>
    </row>
    <row r="60" spans="9:16" x14ac:dyDescent="0.2">
      <c r="I60" s="28" t="s">
        <v>3264</v>
      </c>
      <c r="J60" s="6">
        <f>COUNTIFS(Thematic_Map!$A$2:$A$1319,$I60,Thematic_Map!$F$2:$F$1319,"T1. LLMs Application / Usage for Architecture Design")</f>
        <v>4</v>
      </c>
      <c r="K60" s="6">
        <f>COUNTIFS(Thematic_Map!$A$2:$A$1319,$I60,Thematic_Map!$F$2:$F$1319,"T2. Techniques for Optimization")</f>
        <v>3</v>
      </c>
      <c r="L60" s="6">
        <f>COUNTIFS(Thematic_Map!$A$2:$A$1319,$I60,Thematic_Map!$F$2:$F$1319,"T3. Techniques for Evaluation")</f>
        <v>3</v>
      </c>
      <c r="M60" s="6">
        <f>COUNTIFS(Thematic_Map!$A$2:$A$1319,$I60,Thematic_Map!$F$2:$F$1319,"T4. Emerging Trends")</f>
        <v>2</v>
      </c>
      <c r="N60" s="6">
        <f>COUNTIFS(Thematic_Map!$A$2:$A$1319,$I60,Thematic_Map!$F$2:$F$1319,"T5. Limitations")</f>
        <v>2</v>
      </c>
      <c r="O60" s="6">
        <f>COUNTIFS(Thematic_Map!$A$2:$A$1319,$I60,Thematic_Map!$F$2:$F$1319,"T6. Challenges")</f>
        <v>1</v>
      </c>
      <c r="P60" s="7">
        <f t="shared" si="1"/>
        <v>15</v>
      </c>
    </row>
    <row r="61" spans="9:16" x14ac:dyDescent="0.2">
      <c r="I61" s="28" t="s">
        <v>3272</v>
      </c>
      <c r="J61" s="6">
        <f>COUNTIFS(Thematic_Map!$A$2:$A$1319,$I61,Thematic_Map!$F$2:$F$1319,"T1. LLMs Application / Usage for Architecture Design")</f>
        <v>4</v>
      </c>
      <c r="K61" s="6">
        <f>COUNTIFS(Thematic_Map!$A$2:$A$1319,$I61,Thematic_Map!$F$2:$F$1319,"T2. Techniques for Optimization")</f>
        <v>3</v>
      </c>
      <c r="L61" s="6">
        <f>COUNTIFS(Thematic_Map!$A$2:$A$1319,$I61,Thematic_Map!$F$2:$F$1319,"T3. Techniques for Evaluation")</f>
        <v>3</v>
      </c>
      <c r="M61" s="6">
        <f>COUNTIFS(Thematic_Map!$A$2:$A$1319,$I61,Thematic_Map!$F$2:$F$1319,"T4. Emerging Trends")</f>
        <v>2</v>
      </c>
      <c r="N61" s="6">
        <f>COUNTIFS(Thematic_Map!$A$2:$A$1319,$I61,Thematic_Map!$F$2:$F$1319,"T5. Limitations")</f>
        <v>2</v>
      </c>
      <c r="O61" s="6">
        <f>COUNTIFS(Thematic_Map!$A$2:$A$1319,$I61,Thematic_Map!$F$2:$F$1319,"T6. Challenges")</f>
        <v>1</v>
      </c>
      <c r="P61" s="7">
        <f t="shared" si="1"/>
        <v>15</v>
      </c>
    </row>
    <row r="62" spans="9:16" x14ac:dyDescent="0.2">
      <c r="I62" s="28" t="s">
        <v>3278</v>
      </c>
      <c r="J62" s="6">
        <f>COUNTIFS(Thematic_Map!$A$2:$A$1319,$I62,Thematic_Map!$F$2:$F$1319,"T1. LLMs Application / Usage for Architecture Design")</f>
        <v>4</v>
      </c>
      <c r="K62" s="6">
        <f>COUNTIFS(Thematic_Map!$A$2:$A$1319,$I62,Thematic_Map!$F$2:$F$1319,"T2. Techniques for Optimization")</f>
        <v>2</v>
      </c>
      <c r="L62" s="6">
        <f>COUNTIFS(Thematic_Map!$A$2:$A$1319,$I62,Thematic_Map!$F$2:$F$1319,"T3. Techniques for Evaluation")</f>
        <v>3</v>
      </c>
      <c r="M62" s="6">
        <f>COUNTIFS(Thematic_Map!$A$2:$A$1319,$I62,Thematic_Map!$F$2:$F$1319,"T4. Emerging Trends")</f>
        <v>3</v>
      </c>
      <c r="N62" s="6">
        <f>COUNTIFS(Thematic_Map!$A$2:$A$1319,$I62,Thematic_Map!$F$2:$F$1319,"T5. Limitations")</f>
        <v>2</v>
      </c>
      <c r="O62" s="6">
        <f>COUNTIFS(Thematic_Map!$A$2:$A$1319,$I62,Thematic_Map!$F$2:$F$1319,"T6. Challenges")</f>
        <v>1</v>
      </c>
      <c r="P62" s="7">
        <f t="shared" si="1"/>
        <v>15</v>
      </c>
    </row>
    <row r="63" spans="9:16" x14ac:dyDescent="0.2">
      <c r="I63" s="28" t="s">
        <v>3286</v>
      </c>
      <c r="J63" s="6">
        <f>COUNTIFS(Thematic_Map!$A$2:$A$1319,$I63,Thematic_Map!$F$2:$F$1319,"T1. LLMs Application / Usage for Architecture Design")</f>
        <v>6</v>
      </c>
      <c r="K63" s="6">
        <f>COUNTIFS(Thematic_Map!$A$2:$A$1319,$I63,Thematic_Map!$F$2:$F$1319,"T2. Techniques for Optimization")</f>
        <v>3</v>
      </c>
      <c r="L63" s="6">
        <f>COUNTIFS(Thematic_Map!$A$2:$A$1319,$I63,Thematic_Map!$F$2:$F$1319,"T3. Techniques for Evaluation")</f>
        <v>3</v>
      </c>
      <c r="M63" s="6">
        <f>COUNTIFS(Thematic_Map!$A$2:$A$1319,$I63,Thematic_Map!$F$2:$F$1319,"T4. Emerging Trends")</f>
        <v>2</v>
      </c>
      <c r="N63" s="6">
        <f>COUNTIFS(Thematic_Map!$A$2:$A$1319,$I63,Thematic_Map!$F$2:$F$1319,"T5. Limitations")</f>
        <v>2</v>
      </c>
      <c r="O63" s="6">
        <f>COUNTIFS(Thematic_Map!$A$2:$A$1319,$I63,Thematic_Map!$F$2:$F$1319,"T6. Challenges")</f>
        <v>1</v>
      </c>
      <c r="P63" s="7">
        <f t="shared" si="1"/>
        <v>17</v>
      </c>
    </row>
    <row r="64" spans="9:16" x14ac:dyDescent="0.2">
      <c r="I64" s="28" t="s">
        <v>3290</v>
      </c>
      <c r="J64" s="6">
        <f>COUNTIFS(Thematic_Map!$A$2:$A$1319,$I64,Thematic_Map!$F$2:$F$1319,"T1. LLMs Application / Usage for Architecture Design")</f>
        <v>5</v>
      </c>
      <c r="K64" s="6">
        <f>COUNTIFS(Thematic_Map!$A$2:$A$1319,$I64,Thematic_Map!$F$2:$F$1319,"T2. Techniques for Optimization")</f>
        <v>3</v>
      </c>
      <c r="L64" s="6">
        <f>COUNTIFS(Thematic_Map!$A$2:$A$1319,$I64,Thematic_Map!$F$2:$F$1319,"T3. Techniques for Evaluation")</f>
        <v>3</v>
      </c>
      <c r="M64" s="6">
        <f>COUNTIFS(Thematic_Map!$A$2:$A$1319,$I64,Thematic_Map!$F$2:$F$1319,"T4. Emerging Trends")</f>
        <v>1</v>
      </c>
      <c r="N64" s="6">
        <f>COUNTIFS(Thematic_Map!$A$2:$A$1319,$I64,Thematic_Map!$F$2:$F$1319,"T5. Limitations")</f>
        <v>2</v>
      </c>
      <c r="O64" s="6">
        <f>COUNTIFS(Thematic_Map!$A$2:$A$1319,$I64,Thematic_Map!$F$2:$F$1319,"T6. Challenges")</f>
        <v>1</v>
      </c>
      <c r="P64" s="7">
        <f t="shared" si="1"/>
        <v>15</v>
      </c>
    </row>
    <row r="65" spans="9:16" x14ac:dyDescent="0.2">
      <c r="I65" s="28" t="s">
        <v>3298</v>
      </c>
      <c r="J65" s="6">
        <f>COUNTIFS(Thematic_Map!$A$2:$A$1319,$I65,Thematic_Map!$F$2:$F$1319,"T1. LLMs Application / Usage for Architecture Design")</f>
        <v>5</v>
      </c>
      <c r="K65" s="6">
        <f>COUNTIFS(Thematic_Map!$A$2:$A$1319,$I65,Thematic_Map!$F$2:$F$1319,"T2. Techniques for Optimization")</f>
        <v>2</v>
      </c>
      <c r="L65" s="6">
        <f>COUNTIFS(Thematic_Map!$A$2:$A$1319,$I65,Thematic_Map!$F$2:$F$1319,"T3. Techniques for Evaluation")</f>
        <v>3</v>
      </c>
      <c r="M65" s="6">
        <f>COUNTIFS(Thematic_Map!$A$2:$A$1319,$I65,Thematic_Map!$F$2:$F$1319,"T4. Emerging Trends")</f>
        <v>3</v>
      </c>
      <c r="N65" s="6">
        <f>COUNTIFS(Thematic_Map!$A$2:$A$1319,$I65,Thematic_Map!$F$2:$F$1319,"T5. Limitations")</f>
        <v>2</v>
      </c>
      <c r="O65" s="6">
        <f>COUNTIFS(Thematic_Map!$A$2:$A$1319,$I65,Thematic_Map!$F$2:$F$1319,"T6. Challenges")</f>
        <v>1</v>
      </c>
      <c r="P65" s="7">
        <f t="shared" si="1"/>
        <v>16</v>
      </c>
    </row>
    <row r="66" spans="9:16" x14ac:dyDescent="0.2">
      <c r="I66" s="28" t="s">
        <v>3306</v>
      </c>
      <c r="J66" s="6">
        <f>COUNTIFS(Thematic_Map!$A$2:$A$1319,$I66,Thematic_Map!$F$2:$F$1319,"T1. LLMs Application / Usage for Architecture Design")</f>
        <v>4</v>
      </c>
      <c r="K66" s="6">
        <f>COUNTIFS(Thematic_Map!$A$2:$A$1319,$I66,Thematic_Map!$F$2:$F$1319,"T2. Techniques for Optimization")</f>
        <v>2</v>
      </c>
      <c r="L66" s="6">
        <f>COUNTIFS(Thematic_Map!$A$2:$A$1319,$I66,Thematic_Map!$F$2:$F$1319,"T3. Techniques for Evaluation")</f>
        <v>3</v>
      </c>
      <c r="M66" s="6">
        <f>COUNTIFS(Thematic_Map!$A$2:$A$1319,$I66,Thematic_Map!$F$2:$F$1319,"T4. Emerging Trends")</f>
        <v>1</v>
      </c>
      <c r="N66" s="6">
        <f>COUNTIFS(Thematic_Map!$A$2:$A$1319,$I66,Thematic_Map!$F$2:$F$1319,"T5. Limitations")</f>
        <v>2</v>
      </c>
      <c r="O66" s="6">
        <f>COUNTIFS(Thematic_Map!$A$2:$A$1319,$I66,Thematic_Map!$F$2:$F$1319,"T6. Challenges")</f>
        <v>1</v>
      </c>
      <c r="P66" s="7">
        <f t="shared" ref="P66:P70" si="2">SUM(J66:O66)</f>
        <v>13</v>
      </c>
    </row>
    <row r="67" spans="9:16" x14ac:dyDescent="0.2">
      <c r="I67" s="28" t="s">
        <v>3313</v>
      </c>
      <c r="J67" s="6">
        <f>COUNTIFS(Thematic_Map!$A$2:$A$1319,$I67,Thematic_Map!$F$2:$F$1319,"T1. LLMs Application / Usage for Architecture Design")</f>
        <v>8</v>
      </c>
      <c r="K67" s="6">
        <f>COUNTIFS(Thematic_Map!$A$2:$A$1319,$I67,Thematic_Map!$F$2:$F$1319,"T2. Techniques for Optimization")</f>
        <v>3</v>
      </c>
      <c r="L67" s="6">
        <f>COUNTIFS(Thematic_Map!$A$2:$A$1319,$I67,Thematic_Map!$F$2:$F$1319,"T3. Techniques for Evaluation")</f>
        <v>3</v>
      </c>
      <c r="M67" s="6">
        <f>COUNTIFS(Thematic_Map!$A$2:$A$1319,$I67,Thematic_Map!$F$2:$F$1319,"T4. Emerging Trends")</f>
        <v>2</v>
      </c>
      <c r="N67" s="6">
        <f>COUNTIFS(Thematic_Map!$A$2:$A$1319,$I67,Thematic_Map!$F$2:$F$1319,"T5. Limitations")</f>
        <v>2</v>
      </c>
      <c r="O67" s="6">
        <f>COUNTIFS(Thematic_Map!$A$2:$A$1319,$I67,Thematic_Map!$F$2:$F$1319,"T6. Challenges")</f>
        <v>1</v>
      </c>
      <c r="P67" s="7">
        <f t="shared" si="2"/>
        <v>19</v>
      </c>
    </row>
    <row r="68" spans="9:16" x14ac:dyDescent="0.2">
      <c r="I68" s="28" t="s">
        <v>3318</v>
      </c>
      <c r="J68" s="6">
        <f>COUNTIFS(Thematic_Map!$A$2:$A$1319,$I68,Thematic_Map!$F$2:$F$1319,"T1. LLMs Application / Usage for Architecture Design")</f>
        <v>4</v>
      </c>
      <c r="K68" s="6">
        <f>COUNTIFS(Thematic_Map!$A$2:$A$1319,$I68,Thematic_Map!$F$2:$F$1319,"T2. Techniques for Optimization")</f>
        <v>3</v>
      </c>
      <c r="L68" s="6">
        <f>COUNTIFS(Thematic_Map!$A$2:$A$1319,$I68,Thematic_Map!$F$2:$F$1319,"T3. Techniques for Evaluation")</f>
        <v>4</v>
      </c>
      <c r="M68" s="6">
        <f>COUNTIFS(Thematic_Map!$A$2:$A$1319,$I68,Thematic_Map!$F$2:$F$1319,"T4. Emerging Trends")</f>
        <v>1</v>
      </c>
      <c r="N68" s="6">
        <f>COUNTIFS(Thematic_Map!$A$2:$A$1319,$I68,Thematic_Map!$F$2:$F$1319,"T5. Limitations")</f>
        <v>3</v>
      </c>
      <c r="O68" s="6">
        <f>COUNTIFS(Thematic_Map!$A$2:$A$1319,$I68,Thematic_Map!$F$2:$F$1319,"T6. Challenges")</f>
        <v>1</v>
      </c>
      <c r="P68" s="7">
        <f t="shared" si="2"/>
        <v>16</v>
      </c>
    </row>
    <row r="69" spans="9:16" x14ac:dyDescent="0.2">
      <c r="I69" s="28" t="s">
        <v>3325</v>
      </c>
      <c r="J69" s="6">
        <f>COUNTIFS(Thematic_Map!$A$2:$A$1319,$I69,Thematic_Map!$F$2:$F$1319,"T1. LLMs Application / Usage for Architecture Design")</f>
        <v>4</v>
      </c>
      <c r="K69" s="6">
        <f>COUNTIFS(Thematic_Map!$A$2:$A$1319,$I69,Thematic_Map!$F$2:$F$1319,"T2. Techniques for Optimization")</f>
        <v>3</v>
      </c>
      <c r="L69" s="6">
        <f>COUNTIFS(Thematic_Map!$A$2:$A$1319,$I69,Thematic_Map!$F$2:$F$1319,"T3. Techniques for Evaluation")</f>
        <v>5</v>
      </c>
      <c r="M69" s="6">
        <f>COUNTIFS(Thematic_Map!$A$2:$A$1319,$I69,Thematic_Map!$F$2:$F$1319,"T4. Emerging Trends")</f>
        <v>2</v>
      </c>
      <c r="N69" s="6">
        <f>COUNTIFS(Thematic_Map!$A$2:$A$1319,$I69,Thematic_Map!$F$2:$F$1319,"T5. Limitations")</f>
        <v>3</v>
      </c>
      <c r="O69" s="6">
        <f>COUNTIFS(Thematic_Map!$A$2:$A$1319,$I69,Thematic_Map!$F$2:$F$1319,"T6. Challenges")</f>
        <v>1</v>
      </c>
      <c r="P69" s="7">
        <f t="shared" si="2"/>
        <v>18</v>
      </c>
    </row>
    <row r="70" spans="9:16" x14ac:dyDescent="0.2">
      <c r="I70" s="28" t="s">
        <v>3332</v>
      </c>
      <c r="J70" s="6">
        <f>COUNTIFS(Thematic_Map!$A$2:$A$1319,$I70,Thematic_Map!$F$2:$F$1319,"T1. LLMs Application / Usage for Architecture Design")</f>
        <v>4</v>
      </c>
      <c r="K70" s="6">
        <f>COUNTIFS(Thematic_Map!$A$2:$A$1319,$I70,Thematic_Map!$F$2:$F$1319,"T2. Techniques for Optimization")</f>
        <v>3</v>
      </c>
      <c r="L70" s="6">
        <f>COUNTIFS(Thematic_Map!$A$2:$A$1319,$I70,Thematic_Map!$F$2:$F$1319,"T3. Techniques for Evaluation")</f>
        <v>4</v>
      </c>
      <c r="M70" s="6">
        <f>COUNTIFS(Thematic_Map!$A$2:$A$1319,$I70,Thematic_Map!$F$2:$F$1319,"T4. Emerging Trends")</f>
        <v>4</v>
      </c>
      <c r="N70" s="6">
        <f>COUNTIFS(Thematic_Map!$A$2:$A$1319,$I70,Thematic_Map!$F$2:$F$1319,"T5. Limitations")</f>
        <v>2</v>
      </c>
      <c r="O70" s="6">
        <f>COUNTIFS(Thematic_Map!$A$2:$A$1319,$I70,Thematic_Map!$F$2:$F$1319,"T6. Challenges")</f>
        <v>0</v>
      </c>
      <c r="P70" s="7">
        <f t="shared" si="2"/>
        <v>17</v>
      </c>
    </row>
    <row r="71" spans="9:16" x14ac:dyDescent="0.2">
      <c r="I71" s="28"/>
      <c r="J71" s="6"/>
      <c r="K71" s="6"/>
      <c r="L71" s="6"/>
      <c r="M71" s="6"/>
      <c r="N71" s="6"/>
      <c r="O71" s="6"/>
      <c r="P71" s="7"/>
    </row>
  </sheetData>
  <mergeCells count="1">
    <mergeCell ref="A10:H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1"/>
  <sheetViews>
    <sheetView workbookViewId="0">
      <pane xSplit="2" ySplit="1" topLeftCell="C2" activePane="bottomRight" state="frozen"/>
      <selection pane="topRight"/>
      <selection pane="bottomLeft"/>
      <selection pane="bottomRight" activeCell="C2" sqref="C2"/>
    </sheetView>
  </sheetViews>
  <sheetFormatPr baseColWidth="10" defaultColWidth="8.6640625" defaultRowHeight="15" x14ac:dyDescent="0.2"/>
  <cols>
    <col min="1" max="1" width="8.83203125" customWidth="1"/>
    <col min="2" max="2" width="22" customWidth="1"/>
    <col min="3" max="3" width="40" customWidth="1"/>
    <col min="4" max="4" width="43.83203125" customWidth="1"/>
    <col min="5" max="5" width="50" customWidth="1"/>
    <col min="6" max="6" width="66.33203125" customWidth="1"/>
    <col min="7" max="7" width="45" customWidth="1"/>
    <col min="8" max="8" width="80.1640625" customWidth="1"/>
    <col min="9" max="9" width="16.83203125" customWidth="1"/>
  </cols>
  <sheetData>
    <row r="1" spans="1:9" s="20" customFormat="1" ht="21" x14ac:dyDescent="0.25">
      <c r="A1" s="9" t="s">
        <v>3340</v>
      </c>
      <c r="B1" s="9" t="s">
        <v>28</v>
      </c>
      <c r="C1" s="9" t="s">
        <v>7170</v>
      </c>
      <c r="D1" s="9" t="s">
        <v>7171</v>
      </c>
      <c r="E1" s="9" t="s">
        <v>7172</v>
      </c>
      <c r="F1" s="9" t="s">
        <v>7173</v>
      </c>
      <c r="G1" s="9" t="s">
        <v>7174</v>
      </c>
      <c r="H1" s="9" t="s">
        <v>7175</v>
      </c>
      <c r="I1" s="9" t="s">
        <v>7176</v>
      </c>
    </row>
    <row r="2" spans="1:9" ht="209" x14ac:dyDescent="0.2">
      <c r="A2" s="6" t="s">
        <v>2825</v>
      </c>
      <c r="B2" s="5" t="s">
        <v>114</v>
      </c>
      <c r="C2" s="5" t="s">
        <v>8252</v>
      </c>
      <c r="D2" s="5" t="s">
        <v>8253</v>
      </c>
      <c r="E2" s="5" t="s">
        <v>8254</v>
      </c>
      <c r="F2" s="5" t="s">
        <v>8255</v>
      </c>
      <c r="G2" s="5" t="s">
        <v>8256</v>
      </c>
      <c r="H2" s="5" t="s">
        <v>8257</v>
      </c>
      <c r="I2" s="5" t="s">
        <v>7177</v>
      </c>
    </row>
    <row r="3" spans="1:9" ht="209" x14ac:dyDescent="0.2">
      <c r="A3" s="6" t="s">
        <v>2833</v>
      </c>
      <c r="B3" s="5" t="s">
        <v>125</v>
      </c>
      <c r="C3" s="5" t="s">
        <v>8258</v>
      </c>
      <c r="D3" s="5" t="s">
        <v>8259</v>
      </c>
      <c r="E3" s="5" t="s">
        <v>8260</v>
      </c>
      <c r="F3" s="5" t="s">
        <v>8261</v>
      </c>
      <c r="G3" s="5" t="s">
        <v>8262</v>
      </c>
      <c r="H3" s="5" t="s">
        <v>8263</v>
      </c>
      <c r="I3" s="5" t="s">
        <v>7177</v>
      </c>
    </row>
    <row r="4" spans="1:9" ht="171" x14ac:dyDescent="0.2">
      <c r="A4" s="6" t="s">
        <v>2841</v>
      </c>
      <c r="B4" s="5" t="s">
        <v>140</v>
      </c>
      <c r="C4" s="5" t="s">
        <v>8264</v>
      </c>
      <c r="D4" s="5" t="s">
        <v>8259</v>
      </c>
      <c r="E4" s="5" t="s">
        <v>8265</v>
      </c>
      <c r="F4" s="5" t="s">
        <v>8266</v>
      </c>
      <c r="G4" s="5" t="s">
        <v>8267</v>
      </c>
      <c r="H4" s="5" t="s">
        <v>8268</v>
      </c>
      <c r="I4" s="5" t="s">
        <v>7177</v>
      </c>
    </row>
    <row r="5" spans="1:9" ht="209" x14ac:dyDescent="0.2">
      <c r="A5" s="6" t="s">
        <v>2849</v>
      </c>
      <c r="B5" s="5" t="s">
        <v>150</v>
      </c>
      <c r="C5" s="5" t="s">
        <v>8269</v>
      </c>
      <c r="D5" s="5" t="s">
        <v>8259</v>
      </c>
      <c r="E5" s="5" t="s">
        <v>8270</v>
      </c>
      <c r="F5" s="5" t="s">
        <v>8271</v>
      </c>
      <c r="G5" s="5" t="s">
        <v>8272</v>
      </c>
      <c r="H5" s="5" t="s">
        <v>8273</v>
      </c>
      <c r="I5" s="5" t="s">
        <v>7177</v>
      </c>
    </row>
    <row r="6" spans="1:9" ht="228" x14ac:dyDescent="0.2">
      <c r="A6" s="6" t="s">
        <v>2857</v>
      </c>
      <c r="B6" s="5" t="s">
        <v>159</v>
      </c>
      <c r="C6" s="5" t="s">
        <v>8274</v>
      </c>
      <c r="D6" s="5" t="s">
        <v>8259</v>
      </c>
      <c r="E6" s="5" t="s">
        <v>8275</v>
      </c>
      <c r="F6" s="5" t="s">
        <v>8276</v>
      </c>
      <c r="G6" s="5" t="s">
        <v>8277</v>
      </c>
      <c r="H6" s="5" t="s">
        <v>8278</v>
      </c>
      <c r="I6" s="5" t="s">
        <v>7177</v>
      </c>
    </row>
    <row r="7" spans="1:9" ht="228" x14ac:dyDescent="0.2">
      <c r="A7" s="6" t="s">
        <v>2865</v>
      </c>
      <c r="B7" s="5" t="s">
        <v>172</v>
      </c>
      <c r="C7" s="5" t="s">
        <v>8279</v>
      </c>
      <c r="D7" s="5" t="s">
        <v>8259</v>
      </c>
      <c r="E7" s="5" t="s">
        <v>8280</v>
      </c>
      <c r="F7" s="5" t="s">
        <v>8281</v>
      </c>
      <c r="G7" s="5" t="s">
        <v>8282</v>
      </c>
      <c r="H7" s="5" t="s">
        <v>8283</v>
      </c>
      <c r="I7" s="5" t="s">
        <v>7177</v>
      </c>
    </row>
    <row r="8" spans="1:9" ht="209" x14ac:dyDescent="0.2">
      <c r="A8" s="6" t="s">
        <v>2873</v>
      </c>
      <c r="B8" s="5" t="s">
        <v>177</v>
      </c>
      <c r="C8" s="5" t="s">
        <v>8284</v>
      </c>
      <c r="D8" s="5" t="s">
        <v>8259</v>
      </c>
      <c r="E8" s="5" t="s">
        <v>8285</v>
      </c>
      <c r="F8" s="5" t="s">
        <v>8286</v>
      </c>
      <c r="G8" s="5" t="s">
        <v>8287</v>
      </c>
      <c r="H8" s="5" t="s">
        <v>8288</v>
      </c>
      <c r="I8" s="5" t="s">
        <v>7177</v>
      </c>
    </row>
    <row r="9" spans="1:9" ht="304" x14ac:dyDescent="0.2">
      <c r="A9" s="6" t="s">
        <v>2881</v>
      </c>
      <c r="B9" s="5" t="s">
        <v>231</v>
      </c>
      <c r="C9" s="5" t="s">
        <v>8289</v>
      </c>
      <c r="D9" s="5" t="s">
        <v>8259</v>
      </c>
      <c r="E9" s="5" t="s">
        <v>8290</v>
      </c>
      <c r="F9" s="5" t="s">
        <v>8291</v>
      </c>
      <c r="G9" s="5" t="s">
        <v>8292</v>
      </c>
      <c r="H9" s="5" t="s">
        <v>8293</v>
      </c>
      <c r="I9" s="5" t="s">
        <v>7177</v>
      </c>
    </row>
    <row r="10" spans="1:9" ht="398" x14ac:dyDescent="0.2">
      <c r="A10" s="6" t="s">
        <v>2889</v>
      </c>
      <c r="B10" s="5" t="s">
        <v>236</v>
      </c>
      <c r="C10" s="5" t="s">
        <v>8294</v>
      </c>
      <c r="D10" s="5" t="s">
        <v>8295</v>
      </c>
      <c r="E10" s="5" t="s">
        <v>8296</v>
      </c>
      <c r="F10" s="5" t="s">
        <v>8297</v>
      </c>
      <c r="G10" s="5" t="s">
        <v>8298</v>
      </c>
      <c r="H10" s="5" t="s">
        <v>8299</v>
      </c>
      <c r="I10" s="5" t="s">
        <v>7177</v>
      </c>
    </row>
    <row r="11" spans="1:9" ht="323" x14ac:dyDescent="0.2">
      <c r="A11" s="6" t="s">
        <v>2897</v>
      </c>
      <c r="B11" s="5" t="s">
        <v>49</v>
      </c>
      <c r="C11" s="5" t="s">
        <v>8300</v>
      </c>
      <c r="D11" s="5" t="s">
        <v>8259</v>
      </c>
      <c r="E11" s="5" t="s">
        <v>8301</v>
      </c>
      <c r="F11" s="5" t="s">
        <v>8302</v>
      </c>
      <c r="G11" s="5" t="s">
        <v>8303</v>
      </c>
      <c r="H11" s="5" t="s">
        <v>8304</v>
      </c>
      <c r="I11" s="5" t="s">
        <v>7177</v>
      </c>
    </row>
    <row r="12" spans="1:9" ht="323" x14ac:dyDescent="0.2">
      <c r="A12" s="6" t="s">
        <v>2904</v>
      </c>
      <c r="B12" s="5" t="s">
        <v>244</v>
      </c>
      <c r="C12" s="5" t="s">
        <v>8305</v>
      </c>
      <c r="D12" s="5" t="s">
        <v>8259</v>
      </c>
      <c r="E12" s="5" t="s">
        <v>8306</v>
      </c>
      <c r="F12" s="5" t="s">
        <v>8307</v>
      </c>
      <c r="G12" s="5" t="s">
        <v>8308</v>
      </c>
      <c r="H12" s="5" t="s">
        <v>8309</v>
      </c>
      <c r="I12" s="5" t="s">
        <v>7178</v>
      </c>
    </row>
    <row r="13" spans="1:9" ht="266" x14ac:dyDescent="0.2">
      <c r="A13" s="6" t="s">
        <v>2912</v>
      </c>
      <c r="B13" s="5" t="s">
        <v>249</v>
      </c>
      <c r="C13" s="5" t="s">
        <v>8310</v>
      </c>
      <c r="D13" s="5" t="s">
        <v>8259</v>
      </c>
      <c r="E13" s="5" t="s">
        <v>8311</v>
      </c>
      <c r="F13" s="5" t="s">
        <v>8312</v>
      </c>
      <c r="G13" s="5" t="s">
        <v>8313</v>
      </c>
      <c r="H13" s="5" t="s">
        <v>8314</v>
      </c>
      <c r="I13" s="5" t="s">
        <v>7178</v>
      </c>
    </row>
    <row r="14" spans="1:9" ht="398" x14ac:dyDescent="0.2">
      <c r="A14" s="6" t="s">
        <v>2920</v>
      </c>
      <c r="B14" s="5" t="s">
        <v>320</v>
      </c>
      <c r="C14" s="5" t="s">
        <v>8315</v>
      </c>
      <c r="D14" s="5" t="s">
        <v>8259</v>
      </c>
      <c r="E14" s="5" t="s">
        <v>8316</v>
      </c>
      <c r="F14" s="5" t="s">
        <v>8317</v>
      </c>
      <c r="G14" s="5" t="s">
        <v>8318</v>
      </c>
      <c r="H14" s="5" t="s">
        <v>8319</v>
      </c>
      <c r="I14" s="5" t="s">
        <v>7177</v>
      </c>
    </row>
    <row r="15" spans="1:9" ht="380" x14ac:dyDescent="0.2">
      <c r="A15" s="6" t="s">
        <v>2928</v>
      </c>
      <c r="B15" s="5" t="s">
        <v>327</v>
      </c>
      <c r="C15" s="5" t="s">
        <v>8320</v>
      </c>
      <c r="D15" s="5" t="s">
        <v>8259</v>
      </c>
      <c r="E15" s="5" t="s">
        <v>8321</v>
      </c>
      <c r="F15" s="5" t="s">
        <v>8322</v>
      </c>
      <c r="G15" s="5" t="s">
        <v>8323</v>
      </c>
      <c r="H15" s="5" t="s">
        <v>8324</v>
      </c>
      <c r="I15" s="5" t="s">
        <v>7178</v>
      </c>
    </row>
    <row r="16" spans="1:9" ht="304" x14ac:dyDescent="0.2">
      <c r="A16" s="6" t="s">
        <v>2936</v>
      </c>
      <c r="B16" s="5" t="s">
        <v>331</v>
      </c>
      <c r="C16" s="5" t="s">
        <v>8325</v>
      </c>
      <c r="D16" s="5" t="s">
        <v>8259</v>
      </c>
      <c r="E16" s="5" t="s">
        <v>8326</v>
      </c>
      <c r="F16" s="5" t="s">
        <v>8327</v>
      </c>
      <c r="G16" s="5" t="s">
        <v>8328</v>
      </c>
      <c r="H16" s="5" t="s">
        <v>8329</v>
      </c>
      <c r="I16" s="5" t="s">
        <v>7177</v>
      </c>
    </row>
    <row r="17" spans="1:9" ht="398" x14ac:dyDescent="0.2">
      <c r="A17" s="6" t="s">
        <v>2944</v>
      </c>
      <c r="B17" s="5" t="s">
        <v>344</v>
      </c>
      <c r="C17" s="5" t="s">
        <v>8330</v>
      </c>
      <c r="D17" s="5" t="s">
        <v>8259</v>
      </c>
      <c r="E17" s="5" t="s">
        <v>8331</v>
      </c>
      <c r="F17" s="5" t="s">
        <v>8332</v>
      </c>
      <c r="G17" s="5" t="s">
        <v>8333</v>
      </c>
      <c r="H17" s="5" t="s">
        <v>8334</v>
      </c>
      <c r="I17" s="5" t="s">
        <v>7177</v>
      </c>
    </row>
    <row r="18" spans="1:9" ht="304" x14ac:dyDescent="0.2">
      <c r="A18" s="6" t="s">
        <v>2952</v>
      </c>
      <c r="B18" s="5" t="s">
        <v>360</v>
      </c>
      <c r="C18" s="5" t="s">
        <v>8335</v>
      </c>
      <c r="D18" s="5" t="s">
        <v>8259</v>
      </c>
      <c r="E18" s="5" t="s">
        <v>8336</v>
      </c>
      <c r="F18" s="5" t="s">
        <v>8337</v>
      </c>
      <c r="G18" s="5" t="s">
        <v>8338</v>
      </c>
      <c r="H18" s="5" t="s">
        <v>8339</v>
      </c>
      <c r="I18" s="5" t="s">
        <v>7177</v>
      </c>
    </row>
    <row r="19" spans="1:9" ht="304" x14ac:dyDescent="0.2">
      <c r="A19" s="6" t="s">
        <v>2959</v>
      </c>
      <c r="B19" s="5" t="s">
        <v>381</v>
      </c>
      <c r="C19" s="5" t="s">
        <v>8340</v>
      </c>
      <c r="D19" s="5" t="s">
        <v>8259</v>
      </c>
      <c r="E19" s="5" t="s">
        <v>8341</v>
      </c>
      <c r="F19" s="5" t="s">
        <v>8342</v>
      </c>
      <c r="G19" s="5" t="s">
        <v>8343</v>
      </c>
      <c r="H19" s="5" t="s">
        <v>8344</v>
      </c>
      <c r="I19" s="5" t="s">
        <v>7177</v>
      </c>
    </row>
    <row r="20" spans="1:9" ht="304" x14ac:dyDescent="0.2">
      <c r="A20" s="6" t="s">
        <v>2967</v>
      </c>
      <c r="B20" s="5" t="s">
        <v>392</v>
      </c>
      <c r="C20" s="5" t="s">
        <v>8345</v>
      </c>
      <c r="D20" s="5" t="s">
        <v>8259</v>
      </c>
      <c r="E20" s="5" t="s">
        <v>8346</v>
      </c>
      <c r="F20" s="5" t="s">
        <v>8347</v>
      </c>
      <c r="G20" s="5" t="s">
        <v>8348</v>
      </c>
      <c r="H20" s="5" t="s">
        <v>8349</v>
      </c>
      <c r="I20" s="5" t="s">
        <v>7177</v>
      </c>
    </row>
    <row r="21" spans="1:9" ht="285" x14ac:dyDescent="0.2">
      <c r="A21" s="6" t="s">
        <v>2975</v>
      </c>
      <c r="B21" s="5" t="s">
        <v>396</v>
      </c>
      <c r="C21" s="5" t="s">
        <v>8350</v>
      </c>
      <c r="D21" s="5" t="s">
        <v>8259</v>
      </c>
      <c r="E21" s="5" t="s">
        <v>8351</v>
      </c>
      <c r="F21" s="5" t="s">
        <v>8352</v>
      </c>
      <c r="G21" s="5" t="s">
        <v>8353</v>
      </c>
      <c r="H21" s="5" t="s">
        <v>8354</v>
      </c>
      <c r="I21" s="5" t="s">
        <v>7177</v>
      </c>
    </row>
    <row r="22" spans="1:9" ht="342" x14ac:dyDescent="0.2">
      <c r="A22" s="6" t="s">
        <v>2983</v>
      </c>
      <c r="B22" s="5" t="s">
        <v>400</v>
      </c>
      <c r="C22" s="5" t="s">
        <v>8355</v>
      </c>
      <c r="D22" s="5" t="s">
        <v>8259</v>
      </c>
      <c r="E22" s="5" t="s">
        <v>8356</v>
      </c>
      <c r="F22" s="5" t="s">
        <v>8357</v>
      </c>
      <c r="G22" s="5" t="s">
        <v>8358</v>
      </c>
      <c r="H22" s="5" t="s">
        <v>8359</v>
      </c>
      <c r="I22" s="5" t="s">
        <v>7177</v>
      </c>
    </row>
    <row r="23" spans="1:9" ht="247" x14ac:dyDescent="0.2">
      <c r="A23" s="6" t="s">
        <v>2989</v>
      </c>
      <c r="B23" s="5" t="s">
        <v>409</v>
      </c>
      <c r="C23" s="5" t="s">
        <v>8360</v>
      </c>
      <c r="D23" s="5" t="s">
        <v>8259</v>
      </c>
      <c r="E23" s="5" t="s">
        <v>8361</v>
      </c>
      <c r="F23" s="5" t="s">
        <v>8362</v>
      </c>
      <c r="G23" s="5" t="s">
        <v>8363</v>
      </c>
      <c r="H23" s="5" t="s">
        <v>8364</v>
      </c>
      <c r="I23" s="5" t="s">
        <v>7178</v>
      </c>
    </row>
    <row r="24" spans="1:9" ht="323" x14ac:dyDescent="0.2">
      <c r="A24" s="6" t="s">
        <v>2996</v>
      </c>
      <c r="B24" s="5" t="s">
        <v>417</v>
      </c>
      <c r="C24" s="5" t="s">
        <v>8365</v>
      </c>
      <c r="D24" s="5" t="s">
        <v>8253</v>
      </c>
      <c r="E24" s="5" t="s">
        <v>8366</v>
      </c>
      <c r="F24" s="5" t="s">
        <v>8367</v>
      </c>
      <c r="G24" s="5" t="s">
        <v>8368</v>
      </c>
      <c r="H24" s="5" t="s">
        <v>8369</v>
      </c>
      <c r="I24" s="5" t="s">
        <v>7177</v>
      </c>
    </row>
    <row r="25" spans="1:9" ht="266" x14ac:dyDescent="0.2">
      <c r="A25" s="6" t="s">
        <v>3004</v>
      </c>
      <c r="B25" s="5" t="s">
        <v>424</v>
      </c>
      <c r="C25" s="5" t="s">
        <v>8370</v>
      </c>
      <c r="D25" s="5" t="s">
        <v>8259</v>
      </c>
      <c r="E25" s="5" t="s">
        <v>8371</v>
      </c>
      <c r="F25" s="5" t="s">
        <v>8372</v>
      </c>
      <c r="G25" s="5" t="s">
        <v>8373</v>
      </c>
      <c r="H25" s="5" t="s">
        <v>8374</v>
      </c>
      <c r="I25" s="5" t="s">
        <v>7177</v>
      </c>
    </row>
    <row r="26" spans="1:9" ht="323" x14ac:dyDescent="0.2">
      <c r="A26" s="6" t="s">
        <v>3012</v>
      </c>
      <c r="B26" s="5" t="s">
        <v>441</v>
      </c>
      <c r="C26" s="5" t="s">
        <v>8375</v>
      </c>
      <c r="D26" s="5" t="s">
        <v>8259</v>
      </c>
      <c r="E26" s="5" t="s">
        <v>8376</v>
      </c>
      <c r="F26" s="5" t="s">
        <v>8377</v>
      </c>
      <c r="G26" s="5" t="s">
        <v>8378</v>
      </c>
      <c r="H26" s="5" t="s">
        <v>8379</v>
      </c>
      <c r="I26" s="5" t="s">
        <v>7177</v>
      </c>
    </row>
    <row r="27" spans="1:9" ht="247" x14ac:dyDescent="0.2">
      <c r="A27" s="6" t="s">
        <v>3020</v>
      </c>
      <c r="B27" s="5" t="s">
        <v>450</v>
      </c>
      <c r="C27" s="5" t="s">
        <v>8380</v>
      </c>
      <c r="D27" s="5" t="s">
        <v>8259</v>
      </c>
      <c r="E27" s="5" t="s">
        <v>8381</v>
      </c>
      <c r="F27" s="5" t="s">
        <v>8382</v>
      </c>
      <c r="G27" s="5" t="s">
        <v>8383</v>
      </c>
      <c r="H27" s="5" t="s">
        <v>8384</v>
      </c>
      <c r="I27" s="5" t="s">
        <v>7177</v>
      </c>
    </row>
    <row r="28" spans="1:9" ht="266" x14ac:dyDescent="0.2">
      <c r="A28" s="6" t="s">
        <v>3028</v>
      </c>
      <c r="B28" s="5" t="s">
        <v>470</v>
      </c>
      <c r="C28" s="5" t="s">
        <v>8385</v>
      </c>
      <c r="D28" s="5" t="s">
        <v>8259</v>
      </c>
      <c r="E28" s="5" t="s">
        <v>8386</v>
      </c>
      <c r="F28" s="5" t="s">
        <v>8387</v>
      </c>
      <c r="G28" s="5" t="s">
        <v>8388</v>
      </c>
      <c r="H28" s="5" t="s">
        <v>8389</v>
      </c>
      <c r="I28" s="5" t="s">
        <v>7177</v>
      </c>
    </row>
    <row r="29" spans="1:9" ht="247" x14ac:dyDescent="0.2">
      <c r="A29" s="6" t="s">
        <v>3035</v>
      </c>
      <c r="B29" s="5" t="s">
        <v>474</v>
      </c>
      <c r="C29" s="5" t="s">
        <v>8390</v>
      </c>
      <c r="D29" s="5" t="s">
        <v>8259</v>
      </c>
      <c r="E29" s="5" t="s">
        <v>8391</v>
      </c>
      <c r="F29" s="5" t="s">
        <v>8392</v>
      </c>
      <c r="G29" s="5" t="s">
        <v>8393</v>
      </c>
      <c r="H29" s="5" t="s">
        <v>8394</v>
      </c>
      <c r="I29" s="5" t="s">
        <v>7177</v>
      </c>
    </row>
    <row r="30" spans="1:9" ht="380" x14ac:dyDescent="0.2">
      <c r="A30" s="6" t="s">
        <v>3043</v>
      </c>
      <c r="B30" s="5" t="s">
        <v>478</v>
      </c>
      <c r="C30" s="5" t="s">
        <v>8395</v>
      </c>
      <c r="D30" s="5" t="s">
        <v>8259</v>
      </c>
      <c r="E30" s="5" t="s">
        <v>8396</v>
      </c>
      <c r="F30" s="5" t="s">
        <v>8397</v>
      </c>
      <c r="G30" s="5" t="s">
        <v>8398</v>
      </c>
      <c r="H30" s="5" t="s">
        <v>8399</v>
      </c>
      <c r="I30" s="5" t="s">
        <v>7177</v>
      </c>
    </row>
    <row r="31" spans="1:9" ht="304" x14ac:dyDescent="0.2">
      <c r="A31" s="6" t="s">
        <v>3051</v>
      </c>
      <c r="B31" s="5" t="s">
        <v>500</v>
      </c>
      <c r="C31" s="5" t="s">
        <v>8400</v>
      </c>
      <c r="D31" s="5" t="s">
        <v>8259</v>
      </c>
      <c r="E31" s="5" t="s">
        <v>8401</v>
      </c>
      <c r="F31" s="5" t="s">
        <v>8402</v>
      </c>
      <c r="G31" s="5" t="s">
        <v>8403</v>
      </c>
      <c r="H31" s="5" t="s">
        <v>8404</v>
      </c>
      <c r="I31" s="5" t="s">
        <v>7177</v>
      </c>
    </row>
    <row r="32" spans="1:9" ht="342" x14ac:dyDescent="0.2">
      <c r="A32" s="6" t="s">
        <v>3058</v>
      </c>
      <c r="B32" s="5" t="s">
        <v>508</v>
      </c>
      <c r="C32" s="5" t="s">
        <v>8405</v>
      </c>
      <c r="D32" s="5" t="s">
        <v>8253</v>
      </c>
      <c r="E32" s="5" t="s">
        <v>8406</v>
      </c>
      <c r="F32" s="5" t="s">
        <v>8407</v>
      </c>
      <c r="G32" s="5" t="s">
        <v>8408</v>
      </c>
      <c r="H32" s="5" t="s">
        <v>8409</v>
      </c>
      <c r="I32" s="5" t="s">
        <v>7178</v>
      </c>
    </row>
    <row r="33" spans="1:9" ht="285" x14ac:dyDescent="0.2">
      <c r="A33" s="6" t="s">
        <v>3065</v>
      </c>
      <c r="B33" s="5" t="s">
        <v>528</v>
      </c>
      <c r="C33" s="5" t="s">
        <v>8410</v>
      </c>
      <c r="D33" s="5" t="s">
        <v>8259</v>
      </c>
      <c r="E33" s="5" t="s">
        <v>8411</v>
      </c>
      <c r="F33" s="5" t="s">
        <v>8412</v>
      </c>
      <c r="G33" s="5" t="s">
        <v>8413</v>
      </c>
      <c r="H33" s="5" t="s">
        <v>8414</v>
      </c>
      <c r="I33" s="5" t="s">
        <v>7177</v>
      </c>
    </row>
    <row r="34" spans="1:9" ht="342" x14ac:dyDescent="0.2">
      <c r="A34" s="6" t="s">
        <v>3072</v>
      </c>
      <c r="B34" s="5" t="s">
        <v>537</v>
      </c>
      <c r="C34" s="5" t="s">
        <v>8415</v>
      </c>
      <c r="D34" s="5" t="s">
        <v>8259</v>
      </c>
      <c r="E34" s="5" t="s">
        <v>8416</v>
      </c>
      <c r="F34" s="5" t="s">
        <v>8417</v>
      </c>
      <c r="G34" s="5" t="s">
        <v>8418</v>
      </c>
      <c r="H34" s="5" t="s">
        <v>8419</v>
      </c>
      <c r="I34" s="5" t="s">
        <v>7177</v>
      </c>
    </row>
    <row r="35" spans="1:9" ht="361" x14ac:dyDescent="0.2">
      <c r="A35" s="6" t="s">
        <v>3080</v>
      </c>
      <c r="B35" s="5" t="s">
        <v>545</v>
      </c>
      <c r="C35" s="5" t="s">
        <v>8420</v>
      </c>
      <c r="D35" s="5" t="s">
        <v>8295</v>
      </c>
      <c r="E35" s="5" t="s">
        <v>8421</v>
      </c>
      <c r="F35" s="5" t="s">
        <v>8422</v>
      </c>
      <c r="G35" s="5" t="s">
        <v>8423</v>
      </c>
      <c r="H35" s="5" t="s">
        <v>8424</v>
      </c>
      <c r="I35" s="5" t="s">
        <v>7177</v>
      </c>
    </row>
    <row r="36" spans="1:9" ht="285" x14ac:dyDescent="0.2">
      <c r="A36" s="6" t="s">
        <v>3087</v>
      </c>
      <c r="B36" s="5" t="s">
        <v>565</v>
      </c>
      <c r="C36" s="5" t="s">
        <v>8425</v>
      </c>
      <c r="D36" s="5" t="s">
        <v>8259</v>
      </c>
      <c r="E36" s="5" t="s">
        <v>8426</v>
      </c>
      <c r="F36" s="5" t="s">
        <v>8427</v>
      </c>
      <c r="G36" s="5" t="s">
        <v>8428</v>
      </c>
      <c r="H36" s="5" t="s">
        <v>8429</v>
      </c>
      <c r="I36" s="5" t="s">
        <v>7177</v>
      </c>
    </row>
    <row r="37" spans="1:9" ht="285" x14ac:dyDescent="0.2">
      <c r="A37" s="6" t="s">
        <v>3095</v>
      </c>
      <c r="B37" s="5" t="s">
        <v>573</v>
      </c>
      <c r="C37" s="5" t="s">
        <v>8430</v>
      </c>
      <c r="D37" s="5" t="s">
        <v>8259</v>
      </c>
      <c r="E37" s="5" t="s">
        <v>8431</v>
      </c>
      <c r="F37" s="5" t="s">
        <v>8432</v>
      </c>
      <c r="G37" s="5" t="s">
        <v>8433</v>
      </c>
      <c r="H37" s="5" t="s">
        <v>8434</v>
      </c>
      <c r="I37" s="5" t="s">
        <v>7177</v>
      </c>
    </row>
    <row r="38" spans="1:9" ht="304" x14ac:dyDescent="0.2">
      <c r="A38" s="6" t="s">
        <v>3102</v>
      </c>
      <c r="B38" s="5" t="s">
        <v>586</v>
      </c>
      <c r="C38" s="5" t="s">
        <v>8435</v>
      </c>
      <c r="D38" s="5" t="s">
        <v>8259</v>
      </c>
      <c r="E38" s="5" t="s">
        <v>8436</v>
      </c>
      <c r="F38" s="5" t="s">
        <v>8437</v>
      </c>
      <c r="G38" s="5" t="s">
        <v>8438</v>
      </c>
      <c r="H38" s="5" t="s">
        <v>8439</v>
      </c>
      <c r="I38" s="5" t="s">
        <v>7177</v>
      </c>
    </row>
    <row r="39" spans="1:9" ht="304" x14ac:dyDescent="0.2">
      <c r="A39" s="6" t="s">
        <v>3109</v>
      </c>
      <c r="B39" s="5" t="s">
        <v>454</v>
      </c>
      <c r="C39" s="5" t="s">
        <v>8440</v>
      </c>
      <c r="D39" s="5" t="s">
        <v>8259</v>
      </c>
      <c r="E39" s="5" t="s">
        <v>8441</v>
      </c>
      <c r="F39" s="5" t="s">
        <v>8442</v>
      </c>
      <c r="G39" s="5" t="s">
        <v>8443</v>
      </c>
      <c r="H39" s="5" t="s">
        <v>8444</v>
      </c>
      <c r="I39" s="5" t="s">
        <v>7178</v>
      </c>
    </row>
    <row r="40" spans="1:9" ht="323" x14ac:dyDescent="0.2">
      <c r="A40" s="6" t="s">
        <v>3117</v>
      </c>
      <c r="B40" s="5" t="s">
        <v>612</v>
      </c>
      <c r="C40" s="5" t="s">
        <v>8445</v>
      </c>
      <c r="D40" s="5" t="s">
        <v>8259</v>
      </c>
      <c r="E40" s="5" t="s">
        <v>8446</v>
      </c>
      <c r="F40" s="5" t="s">
        <v>8447</v>
      </c>
      <c r="G40" s="5" t="s">
        <v>8448</v>
      </c>
      <c r="H40" s="5" t="s">
        <v>8449</v>
      </c>
      <c r="I40" s="5" t="s">
        <v>7177</v>
      </c>
    </row>
    <row r="41" spans="1:9" ht="266" x14ac:dyDescent="0.2">
      <c r="A41" s="6" t="s">
        <v>3125</v>
      </c>
      <c r="B41" s="5" t="s">
        <v>545</v>
      </c>
      <c r="C41" s="5" t="s">
        <v>8450</v>
      </c>
      <c r="D41" s="5" t="s">
        <v>8259</v>
      </c>
      <c r="E41" s="5" t="s">
        <v>8451</v>
      </c>
      <c r="F41" s="5" t="s">
        <v>8452</v>
      </c>
      <c r="G41" s="5" t="s">
        <v>8453</v>
      </c>
      <c r="H41" s="5" t="s">
        <v>8454</v>
      </c>
      <c r="I41" s="5" t="s">
        <v>7177</v>
      </c>
    </row>
    <row r="42" spans="1:9" ht="247" x14ac:dyDescent="0.2">
      <c r="A42" s="6" t="s">
        <v>3132</v>
      </c>
      <c r="B42" s="5" t="s">
        <v>643</v>
      </c>
      <c r="C42" s="5" t="s">
        <v>8455</v>
      </c>
      <c r="D42" s="5" t="s">
        <v>8259</v>
      </c>
      <c r="E42" s="5" t="s">
        <v>8456</v>
      </c>
      <c r="F42" s="5" t="s">
        <v>8457</v>
      </c>
      <c r="G42" s="5" t="s">
        <v>8458</v>
      </c>
      <c r="H42" s="5" t="s">
        <v>8459</v>
      </c>
      <c r="I42" s="5" t="s">
        <v>7177</v>
      </c>
    </row>
    <row r="43" spans="1:9" ht="285" x14ac:dyDescent="0.2">
      <c r="A43" s="6" t="s">
        <v>3140</v>
      </c>
      <c r="B43" s="5" t="s">
        <v>114</v>
      </c>
      <c r="C43" s="5" t="s">
        <v>8460</v>
      </c>
      <c r="D43" s="5" t="s">
        <v>8259</v>
      </c>
      <c r="E43" s="5" t="s">
        <v>8461</v>
      </c>
      <c r="F43" s="5" t="s">
        <v>8462</v>
      </c>
      <c r="G43" s="5" t="s">
        <v>8463</v>
      </c>
      <c r="H43" s="5" t="s">
        <v>8464</v>
      </c>
      <c r="I43" s="5" t="s">
        <v>7177</v>
      </c>
    </row>
    <row r="44" spans="1:9" ht="285" x14ac:dyDescent="0.2">
      <c r="A44" s="6" t="s">
        <v>3147</v>
      </c>
      <c r="B44" s="5" t="s">
        <v>690</v>
      </c>
      <c r="C44" s="5" t="s">
        <v>8465</v>
      </c>
      <c r="D44" s="5" t="s">
        <v>8259</v>
      </c>
      <c r="E44" s="5" t="s">
        <v>8466</v>
      </c>
      <c r="F44" s="5" t="s">
        <v>8467</v>
      </c>
      <c r="G44" s="5" t="s">
        <v>8468</v>
      </c>
      <c r="H44" s="5" t="s">
        <v>8469</v>
      </c>
      <c r="I44" s="5" t="s">
        <v>7177</v>
      </c>
    </row>
    <row r="45" spans="1:9" ht="285" x14ac:dyDescent="0.2">
      <c r="A45" s="6" t="s">
        <v>3155</v>
      </c>
      <c r="B45" s="5" t="s">
        <v>734</v>
      </c>
      <c r="C45" s="5" t="s">
        <v>8470</v>
      </c>
      <c r="D45" s="5" t="s">
        <v>8259</v>
      </c>
      <c r="E45" s="5" t="s">
        <v>8471</v>
      </c>
      <c r="F45" s="5" t="s">
        <v>8472</v>
      </c>
      <c r="G45" s="5" t="s">
        <v>8473</v>
      </c>
      <c r="H45" s="5" t="s">
        <v>8474</v>
      </c>
      <c r="I45" s="5" t="s">
        <v>7178</v>
      </c>
    </row>
    <row r="46" spans="1:9" ht="285" x14ac:dyDescent="0.2">
      <c r="A46" s="6" t="s">
        <v>3163</v>
      </c>
      <c r="B46" s="5" t="s">
        <v>831</v>
      </c>
      <c r="C46" s="5" t="s">
        <v>8475</v>
      </c>
      <c r="D46" s="5" t="s">
        <v>8259</v>
      </c>
      <c r="E46" s="5" t="s">
        <v>8476</v>
      </c>
      <c r="F46" s="5" t="s">
        <v>8477</v>
      </c>
      <c r="G46" s="5" t="s">
        <v>8478</v>
      </c>
      <c r="H46" s="5" t="s">
        <v>8479</v>
      </c>
      <c r="I46" s="5" t="s">
        <v>7177</v>
      </c>
    </row>
    <row r="47" spans="1:9" ht="342" x14ac:dyDescent="0.2">
      <c r="A47" s="6" t="s">
        <v>3171</v>
      </c>
      <c r="B47" s="5" t="s">
        <v>899</v>
      </c>
      <c r="C47" s="5" t="s">
        <v>8480</v>
      </c>
      <c r="D47" s="5" t="s">
        <v>8259</v>
      </c>
      <c r="E47" s="5" t="s">
        <v>8481</v>
      </c>
      <c r="F47" s="5" t="s">
        <v>8482</v>
      </c>
      <c r="G47" s="5" t="s">
        <v>8483</v>
      </c>
      <c r="H47" s="5" t="s">
        <v>8484</v>
      </c>
      <c r="I47" s="5" t="s">
        <v>7177</v>
      </c>
    </row>
    <row r="48" spans="1:9" ht="285" x14ac:dyDescent="0.2">
      <c r="A48" s="6" t="s">
        <v>3179</v>
      </c>
      <c r="B48" s="5" t="s">
        <v>927</v>
      </c>
      <c r="C48" s="5" t="s">
        <v>8485</v>
      </c>
      <c r="D48" s="5" t="s">
        <v>8259</v>
      </c>
      <c r="E48" s="5" t="s">
        <v>8486</v>
      </c>
      <c r="F48" s="5" t="s">
        <v>8487</v>
      </c>
      <c r="G48" s="5" t="s">
        <v>8488</v>
      </c>
      <c r="H48" s="5" t="s">
        <v>8489</v>
      </c>
      <c r="I48" s="5" t="s">
        <v>7177</v>
      </c>
    </row>
    <row r="49" spans="1:9" ht="247" x14ac:dyDescent="0.2">
      <c r="A49" s="6" t="s">
        <v>3187</v>
      </c>
      <c r="B49" s="5" t="s">
        <v>909</v>
      </c>
      <c r="C49" s="5" t="s">
        <v>8490</v>
      </c>
      <c r="D49" s="5" t="s">
        <v>8259</v>
      </c>
      <c r="E49" s="5" t="s">
        <v>8491</v>
      </c>
      <c r="F49" s="5" t="s">
        <v>8492</v>
      </c>
      <c r="G49" s="5" t="s">
        <v>8493</v>
      </c>
      <c r="H49" s="5" t="s">
        <v>8494</v>
      </c>
      <c r="I49" s="5" t="s">
        <v>7177</v>
      </c>
    </row>
    <row r="50" spans="1:9" ht="266" x14ac:dyDescent="0.2">
      <c r="A50" s="6" t="s">
        <v>3194</v>
      </c>
      <c r="B50" s="5" t="s">
        <v>1049</v>
      </c>
      <c r="C50" s="5" t="s">
        <v>8495</v>
      </c>
      <c r="D50" s="5" t="s">
        <v>8259</v>
      </c>
      <c r="E50" s="5" t="s">
        <v>8496</v>
      </c>
      <c r="F50" s="5" t="s">
        <v>8497</v>
      </c>
      <c r="G50" s="5" t="s">
        <v>8498</v>
      </c>
      <c r="H50" s="5" t="s">
        <v>8499</v>
      </c>
      <c r="I50" s="5" t="s">
        <v>7178</v>
      </c>
    </row>
    <row r="51" spans="1:9" ht="285" x14ac:dyDescent="0.2">
      <c r="A51" s="6" t="s">
        <v>3201</v>
      </c>
      <c r="B51" s="5" t="s">
        <v>1069</v>
      </c>
      <c r="C51" s="5" t="s">
        <v>8500</v>
      </c>
      <c r="D51" s="5" t="s">
        <v>8259</v>
      </c>
      <c r="E51" s="5" t="s">
        <v>8501</v>
      </c>
      <c r="F51" s="5" t="s">
        <v>8502</v>
      </c>
      <c r="G51" s="5" t="s">
        <v>8503</v>
      </c>
      <c r="H51" s="5" t="s">
        <v>8504</v>
      </c>
      <c r="I51" s="5" t="s">
        <v>7178</v>
      </c>
    </row>
    <row r="52" spans="1:9" ht="266" x14ac:dyDescent="0.2">
      <c r="A52" s="6" t="s">
        <v>3209</v>
      </c>
      <c r="B52" s="5" t="s">
        <v>1094</v>
      </c>
      <c r="C52" s="5" t="s">
        <v>8505</v>
      </c>
      <c r="D52" s="5" t="s">
        <v>8259</v>
      </c>
      <c r="E52" s="5" t="s">
        <v>8506</v>
      </c>
      <c r="F52" s="5" t="s">
        <v>8507</v>
      </c>
      <c r="G52" s="5" t="s">
        <v>8508</v>
      </c>
      <c r="H52" s="5" t="s">
        <v>8509</v>
      </c>
      <c r="I52" s="5" t="s">
        <v>7178</v>
      </c>
    </row>
    <row r="53" spans="1:9" ht="247" x14ac:dyDescent="0.2">
      <c r="A53" s="6" t="s">
        <v>3217</v>
      </c>
      <c r="B53" s="5" t="s">
        <v>1146</v>
      </c>
      <c r="C53" s="5" t="s">
        <v>8510</v>
      </c>
      <c r="D53" s="5" t="s">
        <v>8259</v>
      </c>
      <c r="E53" s="5" t="s">
        <v>8511</v>
      </c>
      <c r="F53" s="5" t="s">
        <v>8512</v>
      </c>
      <c r="G53" s="5" t="s">
        <v>8513</v>
      </c>
      <c r="H53" s="5" t="s">
        <v>8514</v>
      </c>
      <c r="I53" s="5" t="s">
        <v>7178</v>
      </c>
    </row>
    <row r="54" spans="1:9" ht="361" x14ac:dyDescent="0.2">
      <c r="A54" s="6" t="s">
        <v>3223</v>
      </c>
      <c r="B54" s="5" t="s">
        <v>1264</v>
      </c>
      <c r="C54" s="5" t="s">
        <v>8515</v>
      </c>
      <c r="D54" s="5" t="s">
        <v>8259</v>
      </c>
      <c r="E54" s="5" t="s">
        <v>8516</v>
      </c>
      <c r="F54" s="5" t="s">
        <v>8517</v>
      </c>
      <c r="G54" s="5" t="s">
        <v>8518</v>
      </c>
      <c r="H54" s="5" t="s">
        <v>8519</v>
      </c>
      <c r="I54" s="5" t="s">
        <v>7177</v>
      </c>
    </row>
    <row r="55" spans="1:9" ht="228" x14ac:dyDescent="0.2">
      <c r="A55" s="6" t="s">
        <v>3229</v>
      </c>
      <c r="B55" s="5" t="s">
        <v>1268</v>
      </c>
      <c r="C55" s="5" t="s">
        <v>8520</v>
      </c>
      <c r="D55" s="5" t="s">
        <v>8259</v>
      </c>
      <c r="E55" s="5" t="s">
        <v>8521</v>
      </c>
      <c r="F55" s="5" t="s">
        <v>8522</v>
      </c>
      <c r="G55" s="5" t="s">
        <v>8523</v>
      </c>
      <c r="H55" s="5" t="s">
        <v>8524</v>
      </c>
      <c r="I55" s="5" t="s">
        <v>7177</v>
      </c>
    </row>
    <row r="56" spans="1:9" ht="266" x14ac:dyDescent="0.2">
      <c r="A56" s="6" t="s">
        <v>3236</v>
      </c>
      <c r="B56" s="5" t="s">
        <v>1280</v>
      </c>
      <c r="C56" s="5" t="s">
        <v>8525</v>
      </c>
      <c r="D56" s="5" t="s">
        <v>8259</v>
      </c>
      <c r="E56" s="5" t="s">
        <v>8526</v>
      </c>
      <c r="F56" s="5" t="s">
        <v>8527</v>
      </c>
      <c r="G56" s="5" t="s">
        <v>8528</v>
      </c>
      <c r="H56" s="5" t="s">
        <v>8529</v>
      </c>
      <c r="I56" s="5" t="s">
        <v>7177</v>
      </c>
    </row>
    <row r="57" spans="1:9" ht="304" x14ac:dyDescent="0.2">
      <c r="A57" s="6" t="s">
        <v>3243</v>
      </c>
      <c r="B57" s="5" t="s">
        <v>1318</v>
      </c>
      <c r="C57" s="5" t="s">
        <v>8530</v>
      </c>
      <c r="D57" s="5" t="s">
        <v>8259</v>
      </c>
      <c r="E57" s="5" t="s">
        <v>8531</v>
      </c>
      <c r="F57" s="5" t="s">
        <v>8532</v>
      </c>
      <c r="G57" s="5" t="s">
        <v>8533</v>
      </c>
      <c r="H57" s="5" t="s">
        <v>8534</v>
      </c>
      <c r="I57" s="5" t="s">
        <v>7177</v>
      </c>
    </row>
    <row r="58" spans="1:9" ht="323" x14ac:dyDescent="0.2">
      <c r="A58" s="6" t="s">
        <v>3248</v>
      </c>
      <c r="B58" s="5" t="s">
        <v>1564</v>
      </c>
      <c r="C58" s="5" t="s">
        <v>8535</v>
      </c>
      <c r="D58" s="5" t="s">
        <v>8259</v>
      </c>
      <c r="E58" s="5" t="s">
        <v>8536</v>
      </c>
      <c r="F58" s="5" t="s">
        <v>8537</v>
      </c>
      <c r="G58" s="5" t="s">
        <v>8538</v>
      </c>
      <c r="H58" s="5" t="s">
        <v>8539</v>
      </c>
      <c r="I58" s="5" t="s">
        <v>7177</v>
      </c>
    </row>
    <row r="59" spans="1:9" ht="228" x14ac:dyDescent="0.2">
      <c r="A59" s="6" t="s">
        <v>3256</v>
      </c>
      <c r="B59" s="5" t="s">
        <v>1631</v>
      </c>
      <c r="C59" s="5" t="s">
        <v>8540</v>
      </c>
      <c r="D59" s="5" t="s">
        <v>8259</v>
      </c>
      <c r="E59" s="5" t="s">
        <v>8541</v>
      </c>
      <c r="F59" s="5" t="s">
        <v>8542</v>
      </c>
      <c r="G59" s="5" t="s">
        <v>8543</v>
      </c>
      <c r="H59" s="5" t="s">
        <v>8544</v>
      </c>
      <c r="I59" s="5" t="s">
        <v>7177</v>
      </c>
    </row>
    <row r="60" spans="1:9" ht="380" x14ac:dyDescent="0.2">
      <c r="A60" s="6" t="s">
        <v>3264</v>
      </c>
      <c r="B60" s="5" t="s">
        <v>1696</v>
      </c>
      <c r="C60" s="5" t="s">
        <v>8545</v>
      </c>
      <c r="D60" s="5" t="s">
        <v>8259</v>
      </c>
      <c r="E60" s="5" t="s">
        <v>8546</v>
      </c>
      <c r="F60" s="5" t="s">
        <v>8547</v>
      </c>
      <c r="G60" s="5" t="s">
        <v>8548</v>
      </c>
      <c r="H60" s="5" t="s">
        <v>8549</v>
      </c>
      <c r="I60" s="5" t="s">
        <v>7177</v>
      </c>
    </row>
    <row r="61" spans="1:9" ht="342" x14ac:dyDescent="0.2">
      <c r="A61" s="6" t="s">
        <v>3272</v>
      </c>
      <c r="B61" s="5" t="s">
        <v>1700</v>
      </c>
      <c r="C61" s="5" t="s">
        <v>8550</v>
      </c>
      <c r="D61" s="5" t="s">
        <v>8259</v>
      </c>
      <c r="E61" s="5" t="s">
        <v>8551</v>
      </c>
      <c r="F61" s="5" t="s">
        <v>8552</v>
      </c>
      <c r="G61" s="5" t="s">
        <v>8553</v>
      </c>
      <c r="H61" s="5" t="s">
        <v>8554</v>
      </c>
      <c r="I61" s="5" t="s">
        <v>7177</v>
      </c>
    </row>
    <row r="62" spans="1:9" ht="323" x14ac:dyDescent="0.2">
      <c r="A62" s="6" t="s">
        <v>3278</v>
      </c>
      <c r="B62" s="5" t="s">
        <v>1664</v>
      </c>
      <c r="C62" s="5" t="s">
        <v>8555</v>
      </c>
      <c r="D62" s="5" t="s">
        <v>8259</v>
      </c>
      <c r="E62" s="5" t="s">
        <v>8556</v>
      </c>
      <c r="F62" s="5" t="s">
        <v>8557</v>
      </c>
      <c r="G62" s="5" t="s">
        <v>8558</v>
      </c>
      <c r="H62" s="5" t="s">
        <v>8559</v>
      </c>
      <c r="I62" s="5" t="s">
        <v>7177</v>
      </c>
    </row>
    <row r="63" spans="1:9" ht="380" x14ac:dyDescent="0.2">
      <c r="A63" s="6" t="s">
        <v>3286</v>
      </c>
      <c r="B63" s="5" t="s">
        <v>1700</v>
      </c>
      <c r="C63" s="5" t="s">
        <v>8560</v>
      </c>
      <c r="D63" s="5" t="s">
        <v>8259</v>
      </c>
      <c r="E63" s="5" t="s">
        <v>8561</v>
      </c>
      <c r="F63" s="5" t="s">
        <v>8562</v>
      </c>
      <c r="G63" s="5" t="s">
        <v>8563</v>
      </c>
      <c r="H63" s="5" t="s">
        <v>8564</v>
      </c>
      <c r="I63" s="5" t="s">
        <v>7177</v>
      </c>
    </row>
    <row r="64" spans="1:9" ht="285" x14ac:dyDescent="0.2">
      <c r="A64" s="6" t="s">
        <v>3290</v>
      </c>
      <c r="B64" s="5" t="s">
        <v>1773</v>
      </c>
      <c r="C64" s="5" t="s">
        <v>8565</v>
      </c>
      <c r="D64" s="5" t="s">
        <v>8259</v>
      </c>
      <c r="E64" s="5" t="s">
        <v>8566</v>
      </c>
      <c r="F64" s="5" t="s">
        <v>8567</v>
      </c>
      <c r="G64" s="5" t="s">
        <v>8568</v>
      </c>
      <c r="H64" s="5" t="s">
        <v>8569</v>
      </c>
      <c r="I64" s="5" t="s">
        <v>7177</v>
      </c>
    </row>
    <row r="65" spans="1:9" ht="285" x14ac:dyDescent="0.2">
      <c r="A65" s="6" t="s">
        <v>3298</v>
      </c>
      <c r="B65" s="5" t="s">
        <v>1884</v>
      </c>
      <c r="C65" s="5" t="s">
        <v>8570</v>
      </c>
      <c r="D65" s="5" t="s">
        <v>8259</v>
      </c>
      <c r="E65" s="5" t="s">
        <v>8571</v>
      </c>
      <c r="F65" s="5" t="s">
        <v>8572</v>
      </c>
      <c r="G65" s="5" t="s">
        <v>8573</v>
      </c>
      <c r="H65" s="5" t="s">
        <v>8574</v>
      </c>
      <c r="I65" s="5" t="s">
        <v>7177</v>
      </c>
    </row>
    <row r="66" spans="1:9" ht="228" x14ac:dyDescent="0.2">
      <c r="A66" s="6" t="s">
        <v>3306</v>
      </c>
      <c r="B66" s="5" t="s">
        <v>1938</v>
      </c>
      <c r="C66" s="5" t="s">
        <v>8575</v>
      </c>
      <c r="D66" s="5" t="s">
        <v>8259</v>
      </c>
      <c r="E66" s="5" t="s">
        <v>8576</v>
      </c>
      <c r="F66" s="5" t="s">
        <v>8577</v>
      </c>
      <c r="G66" s="5" t="s">
        <v>8578</v>
      </c>
      <c r="H66" s="5" t="s">
        <v>8579</v>
      </c>
      <c r="I66" s="5" t="s">
        <v>7178</v>
      </c>
    </row>
    <row r="67" spans="1:9" ht="398" x14ac:dyDescent="0.2">
      <c r="A67" s="6" t="s">
        <v>3313</v>
      </c>
      <c r="B67" s="5" t="s">
        <v>2054</v>
      </c>
      <c r="C67" s="5" t="s">
        <v>8580</v>
      </c>
      <c r="D67" s="5" t="s">
        <v>8259</v>
      </c>
      <c r="E67" s="5" t="s">
        <v>8581</v>
      </c>
      <c r="F67" s="5" t="s">
        <v>8582</v>
      </c>
      <c r="G67" s="5" t="s">
        <v>8583</v>
      </c>
      <c r="H67" s="5" t="s">
        <v>8584</v>
      </c>
      <c r="I67" s="5" t="s">
        <v>7177</v>
      </c>
    </row>
    <row r="68" spans="1:9" ht="285" x14ac:dyDescent="0.2">
      <c r="A68" s="6" t="s">
        <v>3318</v>
      </c>
      <c r="B68" s="5" t="s">
        <v>1988</v>
      </c>
      <c r="C68" s="5" t="s">
        <v>8585</v>
      </c>
      <c r="D68" s="5" t="s">
        <v>8259</v>
      </c>
      <c r="E68" s="5" t="s">
        <v>8586</v>
      </c>
      <c r="F68" s="5" t="s">
        <v>8587</v>
      </c>
      <c r="G68" s="5" t="s">
        <v>8588</v>
      </c>
      <c r="H68" s="5" t="s">
        <v>8589</v>
      </c>
      <c r="I68" s="5" t="s">
        <v>7177</v>
      </c>
    </row>
    <row r="69" spans="1:9" ht="342" x14ac:dyDescent="0.2">
      <c r="A69" s="6" t="s">
        <v>3325</v>
      </c>
      <c r="B69" s="5" t="s">
        <v>2710</v>
      </c>
      <c r="C69" s="5" t="s">
        <v>8590</v>
      </c>
      <c r="D69" s="5" t="s">
        <v>8259</v>
      </c>
      <c r="E69" s="5" t="s">
        <v>8591</v>
      </c>
      <c r="F69" s="5" t="s">
        <v>8592</v>
      </c>
      <c r="G69" s="5" t="s">
        <v>8593</v>
      </c>
      <c r="H69" s="5" t="s">
        <v>8594</v>
      </c>
      <c r="I69" s="5" t="s">
        <v>7177</v>
      </c>
    </row>
    <row r="70" spans="1:9" ht="380" x14ac:dyDescent="0.2">
      <c r="A70" s="6" t="s">
        <v>3332</v>
      </c>
      <c r="B70" s="5" t="s">
        <v>2730</v>
      </c>
      <c r="C70" s="5" t="s">
        <v>8595</v>
      </c>
      <c r="D70" s="5" t="s">
        <v>8259</v>
      </c>
      <c r="E70" s="5" t="s">
        <v>8596</v>
      </c>
      <c r="F70" s="5" t="s">
        <v>8597</v>
      </c>
      <c r="G70" s="5" t="s">
        <v>8598</v>
      </c>
      <c r="H70" s="5" t="s">
        <v>8599</v>
      </c>
      <c r="I70" s="5" t="s">
        <v>7177</v>
      </c>
    </row>
    <row r="71" spans="1:9" ht="237.75" customHeight="1" x14ac:dyDescent="0.2">
      <c r="A71" s="2"/>
      <c r="B71" s="1"/>
      <c r="C71" s="1"/>
      <c r="D71" s="1"/>
      <c r="E71" s="1"/>
      <c r="F71" s="1"/>
      <c r="G71" s="1"/>
      <c r="H71" s="1"/>
      <c r="I7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workbookViewId="0">
      <pane xSplit="1" ySplit="1" topLeftCell="B2" activePane="bottomRight" state="frozen"/>
      <selection pane="topRight"/>
      <selection pane="bottomLeft"/>
      <selection pane="bottomRight" activeCell="B2" sqref="B2"/>
    </sheetView>
  </sheetViews>
  <sheetFormatPr baseColWidth="10" defaultColWidth="8.6640625" defaultRowHeight="15" x14ac:dyDescent="0.2"/>
  <cols>
    <col min="1" max="1" width="32" customWidth="1"/>
    <col min="2" max="2" width="5.5" customWidth="1"/>
    <col min="3" max="3" width="255" customWidth="1"/>
    <col min="4" max="4" width="66.1640625" customWidth="1"/>
    <col min="5" max="5" width="50" customWidth="1"/>
    <col min="6" max="6" width="104.6640625" customWidth="1"/>
    <col min="7" max="7" width="85" customWidth="1"/>
    <col min="8" max="8" width="21.5" customWidth="1"/>
  </cols>
  <sheetData>
    <row r="1" spans="1:8" s="20" customFormat="1" ht="42" x14ac:dyDescent="0.25">
      <c r="A1" s="9" t="s">
        <v>7179</v>
      </c>
      <c r="B1" s="9" t="s">
        <v>7180</v>
      </c>
      <c r="C1" s="9" t="s">
        <v>7181</v>
      </c>
      <c r="D1" s="9" t="s">
        <v>7182</v>
      </c>
      <c r="E1" s="9" t="s">
        <v>7183</v>
      </c>
      <c r="F1" s="9" t="s">
        <v>7184</v>
      </c>
      <c r="G1" s="9" t="s">
        <v>7185</v>
      </c>
      <c r="H1" s="9" t="s">
        <v>7176</v>
      </c>
    </row>
    <row r="2" spans="1:8" ht="398" x14ac:dyDescent="0.2">
      <c r="A2" s="27" t="s">
        <v>3350</v>
      </c>
      <c r="B2" s="21" t="s">
        <v>7186</v>
      </c>
      <c r="C2" s="27" t="s">
        <v>8600</v>
      </c>
      <c r="D2" s="27" t="s">
        <v>8601</v>
      </c>
      <c r="E2" s="27" t="s">
        <v>8602</v>
      </c>
      <c r="F2" s="27" t="s">
        <v>8603</v>
      </c>
      <c r="G2" s="27" t="s">
        <v>8604</v>
      </c>
      <c r="H2" s="27" t="s">
        <v>7177</v>
      </c>
    </row>
    <row r="3" spans="1:8" ht="323" x14ac:dyDescent="0.2">
      <c r="A3" s="27" t="s">
        <v>3496</v>
      </c>
      <c r="B3" s="21" t="s">
        <v>7186</v>
      </c>
      <c r="C3" s="27" t="s">
        <v>8605</v>
      </c>
      <c r="D3" s="27" t="s">
        <v>8606</v>
      </c>
      <c r="E3" s="27" t="s">
        <v>8607</v>
      </c>
      <c r="F3" s="27" t="s">
        <v>8608</v>
      </c>
      <c r="G3" s="27" t="s">
        <v>8609</v>
      </c>
      <c r="H3" s="27" t="s">
        <v>7177</v>
      </c>
    </row>
    <row r="4" spans="1:8" ht="323" x14ac:dyDescent="0.2">
      <c r="A4" s="27" t="s">
        <v>3603</v>
      </c>
      <c r="B4" s="21" t="s">
        <v>7186</v>
      </c>
      <c r="C4" s="27" t="s">
        <v>8610</v>
      </c>
      <c r="D4" s="27" t="s">
        <v>8611</v>
      </c>
      <c r="E4" s="27" t="s">
        <v>8612</v>
      </c>
      <c r="F4" s="27" t="s">
        <v>8613</v>
      </c>
      <c r="G4" s="27" t="s">
        <v>8614</v>
      </c>
      <c r="H4" s="27" t="s">
        <v>7177</v>
      </c>
    </row>
    <row r="5" spans="1:8" ht="409.6" x14ac:dyDescent="0.2">
      <c r="A5" s="27" t="s">
        <v>3719</v>
      </c>
      <c r="B5" s="21" t="s">
        <v>7186</v>
      </c>
      <c r="C5" s="27" t="s">
        <v>8615</v>
      </c>
      <c r="D5" s="27" t="s">
        <v>8616</v>
      </c>
      <c r="E5" s="27" t="s">
        <v>8617</v>
      </c>
      <c r="F5" s="27" t="s">
        <v>8618</v>
      </c>
      <c r="G5" s="27" t="s">
        <v>8619</v>
      </c>
      <c r="H5" s="27" t="s">
        <v>7177</v>
      </c>
    </row>
    <row r="6" spans="1:8" ht="409.6" x14ac:dyDescent="0.2">
      <c r="A6" s="27" t="s">
        <v>3947</v>
      </c>
      <c r="B6" s="21" t="s">
        <v>7186</v>
      </c>
      <c r="C6" s="27" t="s">
        <v>8620</v>
      </c>
      <c r="D6" s="27" t="s">
        <v>8621</v>
      </c>
      <c r="E6" s="27" t="s">
        <v>8622</v>
      </c>
      <c r="F6" s="27" t="s">
        <v>8623</v>
      </c>
      <c r="G6" s="27" t="s">
        <v>8624</v>
      </c>
      <c r="H6" s="27" t="s">
        <v>7177</v>
      </c>
    </row>
    <row r="7" spans="1:8" ht="409.6" x14ac:dyDescent="0.2">
      <c r="A7" s="27" t="s">
        <v>4135</v>
      </c>
      <c r="B7" s="21" t="s">
        <v>7186</v>
      </c>
      <c r="C7" s="27" t="s">
        <v>8625</v>
      </c>
      <c r="D7" s="27" t="s">
        <v>8626</v>
      </c>
      <c r="E7" s="27" t="s">
        <v>8627</v>
      </c>
      <c r="F7" s="27" t="s">
        <v>8628</v>
      </c>
      <c r="G7" s="27" t="s">
        <v>8629</v>
      </c>
      <c r="H7" s="27" t="s">
        <v>7177</v>
      </c>
    </row>
    <row r="8" spans="1:8" ht="409.6" x14ac:dyDescent="0.2">
      <c r="A8" s="29" t="s">
        <v>4336</v>
      </c>
      <c r="B8" s="22" t="s">
        <v>7187</v>
      </c>
      <c r="C8" s="29" t="s">
        <v>8630</v>
      </c>
      <c r="D8" s="29" t="s">
        <v>8631</v>
      </c>
      <c r="E8" s="29" t="s">
        <v>8632</v>
      </c>
      <c r="F8" s="29" t="s">
        <v>8633</v>
      </c>
      <c r="G8" s="29" t="s">
        <v>8634</v>
      </c>
      <c r="H8" s="29" t="s">
        <v>7177</v>
      </c>
    </row>
    <row r="9" spans="1:8" ht="409.6" x14ac:dyDescent="0.2">
      <c r="A9" s="29" t="s">
        <v>4569</v>
      </c>
      <c r="B9" s="22" t="s">
        <v>7187</v>
      </c>
      <c r="C9" s="29" t="s">
        <v>8635</v>
      </c>
      <c r="D9" s="29" t="s">
        <v>8636</v>
      </c>
      <c r="E9" s="29" t="s">
        <v>8637</v>
      </c>
      <c r="F9" s="29" t="s">
        <v>8638</v>
      </c>
      <c r="G9" s="29" t="s">
        <v>8639</v>
      </c>
      <c r="H9" s="29" t="s">
        <v>7177</v>
      </c>
    </row>
    <row r="10" spans="1:8" ht="409.6" x14ac:dyDescent="0.2">
      <c r="A10" s="29" t="s">
        <v>4776</v>
      </c>
      <c r="B10" s="22" t="s">
        <v>7187</v>
      </c>
      <c r="C10" s="29" t="s">
        <v>8640</v>
      </c>
      <c r="D10" s="29" t="s">
        <v>8641</v>
      </c>
      <c r="E10" s="29" t="s">
        <v>8642</v>
      </c>
      <c r="F10" s="29" t="s">
        <v>8643</v>
      </c>
      <c r="G10" s="29" t="s">
        <v>8644</v>
      </c>
      <c r="H10" s="29" t="s">
        <v>7177</v>
      </c>
    </row>
    <row r="11" spans="1:8" ht="409.6" x14ac:dyDescent="0.2">
      <c r="A11" s="30" t="s">
        <v>4995</v>
      </c>
      <c r="B11" s="23" t="s">
        <v>7187</v>
      </c>
      <c r="C11" s="30" t="s">
        <v>8645</v>
      </c>
      <c r="D11" s="30" t="s">
        <v>8646</v>
      </c>
      <c r="E11" s="30" t="s">
        <v>8647</v>
      </c>
      <c r="F11" s="30" t="s">
        <v>8648</v>
      </c>
      <c r="G11" s="30" t="s">
        <v>8649</v>
      </c>
      <c r="H11" s="30" t="s">
        <v>7177</v>
      </c>
    </row>
    <row r="12" spans="1:8" ht="409.6" x14ac:dyDescent="0.2">
      <c r="A12" s="30" t="s">
        <v>5246</v>
      </c>
      <c r="B12" s="23" t="s">
        <v>7187</v>
      </c>
      <c r="C12" s="30" t="s">
        <v>8650</v>
      </c>
      <c r="D12" s="30" t="s">
        <v>8651</v>
      </c>
      <c r="E12" s="30" t="s">
        <v>8652</v>
      </c>
      <c r="F12" s="30" t="s">
        <v>8653</v>
      </c>
      <c r="G12" s="30" t="s">
        <v>8654</v>
      </c>
      <c r="H12" s="30" t="s">
        <v>7177</v>
      </c>
    </row>
    <row r="13" spans="1:8" ht="409.6" x14ac:dyDescent="0.2">
      <c r="A13" s="30" t="s">
        <v>5448</v>
      </c>
      <c r="B13" s="23" t="s">
        <v>7187</v>
      </c>
      <c r="C13" s="30" t="s">
        <v>8655</v>
      </c>
      <c r="D13" s="30" t="s">
        <v>8656</v>
      </c>
      <c r="E13" s="30" t="s">
        <v>8657</v>
      </c>
      <c r="F13" s="30" t="s">
        <v>8658</v>
      </c>
      <c r="G13" s="30" t="s">
        <v>8659</v>
      </c>
      <c r="H13" s="30" t="s">
        <v>7177</v>
      </c>
    </row>
    <row r="14" spans="1:8" ht="266" x14ac:dyDescent="0.2">
      <c r="A14" s="31" t="s">
        <v>5774</v>
      </c>
      <c r="B14" s="24" t="s">
        <v>7188</v>
      </c>
      <c r="C14" s="31" t="s">
        <v>8660</v>
      </c>
      <c r="D14" s="31" t="s">
        <v>8661</v>
      </c>
      <c r="E14" s="31" t="s">
        <v>8662</v>
      </c>
      <c r="F14" s="31" t="s">
        <v>8663</v>
      </c>
      <c r="G14" s="31" t="s">
        <v>8664</v>
      </c>
      <c r="H14" s="31" t="s">
        <v>7177</v>
      </c>
    </row>
    <row r="15" spans="1:8" ht="342" x14ac:dyDescent="0.2">
      <c r="A15" s="31" t="s">
        <v>5874</v>
      </c>
      <c r="B15" s="24" t="s">
        <v>7188</v>
      </c>
      <c r="C15" s="31" t="s">
        <v>8665</v>
      </c>
      <c r="D15" s="31" t="s">
        <v>8666</v>
      </c>
      <c r="E15" s="31" t="s">
        <v>8667</v>
      </c>
      <c r="F15" s="31" t="s">
        <v>8668</v>
      </c>
      <c r="G15" s="31" t="s">
        <v>8669</v>
      </c>
      <c r="H15" s="31" t="s">
        <v>7177</v>
      </c>
    </row>
    <row r="16" spans="1:8" ht="409.6" x14ac:dyDescent="0.2">
      <c r="A16" s="31" t="s">
        <v>6000</v>
      </c>
      <c r="B16" s="24" t="s">
        <v>7188</v>
      </c>
      <c r="C16" s="31" t="s">
        <v>8670</v>
      </c>
      <c r="D16" s="31" t="s">
        <v>8671</v>
      </c>
      <c r="E16" s="31" t="s">
        <v>8672</v>
      </c>
      <c r="F16" s="31" t="s">
        <v>8673</v>
      </c>
      <c r="G16" s="31" t="s">
        <v>8674</v>
      </c>
      <c r="H16" s="31" t="s">
        <v>7177</v>
      </c>
    </row>
    <row r="17" spans="1:8" ht="304" x14ac:dyDescent="0.2">
      <c r="A17" s="31" t="s">
        <v>6155</v>
      </c>
      <c r="B17" s="24" t="s">
        <v>7188</v>
      </c>
      <c r="C17" s="31" t="s">
        <v>8675</v>
      </c>
      <c r="D17" s="31" t="s">
        <v>8676</v>
      </c>
      <c r="E17" s="31" t="s">
        <v>8677</v>
      </c>
      <c r="F17" s="31" t="s">
        <v>8678</v>
      </c>
      <c r="G17" s="31" t="s">
        <v>8679</v>
      </c>
      <c r="H17" s="31" t="s">
        <v>7177</v>
      </c>
    </row>
    <row r="18" spans="1:8" ht="304" x14ac:dyDescent="0.2">
      <c r="A18" s="31" t="s">
        <v>6330</v>
      </c>
      <c r="B18" s="24" t="s">
        <v>7188</v>
      </c>
      <c r="C18" s="31" t="s">
        <v>8680</v>
      </c>
      <c r="D18" s="31" t="s">
        <v>8681</v>
      </c>
      <c r="E18" s="31" t="s">
        <v>8682</v>
      </c>
      <c r="F18" s="31" t="s">
        <v>8683</v>
      </c>
      <c r="G18" s="31" t="s">
        <v>8684</v>
      </c>
      <c r="H18" s="31" t="s">
        <v>7177</v>
      </c>
    </row>
    <row r="19" spans="1:8" ht="409.6" x14ac:dyDescent="0.2">
      <c r="A19" s="32" t="s">
        <v>6429</v>
      </c>
      <c r="B19" s="25" t="s">
        <v>7188</v>
      </c>
      <c r="C19" s="32" t="s">
        <v>8685</v>
      </c>
      <c r="D19" s="32" t="s">
        <v>8686</v>
      </c>
      <c r="E19" s="32" t="s">
        <v>8687</v>
      </c>
      <c r="F19" s="32" t="s">
        <v>8688</v>
      </c>
      <c r="G19" s="32" t="s">
        <v>8689</v>
      </c>
      <c r="H19" s="32" t="s">
        <v>7177</v>
      </c>
    </row>
    <row r="20" spans="1:8" ht="409.6" x14ac:dyDescent="0.2">
      <c r="A20" s="32" t="s">
        <v>6695</v>
      </c>
      <c r="B20" s="25" t="s">
        <v>7188</v>
      </c>
      <c r="C20" s="32" t="s">
        <v>8690</v>
      </c>
      <c r="D20" s="32" t="s">
        <v>8691</v>
      </c>
      <c r="E20" s="32" t="s">
        <v>8692</v>
      </c>
      <c r="F20" s="32" t="s">
        <v>8693</v>
      </c>
      <c r="G20" s="32" t="s">
        <v>8694</v>
      </c>
      <c r="H20" s="32" t="s">
        <v>7177</v>
      </c>
    </row>
    <row r="21" spans="1:8" ht="409.6" x14ac:dyDescent="0.2">
      <c r="A21" s="33" t="s">
        <v>6915</v>
      </c>
      <c r="B21" s="26" t="s">
        <v>7188</v>
      </c>
      <c r="C21" s="33" t="s">
        <v>8695</v>
      </c>
      <c r="D21" s="33" t="s">
        <v>8696</v>
      </c>
      <c r="E21" s="33" t="s">
        <v>8697</v>
      </c>
      <c r="F21" s="33" t="s">
        <v>8698</v>
      </c>
      <c r="G21" s="33" t="s">
        <v>8699</v>
      </c>
      <c r="H21" s="33" t="s">
        <v>7177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0"/>
  <sheetViews>
    <sheetView tabSelected="1" workbookViewId="0">
      <pane xSplit="3" ySplit="1" topLeftCell="D2" activePane="bottomRight" state="frozen"/>
      <selection pane="topRight"/>
      <selection pane="bottomLeft"/>
      <selection pane="bottomRight" activeCell="D2" sqref="D2"/>
    </sheetView>
  </sheetViews>
  <sheetFormatPr baseColWidth="10" defaultColWidth="8.6640625" defaultRowHeight="15" x14ac:dyDescent="0.2"/>
  <cols>
    <col min="1" max="1" width="7.6640625" customWidth="1"/>
    <col min="2" max="2" width="24" customWidth="1"/>
    <col min="3" max="3" width="8.5" customWidth="1"/>
    <col min="4" max="9" width="4.1640625" customWidth="1"/>
    <col min="10" max="10" width="10" customWidth="1"/>
    <col min="11" max="11" width="99" customWidth="1"/>
    <col min="12" max="12" width="59" customWidth="1"/>
  </cols>
  <sheetData>
    <row r="1" spans="1:12" s="20" customFormat="1" ht="42" x14ac:dyDescent="0.25">
      <c r="A1" s="9" t="s">
        <v>3340</v>
      </c>
      <c r="B1" s="9" t="s">
        <v>28</v>
      </c>
      <c r="C1" s="9" t="s">
        <v>30</v>
      </c>
      <c r="D1" s="9" t="s">
        <v>7189</v>
      </c>
      <c r="E1" s="9" t="s">
        <v>7190</v>
      </c>
      <c r="F1" s="9" t="s">
        <v>7191</v>
      </c>
      <c r="G1" s="9" t="s">
        <v>7192</v>
      </c>
      <c r="H1" s="9" t="s">
        <v>7193</v>
      </c>
      <c r="I1" s="9" t="s">
        <v>7194</v>
      </c>
      <c r="J1" s="9" t="s">
        <v>106</v>
      </c>
      <c r="K1" s="9" t="s">
        <v>7195</v>
      </c>
      <c r="L1" s="9" t="s">
        <v>7196</v>
      </c>
    </row>
    <row r="2" spans="1:12" ht="209" x14ac:dyDescent="0.2">
      <c r="A2" s="6" t="s">
        <v>2825</v>
      </c>
      <c r="B2" s="5" t="s">
        <v>114</v>
      </c>
      <c r="C2" s="6">
        <v>2025</v>
      </c>
      <c r="D2" s="15">
        <v>2</v>
      </c>
      <c r="E2" s="15">
        <v>2</v>
      </c>
      <c r="F2" s="34">
        <v>1</v>
      </c>
      <c r="G2" s="34">
        <v>1</v>
      </c>
      <c r="H2" s="15">
        <v>2</v>
      </c>
      <c r="I2" s="15">
        <v>2</v>
      </c>
      <c r="J2" s="7">
        <f t="shared" ref="J2:J33" si="0">SUM(D2:I2)</f>
        <v>10</v>
      </c>
      <c r="K2" s="5" t="s">
        <v>8700</v>
      </c>
      <c r="L2" s="5" t="s">
        <v>8701</v>
      </c>
    </row>
    <row r="3" spans="1:12" ht="190" x14ac:dyDescent="0.2">
      <c r="A3" s="6" t="s">
        <v>2833</v>
      </c>
      <c r="B3" s="5" t="s">
        <v>125</v>
      </c>
      <c r="C3" s="6">
        <v>2026</v>
      </c>
      <c r="D3" s="15">
        <v>2</v>
      </c>
      <c r="E3" s="15">
        <v>2</v>
      </c>
      <c r="F3" s="15">
        <v>2</v>
      </c>
      <c r="G3" s="15">
        <v>2</v>
      </c>
      <c r="H3" s="15">
        <v>2</v>
      </c>
      <c r="I3" s="15">
        <v>2</v>
      </c>
      <c r="J3" s="7">
        <f t="shared" si="0"/>
        <v>12</v>
      </c>
      <c r="K3" s="5" t="s">
        <v>8702</v>
      </c>
      <c r="L3" s="5" t="s">
        <v>8703</v>
      </c>
    </row>
    <row r="4" spans="1:12" ht="190" x14ac:dyDescent="0.2">
      <c r="A4" s="6" t="s">
        <v>2841</v>
      </c>
      <c r="B4" s="5" t="s">
        <v>140</v>
      </c>
      <c r="C4" s="6">
        <v>2026</v>
      </c>
      <c r="D4" s="15">
        <v>2</v>
      </c>
      <c r="E4" s="15">
        <v>2</v>
      </c>
      <c r="F4" s="15">
        <v>2</v>
      </c>
      <c r="G4" s="15">
        <v>2</v>
      </c>
      <c r="H4" s="15">
        <v>2</v>
      </c>
      <c r="I4" s="15">
        <v>2</v>
      </c>
      <c r="J4" s="7">
        <f t="shared" si="0"/>
        <v>12</v>
      </c>
      <c r="K4" s="5" t="s">
        <v>8704</v>
      </c>
      <c r="L4" s="5" t="s">
        <v>8705</v>
      </c>
    </row>
    <row r="5" spans="1:12" ht="228" x14ac:dyDescent="0.2">
      <c r="A5" s="6" t="s">
        <v>2849</v>
      </c>
      <c r="B5" s="5" t="s">
        <v>150</v>
      </c>
      <c r="C5" s="6">
        <v>2026</v>
      </c>
      <c r="D5" s="15">
        <v>2</v>
      </c>
      <c r="E5" s="15">
        <v>2</v>
      </c>
      <c r="F5" s="34">
        <v>1</v>
      </c>
      <c r="G5" s="15">
        <v>2</v>
      </c>
      <c r="H5" s="15">
        <v>2</v>
      </c>
      <c r="I5" s="15">
        <v>2</v>
      </c>
      <c r="J5" s="7">
        <f t="shared" si="0"/>
        <v>11</v>
      </c>
      <c r="K5" s="5" t="s">
        <v>8706</v>
      </c>
      <c r="L5" s="5" t="s">
        <v>8707</v>
      </c>
    </row>
    <row r="6" spans="1:12" ht="247" x14ac:dyDescent="0.2">
      <c r="A6" s="6" t="s">
        <v>2857</v>
      </c>
      <c r="B6" s="5" t="s">
        <v>159</v>
      </c>
      <c r="C6" s="6">
        <v>2026</v>
      </c>
      <c r="D6" s="15">
        <v>2</v>
      </c>
      <c r="E6" s="15">
        <v>2</v>
      </c>
      <c r="F6" s="15">
        <v>2</v>
      </c>
      <c r="G6" s="15">
        <v>2</v>
      </c>
      <c r="H6" s="15">
        <v>2</v>
      </c>
      <c r="I6" s="15">
        <v>2</v>
      </c>
      <c r="J6" s="7">
        <f t="shared" si="0"/>
        <v>12</v>
      </c>
      <c r="K6" s="5" t="s">
        <v>8708</v>
      </c>
      <c r="L6" s="5" t="s">
        <v>8709</v>
      </c>
    </row>
    <row r="7" spans="1:12" ht="228" x14ac:dyDescent="0.2">
      <c r="A7" s="6" t="s">
        <v>2865</v>
      </c>
      <c r="B7" s="5" t="s">
        <v>172</v>
      </c>
      <c r="C7" s="6">
        <v>2025</v>
      </c>
      <c r="D7" s="15">
        <v>2</v>
      </c>
      <c r="E7" s="15">
        <v>2</v>
      </c>
      <c r="F7" s="15">
        <v>2</v>
      </c>
      <c r="G7" s="15">
        <v>2</v>
      </c>
      <c r="H7" s="15">
        <v>2</v>
      </c>
      <c r="I7" s="34">
        <v>1</v>
      </c>
      <c r="J7" s="7">
        <f t="shared" si="0"/>
        <v>11</v>
      </c>
      <c r="K7" s="5" t="s">
        <v>8710</v>
      </c>
      <c r="L7" s="5" t="s">
        <v>8711</v>
      </c>
    </row>
    <row r="8" spans="1:12" ht="247" x14ac:dyDescent="0.2">
      <c r="A8" s="6" t="s">
        <v>2873</v>
      </c>
      <c r="B8" s="5" t="s">
        <v>177</v>
      </c>
      <c r="C8" s="6">
        <v>2025</v>
      </c>
      <c r="D8" s="15">
        <v>2</v>
      </c>
      <c r="E8" s="15">
        <v>2</v>
      </c>
      <c r="F8" s="34">
        <v>1</v>
      </c>
      <c r="G8" s="15">
        <v>2</v>
      </c>
      <c r="H8" s="15">
        <v>2</v>
      </c>
      <c r="I8" s="34">
        <v>1</v>
      </c>
      <c r="J8" s="7">
        <f t="shared" si="0"/>
        <v>10</v>
      </c>
      <c r="K8" s="5" t="s">
        <v>8712</v>
      </c>
      <c r="L8" s="5" t="s">
        <v>8713</v>
      </c>
    </row>
    <row r="9" spans="1:12" ht="323" x14ac:dyDescent="0.2">
      <c r="A9" s="6" t="s">
        <v>2881</v>
      </c>
      <c r="B9" s="5" t="s">
        <v>231</v>
      </c>
      <c r="C9" s="6">
        <v>2026</v>
      </c>
      <c r="D9" s="15">
        <v>2</v>
      </c>
      <c r="E9" s="15">
        <v>2</v>
      </c>
      <c r="F9" s="15">
        <v>2</v>
      </c>
      <c r="G9" s="15">
        <v>2</v>
      </c>
      <c r="H9" s="15">
        <v>2</v>
      </c>
      <c r="I9" s="15">
        <v>2</v>
      </c>
      <c r="J9" s="7">
        <f t="shared" si="0"/>
        <v>12</v>
      </c>
      <c r="K9" s="5" t="s">
        <v>8714</v>
      </c>
      <c r="L9" s="5" t="s">
        <v>8715</v>
      </c>
    </row>
    <row r="10" spans="1:12" ht="361" x14ac:dyDescent="0.2">
      <c r="A10" s="6" t="s">
        <v>2889</v>
      </c>
      <c r="B10" s="5" t="s">
        <v>236</v>
      </c>
      <c r="C10" s="6">
        <v>2026</v>
      </c>
      <c r="D10" s="15">
        <v>2</v>
      </c>
      <c r="E10" s="15">
        <v>2</v>
      </c>
      <c r="F10" s="15">
        <v>2</v>
      </c>
      <c r="G10" s="15">
        <v>2</v>
      </c>
      <c r="H10" s="15">
        <v>2</v>
      </c>
      <c r="I10" s="15">
        <v>2</v>
      </c>
      <c r="J10" s="7">
        <f t="shared" si="0"/>
        <v>12</v>
      </c>
      <c r="K10" s="5" t="s">
        <v>8716</v>
      </c>
      <c r="L10" s="5" t="s">
        <v>8717</v>
      </c>
    </row>
    <row r="11" spans="1:12" ht="380" x14ac:dyDescent="0.2">
      <c r="A11" s="6" t="s">
        <v>2897</v>
      </c>
      <c r="B11" s="5" t="s">
        <v>49</v>
      </c>
      <c r="C11" s="6">
        <v>2026</v>
      </c>
      <c r="D11" s="15">
        <v>2</v>
      </c>
      <c r="E11" s="15">
        <v>2</v>
      </c>
      <c r="F11" s="34">
        <v>1</v>
      </c>
      <c r="G11" s="15">
        <v>2</v>
      </c>
      <c r="H11" s="15">
        <v>2</v>
      </c>
      <c r="I11" s="34">
        <v>1</v>
      </c>
      <c r="J11" s="7">
        <f t="shared" si="0"/>
        <v>10</v>
      </c>
      <c r="K11" s="5" t="s">
        <v>8718</v>
      </c>
      <c r="L11" s="5" t="s">
        <v>8719</v>
      </c>
    </row>
    <row r="12" spans="1:12" ht="361" x14ac:dyDescent="0.2">
      <c r="A12" s="6" t="s">
        <v>2904</v>
      </c>
      <c r="B12" s="5" t="s">
        <v>244</v>
      </c>
      <c r="C12" s="6">
        <v>2026</v>
      </c>
      <c r="D12" s="15">
        <v>2</v>
      </c>
      <c r="E12" s="15">
        <v>2</v>
      </c>
      <c r="F12" s="34">
        <v>1</v>
      </c>
      <c r="G12" s="15">
        <v>2</v>
      </c>
      <c r="H12" s="17">
        <v>0</v>
      </c>
      <c r="I12" s="34">
        <v>1</v>
      </c>
      <c r="J12" s="7">
        <f t="shared" si="0"/>
        <v>8</v>
      </c>
      <c r="K12" s="5" t="s">
        <v>8720</v>
      </c>
      <c r="L12" s="5" t="s">
        <v>8721</v>
      </c>
    </row>
    <row r="13" spans="1:12" ht="361" x14ac:dyDescent="0.2">
      <c r="A13" s="6" t="s">
        <v>2912</v>
      </c>
      <c r="B13" s="5" t="s">
        <v>249</v>
      </c>
      <c r="C13" s="6">
        <v>2026</v>
      </c>
      <c r="D13" s="15">
        <v>2</v>
      </c>
      <c r="E13" s="15">
        <v>2</v>
      </c>
      <c r="F13" s="34">
        <v>1</v>
      </c>
      <c r="G13" s="15">
        <v>2</v>
      </c>
      <c r="H13" s="34">
        <v>1</v>
      </c>
      <c r="I13" s="34">
        <v>1</v>
      </c>
      <c r="J13" s="7">
        <f t="shared" si="0"/>
        <v>9</v>
      </c>
      <c r="K13" s="5" t="s">
        <v>8722</v>
      </c>
      <c r="L13" s="5" t="s">
        <v>8723</v>
      </c>
    </row>
    <row r="14" spans="1:12" ht="398" x14ac:dyDescent="0.2">
      <c r="A14" s="6" t="s">
        <v>2920</v>
      </c>
      <c r="B14" s="5" t="s">
        <v>320</v>
      </c>
      <c r="C14" s="6">
        <v>2026</v>
      </c>
      <c r="D14" s="15">
        <v>2</v>
      </c>
      <c r="E14" s="15">
        <v>2</v>
      </c>
      <c r="F14" s="34">
        <v>2</v>
      </c>
      <c r="G14" s="15">
        <v>2</v>
      </c>
      <c r="H14" s="15">
        <v>2</v>
      </c>
      <c r="I14" s="34">
        <v>2</v>
      </c>
      <c r="J14" s="7">
        <f t="shared" si="0"/>
        <v>12</v>
      </c>
      <c r="K14" s="5" t="s">
        <v>8724</v>
      </c>
      <c r="L14" s="5" t="s">
        <v>8725</v>
      </c>
    </row>
    <row r="15" spans="1:12" ht="380" x14ac:dyDescent="0.2">
      <c r="A15" s="6" t="s">
        <v>2928</v>
      </c>
      <c r="B15" s="5" t="s">
        <v>327</v>
      </c>
      <c r="C15" s="6">
        <v>2025</v>
      </c>
      <c r="D15" s="15">
        <v>2</v>
      </c>
      <c r="E15" s="15">
        <v>1</v>
      </c>
      <c r="F15" s="15">
        <v>1</v>
      </c>
      <c r="G15" s="15">
        <v>2</v>
      </c>
      <c r="H15" s="15">
        <v>1</v>
      </c>
      <c r="I15" s="15">
        <v>1</v>
      </c>
      <c r="J15" s="7">
        <f t="shared" si="0"/>
        <v>8</v>
      </c>
      <c r="K15" s="5" t="s">
        <v>8726</v>
      </c>
      <c r="L15" s="5" t="s">
        <v>8727</v>
      </c>
    </row>
    <row r="16" spans="1:12" ht="323" x14ac:dyDescent="0.2">
      <c r="A16" s="6" t="s">
        <v>2936</v>
      </c>
      <c r="B16" s="5" t="s">
        <v>331</v>
      </c>
      <c r="C16" s="6">
        <v>2025</v>
      </c>
      <c r="D16" s="15">
        <v>2</v>
      </c>
      <c r="E16" s="34">
        <v>2</v>
      </c>
      <c r="F16" s="34">
        <v>2</v>
      </c>
      <c r="G16" s="15">
        <v>2</v>
      </c>
      <c r="H16" s="34">
        <v>2</v>
      </c>
      <c r="I16" s="34">
        <v>2</v>
      </c>
      <c r="J16" s="7">
        <f t="shared" si="0"/>
        <v>12</v>
      </c>
      <c r="K16" s="5" t="s">
        <v>8728</v>
      </c>
      <c r="L16" s="5" t="s">
        <v>8729</v>
      </c>
    </row>
    <row r="17" spans="1:12" ht="380" x14ac:dyDescent="0.2">
      <c r="A17" s="6" t="s">
        <v>2944</v>
      </c>
      <c r="B17" s="5" t="s">
        <v>344</v>
      </c>
      <c r="C17" s="6">
        <v>2026</v>
      </c>
      <c r="D17" s="15">
        <v>2</v>
      </c>
      <c r="E17" s="15">
        <v>2</v>
      </c>
      <c r="F17" s="15">
        <v>2</v>
      </c>
      <c r="G17" s="15">
        <v>2</v>
      </c>
      <c r="H17" s="15">
        <v>2</v>
      </c>
      <c r="I17" s="15">
        <v>2</v>
      </c>
      <c r="J17" s="7">
        <f t="shared" si="0"/>
        <v>12</v>
      </c>
      <c r="K17" s="5" t="s">
        <v>8730</v>
      </c>
      <c r="L17" s="5" t="s">
        <v>8731</v>
      </c>
    </row>
    <row r="18" spans="1:12" ht="361" x14ac:dyDescent="0.2">
      <c r="A18" s="6" t="s">
        <v>2952</v>
      </c>
      <c r="B18" s="5" t="s">
        <v>360</v>
      </c>
      <c r="C18" s="6">
        <v>2026</v>
      </c>
      <c r="D18" s="15">
        <v>2</v>
      </c>
      <c r="E18" s="15">
        <v>2</v>
      </c>
      <c r="F18" s="15">
        <v>2</v>
      </c>
      <c r="G18" s="15">
        <v>2</v>
      </c>
      <c r="H18" s="15">
        <v>2</v>
      </c>
      <c r="I18" s="15">
        <v>1</v>
      </c>
      <c r="J18" s="7">
        <f t="shared" si="0"/>
        <v>11</v>
      </c>
      <c r="K18" s="5" t="s">
        <v>8732</v>
      </c>
      <c r="L18" s="5" t="s">
        <v>8733</v>
      </c>
    </row>
    <row r="19" spans="1:12" ht="361" x14ac:dyDescent="0.2">
      <c r="A19" s="6" t="s">
        <v>2959</v>
      </c>
      <c r="B19" s="5" t="s">
        <v>381</v>
      </c>
      <c r="C19" s="6">
        <v>2025</v>
      </c>
      <c r="D19" s="15">
        <v>2</v>
      </c>
      <c r="E19" s="15">
        <v>2</v>
      </c>
      <c r="F19" s="15">
        <v>2</v>
      </c>
      <c r="G19" s="15">
        <v>2</v>
      </c>
      <c r="H19" s="15">
        <v>2</v>
      </c>
      <c r="I19" s="34">
        <v>2</v>
      </c>
      <c r="J19" s="7">
        <f t="shared" si="0"/>
        <v>12</v>
      </c>
      <c r="K19" s="5" t="s">
        <v>8734</v>
      </c>
      <c r="L19" s="5" t="s">
        <v>8735</v>
      </c>
    </row>
    <row r="20" spans="1:12" ht="304" x14ac:dyDescent="0.2">
      <c r="A20" s="6" t="s">
        <v>2967</v>
      </c>
      <c r="B20" s="5" t="s">
        <v>392</v>
      </c>
      <c r="C20" s="6">
        <v>2025</v>
      </c>
      <c r="D20" s="15">
        <v>2</v>
      </c>
      <c r="E20" s="15">
        <v>2</v>
      </c>
      <c r="F20" s="15">
        <v>1</v>
      </c>
      <c r="G20" s="15">
        <v>2</v>
      </c>
      <c r="H20" s="15">
        <v>2</v>
      </c>
      <c r="I20" s="15">
        <v>1</v>
      </c>
      <c r="J20" s="7">
        <f t="shared" si="0"/>
        <v>10</v>
      </c>
      <c r="K20" s="5" t="s">
        <v>8736</v>
      </c>
      <c r="L20" s="5" t="s">
        <v>8737</v>
      </c>
    </row>
    <row r="21" spans="1:12" ht="361" x14ac:dyDescent="0.2">
      <c r="A21" s="6" t="s">
        <v>2975</v>
      </c>
      <c r="B21" s="5" t="s">
        <v>396</v>
      </c>
      <c r="C21" s="6">
        <v>2025</v>
      </c>
      <c r="D21" s="15">
        <v>2</v>
      </c>
      <c r="E21" s="15">
        <v>2</v>
      </c>
      <c r="F21" s="34">
        <v>2</v>
      </c>
      <c r="G21" s="15">
        <v>2</v>
      </c>
      <c r="H21" s="15">
        <v>2</v>
      </c>
      <c r="I21" s="34">
        <v>1</v>
      </c>
      <c r="J21" s="7">
        <f t="shared" si="0"/>
        <v>11</v>
      </c>
      <c r="K21" s="5" t="s">
        <v>8738</v>
      </c>
      <c r="L21" s="5" t="s">
        <v>8739</v>
      </c>
    </row>
    <row r="22" spans="1:12" ht="342" x14ac:dyDescent="0.2">
      <c r="A22" s="6" t="s">
        <v>2983</v>
      </c>
      <c r="B22" s="5" t="s">
        <v>400</v>
      </c>
      <c r="C22" s="6">
        <v>2026</v>
      </c>
      <c r="D22" s="15">
        <v>2</v>
      </c>
      <c r="E22" s="15">
        <v>2</v>
      </c>
      <c r="F22" s="15">
        <v>2</v>
      </c>
      <c r="G22" s="15">
        <v>2</v>
      </c>
      <c r="H22" s="15">
        <v>2</v>
      </c>
      <c r="I22" s="34">
        <v>2</v>
      </c>
      <c r="J22" s="7">
        <f t="shared" si="0"/>
        <v>12</v>
      </c>
      <c r="K22" s="5" t="s">
        <v>8740</v>
      </c>
      <c r="L22" s="5" t="s">
        <v>8741</v>
      </c>
    </row>
    <row r="23" spans="1:12" ht="361" x14ac:dyDescent="0.2">
      <c r="A23" s="6" t="s">
        <v>2989</v>
      </c>
      <c r="B23" s="5" t="s">
        <v>409</v>
      </c>
      <c r="C23" s="6">
        <v>2026</v>
      </c>
      <c r="D23" s="15">
        <v>2</v>
      </c>
      <c r="E23" s="15">
        <v>1</v>
      </c>
      <c r="F23" s="15">
        <v>1</v>
      </c>
      <c r="G23" s="15">
        <v>2</v>
      </c>
      <c r="H23" s="15">
        <v>1</v>
      </c>
      <c r="I23" s="15">
        <v>2</v>
      </c>
      <c r="J23" s="7">
        <f t="shared" si="0"/>
        <v>9</v>
      </c>
      <c r="K23" s="5" t="s">
        <v>8742</v>
      </c>
      <c r="L23" s="5" t="s">
        <v>8743</v>
      </c>
    </row>
    <row r="24" spans="1:12" ht="361" x14ac:dyDescent="0.2">
      <c r="A24" s="6" t="s">
        <v>2996</v>
      </c>
      <c r="B24" s="5" t="s">
        <v>417</v>
      </c>
      <c r="C24" s="6">
        <v>2026</v>
      </c>
      <c r="D24" s="15">
        <v>2</v>
      </c>
      <c r="E24" s="34">
        <v>2</v>
      </c>
      <c r="F24" s="34">
        <v>2</v>
      </c>
      <c r="G24" s="15">
        <v>2</v>
      </c>
      <c r="H24" s="34">
        <v>2</v>
      </c>
      <c r="I24" s="15">
        <v>2</v>
      </c>
      <c r="J24" s="7">
        <f t="shared" si="0"/>
        <v>12</v>
      </c>
      <c r="K24" s="5" t="s">
        <v>8744</v>
      </c>
      <c r="L24" s="5" t="s">
        <v>8745</v>
      </c>
    </row>
    <row r="25" spans="1:12" ht="361" x14ac:dyDescent="0.2">
      <c r="A25" s="6" t="s">
        <v>3004</v>
      </c>
      <c r="B25" s="5" t="s">
        <v>424</v>
      </c>
      <c r="C25" s="6">
        <v>2024</v>
      </c>
      <c r="D25" s="15">
        <v>2</v>
      </c>
      <c r="E25" s="15">
        <v>2</v>
      </c>
      <c r="F25" s="15">
        <v>1</v>
      </c>
      <c r="G25" s="15">
        <v>1</v>
      </c>
      <c r="H25" s="15">
        <v>2</v>
      </c>
      <c r="I25" s="15">
        <v>1</v>
      </c>
      <c r="J25" s="7">
        <f t="shared" si="0"/>
        <v>9</v>
      </c>
      <c r="K25" s="5" t="s">
        <v>8746</v>
      </c>
      <c r="L25" s="5" t="s">
        <v>8747</v>
      </c>
    </row>
    <row r="26" spans="1:12" ht="342" x14ac:dyDescent="0.2">
      <c r="A26" s="6" t="s">
        <v>3012</v>
      </c>
      <c r="B26" s="5" t="s">
        <v>441</v>
      </c>
      <c r="C26" s="6">
        <v>2025</v>
      </c>
      <c r="D26" s="15">
        <v>2</v>
      </c>
      <c r="E26" s="15">
        <v>2</v>
      </c>
      <c r="F26" s="34">
        <v>2</v>
      </c>
      <c r="G26" s="34">
        <v>1</v>
      </c>
      <c r="H26" s="15">
        <v>2</v>
      </c>
      <c r="I26" s="34">
        <v>2</v>
      </c>
      <c r="J26" s="7">
        <f t="shared" si="0"/>
        <v>11</v>
      </c>
      <c r="K26" s="5" t="s">
        <v>8748</v>
      </c>
      <c r="L26" s="5" t="s">
        <v>8749</v>
      </c>
    </row>
    <row r="27" spans="1:12" ht="266" x14ac:dyDescent="0.2">
      <c r="A27" s="6" t="s">
        <v>3020</v>
      </c>
      <c r="B27" s="5" t="s">
        <v>450</v>
      </c>
      <c r="C27" s="6">
        <v>2026</v>
      </c>
      <c r="D27" s="15">
        <v>2</v>
      </c>
      <c r="E27" s="15">
        <v>2</v>
      </c>
      <c r="F27" s="15">
        <v>2</v>
      </c>
      <c r="G27" s="34">
        <v>2</v>
      </c>
      <c r="H27" s="15">
        <v>2</v>
      </c>
      <c r="I27" s="15">
        <v>2</v>
      </c>
      <c r="J27" s="7">
        <f t="shared" si="0"/>
        <v>12</v>
      </c>
      <c r="K27" s="5" t="s">
        <v>8750</v>
      </c>
      <c r="L27" s="5" t="s">
        <v>8751</v>
      </c>
    </row>
    <row r="28" spans="1:12" ht="342" x14ac:dyDescent="0.2">
      <c r="A28" s="6" t="s">
        <v>3028</v>
      </c>
      <c r="B28" s="5" t="s">
        <v>470</v>
      </c>
      <c r="C28" s="6">
        <v>2026</v>
      </c>
      <c r="D28" s="15">
        <v>2</v>
      </c>
      <c r="E28" s="15">
        <v>2</v>
      </c>
      <c r="F28" s="15">
        <v>1</v>
      </c>
      <c r="G28" s="15">
        <v>1</v>
      </c>
      <c r="H28" s="15">
        <v>2</v>
      </c>
      <c r="I28" s="15">
        <v>1</v>
      </c>
      <c r="J28" s="7">
        <f t="shared" si="0"/>
        <v>9</v>
      </c>
      <c r="K28" s="5" t="s">
        <v>8752</v>
      </c>
      <c r="L28" s="5" t="s">
        <v>8753</v>
      </c>
    </row>
    <row r="29" spans="1:12" ht="342" x14ac:dyDescent="0.2">
      <c r="A29" s="6" t="s">
        <v>3035</v>
      </c>
      <c r="B29" s="5" t="s">
        <v>474</v>
      </c>
      <c r="C29" s="6">
        <v>2024</v>
      </c>
      <c r="D29" s="15">
        <v>2</v>
      </c>
      <c r="E29" s="15">
        <v>2</v>
      </c>
      <c r="F29" s="34">
        <v>1</v>
      </c>
      <c r="G29" s="34">
        <v>1</v>
      </c>
      <c r="H29" s="15">
        <v>2</v>
      </c>
      <c r="I29" s="34">
        <v>1</v>
      </c>
      <c r="J29" s="7">
        <f t="shared" si="0"/>
        <v>9</v>
      </c>
      <c r="K29" s="5" t="s">
        <v>8754</v>
      </c>
      <c r="L29" s="5" t="s">
        <v>8755</v>
      </c>
    </row>
    <row r="30" spans="1:12" ht="323" x14ac:dyDescent="0.2">
      <c r="A30" s="6" t="s">
        <v>3043</v>
      </c>
      <c r="B30" s="5" t="s">
        <v>478</v>
      </c>
      <c r="C30" s="6">
        <v>2026</v>
      </c>
      <c r="D30" s="15">
        <v>2</v>
      </c>
      <c r="E30" s="15">
        <v>2</v>
      </c>
      <c r="F30" s="34">
        <v>2</v>
      </c>
      <c r="G30" s="34">
        <v>2</v>
      </c>
      <c r="H30" s="15">
        <v>2</v>
      </c>
      <c r="I30" s="34">
        <v>2</v>
      </c>
      <c r="J30" s="7">
        <f t="shared" si="0"/>
        <v>12</v>
      </c>
      <c r="K30" s="5" t="s">
        <v>8756</v>
      </c>
      <c r="L30" s="5" t="s">
        <v>8757</v>
      </c>
    </row>
    <row r="31" spans="1:12" ht="304" x14ac:dyDescent="0.2">
      <c r="A31" s="6" t="s">
        <v>3051</v>
      </c>
      <c r="B31" s="5" t="s">
        <v>500</v>
      </c>
      <c r="C31" s="6">
        <v>2025</v>
      </c>
      <c r="D31" s="15">
        <v>2</v>
      </c>
      <c r="E31" s="15">
        <v>2</v>
      </c>
      <c r="F31" s="15">
        <v>1</v>
      </c>
      <c r="G31" s="15">
        <v>2</v>
      </c>
      <c r="H31" s="15">
        <v>2</v>
      </c>
      <c r="I31" s="15">
        <v>2</v>
      </c>
      <c r="J31" s="7">
        <f t="shared" si="0"/>
        <v>11</v>
      </c>
      <c r="K31" s="5" t="s">
        <v>8758</v>
      </c>
      <c r="L31" s="5" t="s">
        <v>8759</v>
      </c>
    </row>
    <row r="32" spans="1:12" ht="361" x14ac:dyDescent="0.2">
      <c r="A32" s="6" t="s">
        <v>3058</v>
      </c>
      <c r="B32" s="5" t="s">
        <v>508</v>
      </c>
      <c r="C32" s="6">
        <v>2025</v>
      </c>
      <c r="D32" s="15">
        <v>2</v>
      </c>
      <c r="E32" s="15">
        <v>1</v>
      </c>
      <c r="F32" s="34">
        <v>1</v>
      </c>
      <c r="G32" s="15">
        <v>2</v>
      </c>
      <c r="H32" s="15">
        <v>1</v>
      </c>
      <c r="I32" s="15">
        <v>1</v>
      </c>
      <c r="J32" s="7">
        <f t="shared" si="0"/>
        <v>8</v>
      </c>
      <c r="K32" s="5" t="s">
        <v>8760</v>
      </c>
      <c r="L32" s="5" t="s">
        <v>8761</v>
      </c>
    </row>
    <row r="33" spans="1:12" ht="323" x14ac:dyDescent="0.2">
      <c r="A33" s="6" t="s">
        <v>3065</v>
      </c>
      <c r="B33" s="5" t="s">
        <v>528</v>
      </c>
      <c r="C33" s="6">
        <v>2026</v>
      </c>
      <c r="D33" s="15">
        <v>2</v>
      </c>
      <c r="E33" s="34">
        <v>2</v>
      </c>
      <c r="F33" s="34">
        <v>1</v>
      </c>
      <c r="G33" s="15">
        <v>2</v>
      </c>
      <c r="H33" s="34">
        <v>2</v>
      </c>
      <c r="I33" s="34">
        <v>2</v>
      </c>
      <c r="J33" s="7">
        <f t="shared" si="0"/>
        <v>11</v>
      </c>
      <c r="K33" s="5" t="s">
        <v>8762</v>
      </c>
      <c r="L33" s="5" t="s">
        <v>8763</v>
      </c>
    </row>
    <row r="34" spans="1:12" ht="304" x14ac:dyDescent="0.2">
      <c r="A34" s="6" t="s">
        <v>3072</v>
      </c>
      <c r="B34" s="5" t="s">
        <v>537</v>
      </c>
      <c r="C34" s="6">
        <v>2026</v>
      </c>
      <c r="D34" s="15">
        <v>2</v>
      </c>
      <c r="E34" s="15">
        <v>2</v>
      </c>
      <c r="F34" s="34">
        <v>2</v>
      </c>
      <c r="G34" s="15">
        <v>2</v>
      </c>
      <c r="H34" s="15">
        <v>2</v>
      </c>
      <c r="I34" s="15">
        <v>2</v>
      </c>
      <c r="J34" s="7">
        <f t="shared" ref="J34:J65" si="1">SUM(D34:I34)</f>
        <v>12</v>
      </c>
      <c r="K34" s="5" t="s">
        <v>8764</v>
      </c>
      <c r="L34" s="5" t="s">
        <v>8765</v>
      </c>
    </row>
    <row r="35" spans="1:12" ht="323" x14ac:dyDescent="0.2">
      <c r="A35" s="6" t="s">
        <v>3080</v>
      </c>
      <c r="B35" s="5" t="s">
        <v>545</v>
      </c>
      <c r="C35" s="6">
        <v>2026</v>
      </c>
      <c r="D35" s="15">
        <v>2</v>
      </c>
      <c r="E35" s="15">
        <v>2</v>
      </c>
      <c r="F35" s="15">
        <v>2</v>
      </c>
      <c r="G35" s="15">
        <v>1</v>
      </c>
      <c r="H35" s="15">
        <v>2</v>
      </c>
      <c r="I35" s="15">
        <v>2</v>
      </c>
      <c r="J35" s="7">
        <f t="shared" si="1"/>
        <v>11</v>
      </c>
      <c r="K35" s="5" t="s">
        <v>8766</v>
      </c>
      <c r="L35" s="5" t="s">
        <v>8767</v>
      </c>
    </row>
    <row r="36" spans="1:12" ht="342" x14ac:dyDescent="0.2">
      <c r="A36" s="6" t="s">
        <v>3087</v>
      </c>
      <c r="B36" s="5" t="s">
        <v>565</v>
      </c>
      <c r="C36" s="6">
        <v>2026</v>
      </c>
      <c r="D36" s="15">
        <v>2</v>
      </c>
      <c r="E36" s="15">
        <v>1</v>
      </c>
      <c r="F36" s="15">
        <v>1</v>
      </c>
      <c r="G36" s="34">
        <v>1</v>
      </c>
      <c r="H36" s="15">
        <v>2</v>
      </c>
      <c r="I36" s="15">
        <v>2</v>
      </c>
      <c r="J36" s="7">
        <f t="shared" si="1"/>
        <v>9</v>
      </c>
      <c r="K36" s="5" t="s">
        <v>8768</v>
      </c>
      <c r="L36" s="5" t="s">
        <v>8769</v>
      </c>
    </row>
    <row r="37" spans="1:12" ht="323" x14ac:dyDescent="0.2">
      <c r="A37" s="6" t="s">
        <v>3095</v>
      </c>
      <c r="B37" s="5" t="s">
        <v>573</v>
      </c>
      <c r="C37" s="6">
        <v>2026</v>
      </c>
      <c r="D37" s="15">
        <v>2</v>
      </c>
      <c r="E37" s="34">
        <v>2</v>
      </c>
      <c r="F37" s="34">
        <v>2</v>
      </c>
      <c r="G37" s="34">
        <v>1</v>
      </c>
      <c r="H37" s="15">
        <v>2</v>
      </c>
      <c r="I37" s="15">
        <v>2</v>
      </c>
      <c r="J37" s="7">
        <f t="shared" si="1"/>
        <v>11</v>
      </c>
      <c r="K37" s="5" t="s">
        <v>8770</v>
      </c>
      <c r="L37" s="5" t="s">
        <v>8771</v>
      </c>
    </row>
    <row r="38" spans="1:12" ht="342" x14ac:dyDescent="0.2">
      <c r="A38" s="6" t="s">
        <v>3102</v>
      </c>
      <c r="B38" s="5" t="s">
        <v>586</v>
      </c>
      <c r="C38" s="6">
        <v>2026</v>
      </c>
      <c r="D38" s="15">
        <v>2</v>
      </c>
      <c r="E38" s="15">
        <v>2</v>
      </c>
      <c r="F38" s="15">
        <v>2</v>
      </c>
      <c r="G38" s="34">
        <v>2</v>
      </c>
      <c r="H38" s="15">
        <v>2</v>
      </c>
      <c r="I38" s="15">
        <v>2</v>
      </c>
      <c r="J38" s="7">
        <f t="shared" si="1"/>
        <v>12</v>
      </c>
      <c r="K38" s="5" t="s">
        <v>8772</v>
      </c>
      <c r="L38" s="5" t="s">
        <v>8773</v>
      </c>
    </row>
    <row r="39" spans="1:12" ht="380" x14ac:dyDescent="0.2">
      <c r="A39" s="6" t="s">
        <v>3109</v>
      </c>
      <c r="B39" s="5" t="s">
        <v>454</v>
      </c>
      <c r="C39" s="6">
        <v>2026</v>
      </c>
      <c r="D39" s="15">
        <v>2</v>
      </c>
      <c r="E39" s="15">
        <v>1</v>
      </c>
      <c r="F39" s="15">
        <v>1</v>
      </c>
      <c r="G39" s="15">
        <v>2</v>
      </c>
      <c r="H39" s="15">
        <v>1</v>
      </c>
      <c r="I39" s="15">
        <v>1</v>
      </c>
      <c r="J39" s="7">
        <f t="shared" si="1"/>
        <v>8</v>
      </c>
      <c r="K39" s="5" t="s">
        <v>8774</v>
      </c>
      <c r="L39" s="5" t="s">
        <v>8775</v>
      </c>
    </row>
    <row r="40" spans="1:12" ht="361" x14ac:dyDescent="0.2">
      <c r="A40" s="6" t="s">
        <v>3117</v>
      </c>
      <c r="B40" s="5" t="s">
        <v>612</v>
      </c>
      <c r="C40" s="6">
        <v>2026</v>
      </c>
      <c r="D40" s="15">
        <v>2</v>
      </c>
      <c r="E40" s="34">
        <v>2</v>
      </c>
      <c r="F40" s="34">
        <v>1</v>
      </c>
      <c r="G40" s="15">
        <v>1</v>
      </c>
      <c r="H40" s="34">
        <v>1</v>
      </c>
      <c r="I40" s="34">
        <v>0</v>
      </c>
      <c r="J40" s="7">
        <f t="shared" si="1"/>
        <v>7</v>
      </c>
      <c r="K40" s="5" t="s">
        <v>8776</v>
      </c>
      <c r="L40" s="5" t="s">
        <v>8777</v>
      </c>
    </row>
    <row r="41" spans="1:12" ht="380" x14ac:dyDescent="0.2">
      <c r="A41" s="6" t="s">
        <v>3125</v>
      </c>
      <c r="B41" s="5" t="s">
        <v>545</v>
      </c>
      <c r="C41" s="6">
        <v>2025</v>
      </c>
      <c r="D41" s="15">
        <v>2</v>
      </c>
      <c r="E41" s="15">
        <v>2</v>
      </c>
      <c r="F41" s="34">
        <v>2</v>
      </c>
      <c r="G41" s="34">
        <v>1</v>
      </c>
      <c r="H41" s="34">
        <v>2</v>
      </c>
      <c r="I41" s="17">
        <v>1</v>
      </c>
      <c r="J41" s="7">
        <f t="shared" si="1"/>
        <v>10</v>
      </c>
      <c r="K41" s="5" t="s">
        <v>8778</v>
      </c>
      <c r="L41" s="5" t="s">
        <v>8779</v>
      </c>
    </row>
    <row r="42" spans="1:12" ht="361" x14ac:dyDescent="0.2">
      <c r="A42" s="6" t="s">
        <v>3132</v>
      </c>
      <c r="B42" s="5" t="s">
        <v>643</v>
      </c>
      <c r="C42" s="6">
        <v>2026</v>
      </c>
      <c r="D42" s="15">
        <v>2</v>
      </c>
      <c r="E42" s="15">
        <v>2</v>
      </c>
      <c r="F42" s="15">
        <v>1</v>
      </c>
      <c r="G42" s="34">
        <v>2</v>
      </c>
      <c r="H42" s="15">
        <v>2</v>
      </c>
      <c r="I42" s="34">
        <v>1</v>
      </c>
      <c r="J42" s="7">
        <f t="shared" si="1"/>
        <v>10</v>
      </c>
      <c r="K42" s="5" t="s">
        <v>8780</v>
      </c>
      <c r="L42" s="5" t="s">
        <v>8781</v>
      </c>
    </row>
    <row r="43" spans="1:12" ht="323" x14ac:dyDescent="0.2">
      <c r="A43" s="6" t="s">
        <v>3140</v>
      </c>
      <c r="B43" s="5" t="s">
        <v>114</v>
      </c>
      <c r="C43" s="6">
        <v>2026</v>
      </c>
      <c r="D43" s="15">
        <v>2</v>
      </c>
      <c r="E43" s="15">
        <v>2</v>
      </c>
      <c r="F43" s="34">
        <v>2</v>
      </c>
      <c r="G43" s="15">
        <v>1</v>
      </c>
      <c r="H43" s="15">
        <v>1</v>
      </c>
      <c r="I43" s="34">
        <v>2</v>
      </c>
      <c r="J43" s="7">
        <f t="shared" si="1"/>
        <v>10</v>
      </c>
      <c r="K43" s="5" t="s">
        <v>8782</v>
      </c>
      <c r="L43" s="5" t="s">
        <v>8783</v>
      </c>
    </row>
    <row r="44" spans="1:12" ht="285" x14ac:dyDescent="0.2">
      <c r="A44" s="6" t="s">
        <v>3147</v>
      </c>
      <c r="B44" s="5" t="s">
        <v>690</v>
      </c>
      <c r="C44" s="6">
        <v>2026</v>
      </c>
      <c r="D44" s="15">
        <v>2</v>
      </c>
      <c r="E44" s="15">
        <v>2</v>
      </c>
      <c r="F44" s="15">
        <v>2</v>
      </c>
      <c r="G44" s="34">
        <v>2</v>
      </c>
      <c r="H44" s="34">
        <v>2</v>
      </c>
      <c r="I44" s="15">
        <v>2</v>
      </c>
      <c r="J44" s="7">
        <f t="shared" si="1"/>
        <v>12</v>
      </c>
      <c r="K44" s="5" t="s">
        <v>8784</v>
      </c>
      <c r="L44" s="5" t="s">
        <v>8785</v>
      </c>
    </row>
    <row r="45" spans="1:12" ht="266" x14ac:dyDescent="0.2">
      <c r="A45" s="6" t="s">
        <v>3155</v>
      </c>
      <c r="B45" s="5" t="s">
        <v>734</v>
      </c>
      <c r="C45" s="6">
        <v>2026</v>
      </c>
      <c r="D45" s="15">
        <v>2</v>
      </c>
      <c r="E45" s="15">
        <v>2</v>
      </c>
      <c r="F45" s="15">
        <v>1</v>
      </c>
      <c r="G45" s="15">
        <v>1</v>
      </c>
      <c r="H45" s="15">
        <v>1</v>
      </c>
      <c r="I45" s="15">
        <v>1</v>
      </c>
      <c r="J45" s="7">
        <f t="shared" si="1"/>
        <v>8</v>
      </c>
      <c r="K45" s="5" t="s">
        <v>8786</v>
      </c>
      <c r="L45" s="5" t="s">
        <v>8787</v>
      </c>
    </row>
    <row r="46" spans="1:12" ht="342" x14ac:dyDescent="0.2">
      <c r="A46" s="6" t="s">
        <v>3163</v>
      </c>
      <c r="B46" s="5" t="s">
        <v>831</v>
      </c>
      <c r="C46" s="6">
        <v>2025</v>
      </c>
      <c r="D46" s="15">
        <v>2</v>
      </c>
      <c r="E46" s="15">
        <v>2</v>
      </c>
      <c r="F46" s="34">
        <v>1</v>
      </c>
      <c r="G46" s="34">
        <v>1</v>
      </c>
      <c r="H46" s="34">
        <v>2</v>
      </c>
      <c r="I46" s="34">
        <v>1</v>
      </c>
      <c r="J46" s="7">
        <f t="shared" si="1"/>
        <v>9</v>
      </c>
      <c r="K46" s="5" t="s">
        <v>8788</v>
      </c>
      <c r="L46" s="5" t="s">
        <v>8789</v>
      </c>
    </row>
    <row r="47" spans="1:12" ht="304" x14ac:dyDescent="0.2">
      <c r="A47" s="6" t="s">
        <v>3171</v>
      </c>
      <c r="B47" s="5" t="s">
        <v>899</v>
      </c>
      <c r="C47" s="6">
        <v>2026</v>
      </c>
      <c r="D47" s="15">
        <v>2</v>
      </c>
      <c r="E47" s="15">
        <v>2</v>
      </c>
      <c r="F47" s="34">
        <v>2</v>
      </c>
      <c r="G47" s="34">
        <v>2</v>
      </c>
      <c r="H47" s="15">
        <v>2</v>
      </c>
      <c r="I47" s="34">
        <v>2</v>
      </c>
      <c r="J47" s="7">
        <f t="shared" si="1"/>
        <v>12</v>
      </c>
      <c r="K47" s="5" t="s">
        <v>8790</v>
      </c>
      <c r="L47" s="5" t="s">
        <v>8791</v>
      </c>
    </row>
    <row r="48" spans="1:12" ht="361" x14ac:dyDescent="0.2">
      <c r="A48" s="6" t="s">
        <v>3179</v>
      </c>
      <c r="B48" s="5" t="s">
        <v>927</v>
      </c>
      <c r="C48" s="6">
        <v>2026</v>
      </c>
      <c r="D48" s="15">
        <v>2</v>
      </c>
      <c r="E48" s="15">
        <v>2</v>
      </c>
      <c r="F48" s="15">
        <v>1</v>
      </c>
      <c r="G48" s="15">
        <v>1</v>
      </c>
      <c r="H48" s="15">
        <v>1</v>
      </c>
      <c r="I48" s="15">
        <v>1</v>
      </c>
      <c r="J48" s="7">
        <f t="shared" si="1"/>
        <v>8</v>
      </c>
      <c r="K48" s="5" t="s">
        <v>8792</v>
      </c>
      <c r="L48" s="5" t="s">
        <v>8793</v>
      </c>
    </row>
    <row r="49" spans="1:12" ht="342" x14ac:dyDescent="0.2">
      <c r="A49" s="6" t="s">
        <v>3187</v>
      </c>
      <c r="B49" s="5" t="s">
        <v>909</v>
      </c>
      <c r="C49" s="6">
        <v>2026</v>
      </c>
      <c r="D49" s="15">
        <v>2</v>
      </c>
      <c r="E49" s="15">
        <v>2</v>
      </c>
      <c r="F49" s="34">
        <v>1</v>
      </c>
      <c r="G49" s="34">
        <v>2</v>
      </c>
      <c r="H49" s="34">
        <v>1</v>
      </c>
      <c r="I49" s="34">
        <v>1</v>
      </c>
      <c r="J49" s="7">
        <f t="shared" si="1"/>
        <v>9</v>
      </c>
      <c r="K49" s="5" t="s">
        <v>8794</v>
      </c>
      <c r="L49" s="5" t="s">
        <v>8795</v>
      </c>
    </row>
    <row r="50" spans="1:12" ht="342" x14ac:dyDescent="0.2">
      <c r="A50" s="6" t="s">
        <v>3194</v>
      </c>
      <c r="B50" s="5" t="s">
        <v>1049</v>
      </c>
      <c r="C50" s="6">
        <v>2025</v>
      </c>
      <c r="D50" s="15">
        <v>2</v>
      </c>
      <c r="E50" s="15">
        <v>2</v>
      </c>
      <c r="F50" s="34">
        <v>1</v>
      </c>
      <c r="G50" s="15">
        <v>1</v>
      </c>
      <c r="H50" s="34">
        <v>1</v>
      </c>
      <c r="I50" s="34">
        <v>0</v>
      </c>
      <c r="J50" s="7">
        <f t="shared" si="1"/>
        <v>7</v>
      </c>
      <c r="K50" s="5" t="s">
        <v>8796</v>
      </c>
      <c r="L50" s="5" t="s">
        <v>8797</v>
      </c>
    </row>
    <row r="51" spans="1:12" ht="342" x14ac:dyDescent="0.2">
      <c r="A51" s="6" t="s">
        <v>3201</v>
      </c>
      <c r="B51" s="5" t="s">
        <v>1069</v>
      </c>
      <c r="C51" s="6">
        <v>2026</v>
      </c>
      <c r="D51" s="15">
        <v>2</v>
      </c>
      <c r="E51" s="15">
        <v>2</v>
      </c>
      <c r="F51" s="34">
        <v>1</v>
      </c>
      <c r="G51" s="34">
        <v>1</v>
      </c>
      <c r="H51" s="34">
        <v>2</v>
      </c>
      <c r="I51" s="17">
        <v>2</v>
      </c>
      <c r="J51" s="7">
        <f t="shared" si="1"/>
        <v>10</v>
      </c>
      <c r="K51" s="5" t="s">
        <v>8798</v>
      </c>
      <c r="L51" s="5" t="s">
        <v>8799</v>
      </c>
    </row>
    <row r="52" spans="1:12" ht="323" x14ac:dyDescent="0.2">
      <c r="A52" s="6" t="s">
        <v>3209</v>
      </c>
      <c r="B52" s="5" t="s">
        <v>1094</v>
      </c>
      <c r="C52" s="6">
        <v>2026</v>
      </c>
      <c r="D52" s="15">
        <v>2</v>
      </c>
      <c r="E52" s="15">
        <v>2</v>
      </c>
      <c r="F52" s="34">
        <v>2</v>
      </c>
      <c r="G52" s="34">
        <v>2</v>
      </c>
      <c r="H52" s="15">
        <v>2</v>
      </c>
      <c r="I52" s="15">
        <v>2</v>
      </c>
      <c r="J52" s="7">
        <f t="shared" si="1"/>
        <v>12</v>
      </c>
      <c r="K52" s="5" t="s">
        <v>8800</v>
      </c>
      <c r="L52" s="5" t="s">
        <v>8801</v>
      </c>
    </row>
    <row r="53" spans="1:12" ht="304" x14ac:dyDescent="0.2">
      <c r="A53" s="6" t="s">
        <v>3217</v>
      </c>
      <c r="B53" s="5" t="s">
        <v>1146</v>
      </c>
      <c r="C53" s="6">
        <v>2026</v>
      </c>
      <c r="D53" s="15">
        <v>2</v>
      </c>
      <c r="E53" s="15">
        <v>2</v>
      </c>
      <c r="F53" s="15">
        <v>1</v>
      </c>
      <c r="G53" s="15">
        <v>1</v>
      </c>
      <c r="H53" s="15">
        <v>2</v>
      </c>
      <c r="I53" s="15">
        <v>2</v>
      </c>
      <c r="J53" s="7">
        <f t="shared" si="1"/>
        <v>10</v>
      </c>
      <c r="K53" s="5" t="s">
        <v>8802</v>
      </c>
      <c r="L53" s="5" t="s">
        <v>8803</v>
      </c>
    </row>
    <row r="54" spans="1:12" ht="398" x14ac:dyDescent="0.2">
      <c r="A54" s="6" t="s">
        <v>3223</v>
      </c>
      <c r="B54" s="5" t="s">
        <v>1264</v>
      </c>
      <c r="C54" s="6">
        <v>2026</v>
      </c>
      <c r="D54" s="15">
        <v>2</v>
      </c>
      <c r="E54" s="15">
        <v>2</v>
      </c>
      <c r="F54" s="34">
        <v>2</v>
      </c>
      <c r="G54" s="34">
        <v>2</v>
      </c>
      <c r="H54" s="15">
        <v>2</v>
      </c>
      <c r="I54" s="15">
        <v>2</v>
      </c>
      <c r="J54" s="7">
        <f t="shared" si="1"/>
        <v>12</v>
      </c>
      <c r="K54" s="5" t="s">
        <v>8804</v>
      </c>
      <c r="L54" s="5" t="s">
        <v>8805</v>
      </c>
    </row>
    <row r="55" spans="1:12" ht="323" x14ac:dyDescent="0.2">
      <c r="A55" s="6" t="s">
        <v>3229</v>
      </c>
      <c r="B55" s="5" t="s">
        <v>1268</v>
      </c>
      <c r="C55" s="6">
        <v>2025</v>
      </c>
      <c r="D55" s="15">
        <v>2</v>
      </c>
      <c r="E55" s="15">
        <v>2</v>
      </c>
      <c r="F55" s="15">
        <v>1</v>
      </c>
      <c r="G55" s="15">
        <v>1</v>
      </c>
      <c r="H55" s="15">
        <v>1</v>
      </c>
      <c r="I55" s="15">
        <v>2</v>
      </c>
      <c r="J55" s="7">
        <f t="shared" si="1"/>
        <v>9</v>
      </c>
      <c r="K55" s="5" t="s">
        <v>8806</v>
      </c>
      <c r="L55" s="5" t="s">
        <v>8807</v>
      </c>
    </row>
    <row r="56" spans="1:12" ht="398" x14ac:dyDescent="0.2">
      <c r="A56" s="6" t="s">
        <v>3236</v>
      </c>
      <c r="B56" s="5" t="s">
        <v>1280</v>
      </c>
      <c r="C56" s="6">
        <v>2025</v>
      </c>
      <c r="D56" s="15">
        <v>2</v>
      </c>
      <c r="E56" s="15">
        <v>2</v>
      </c>
      <c r="F56" s="34">
        <v>1</v>
      </c>
      <c r="G56" s="34">
        <v>1</v>
      </c>
      <c r="H56" s="34">
        <v>1</v>
      </c>
      <c r="I56" s="15">
        <v>1</v>
      </c>
      <c r="J56" s="7">
        <f t="shared" si="1"/>
        <v>8</v>
      </c>
      <c r="K56" s="5" t="s">
        <v>8808</v>
      </c>
      <c r="L56" s="5" t="s">
        <v>8809</v>
      </c>
    </row>
    <row r="57" spans="1:12" ht="342" x14ac:dyDescent="0.2">
      <c r="A57" s="6" t="s">
        <v>3243</v>
      </c>
      <c r="B57" s="5" t="s">
        <v>1318</v>
      </c>
      <c r="C57" s="6">
        <v>2026</v>
      </c>
      <c r="D57" s="15">
        <v>2</v>
      </c>
      <c r="E57" s="15">
        <v>2</v>
      </c>
      <c r="F57" s="34">
        <v>1</v>
      </c>
      <c r="G57" s="34">
        <v>1</v>
      </c>
      <c r="H57" s="34">
        <v>2</v>
      </c>
      <c r="I57" s="34">
        <v>2</v>
      </c>
      <c r="J57" s="7">
        <f t="shared" si="1"/>
        <v>10</v>
      </c>
      <c r="K57" s="5" t="s">
        <v>8810</v>
      </c>
      <c r="L57" s="5" t="s">
        <v>8811</v>
      </c>
    </row>
    <row r="58" spans="1:12" ht="323" x14ac:dyDescent="0.2">
      <c r="A58" s="6" t="s">
        <v>3248</v>
      </c>
      <c r="B58" s="5" t="s">
        <v>1564</v>
      </c>
      <c r="C58" s="6">
        <v>2024</v>
      </c>
      <c r="D58" s="15">
        <v>2</v>
      </c>
      <c r="E58" s="15">
        <v>2</v>
      </c>
      <c r="F58" s="34">
        <v>1</v>
      </c>
      <c r="G58" s="34">
        <v>1</v>
      </c>
      <c r="H58" s="15">
        <v>2</v>
      </c>
      <c r="I58" s="15">
        <v>2</v>
      </c>
      <c r="J58" s="7">
        <f t="shared" si="1"/>
        <v>10</v>
      </c>
      <c r="K58" s="5" t="s">
        <v>8812</v>
      </c>
      <c r="L58" s="5" t="s">
        <v>8813</v>
      </c>
    </row>
    <row r="59" spans="1:12" ht="266" x14ac:dyDescent="0.2">
      <c r="A59" s="6" t="s">
        <v>3256</v>
      </c>
      <c r="B59" s="5" t="s">
        <v>1631</v>
      </c>
      <c r="C59" s="6">
        <v>2024</v>
      </c>
      <c r="D59" s="15">
        <v>2</v>
      </c>
      <c r="E59" s="15">
        <v>2</v>
      </c>
      <c r="F59" s="34">
        <v>1</v>
      </c>
      <c r="G59" s="34">
        <v>2</v>
      </c>
      <c r="H59" s="15">
        <v>2</v>
      </c>
      <c r="I59" s="15">
        <v>1</v>
      </c>
      <c r="J59" s="7">
        <f t="shared" si="1"/>
        <v>10</v>
      </c>
      <c r="K59" s="5" t="s">
        <v>8814</v>
      </c>
      <c r="L59" s="5" t="s">
        <v>8815</v>
      </c>
    </row>
    <row r="60" spans="1:12" ht="323" x14ac:dyDescent="0.2">
      <c r="A60" s="6" t="s">
        <v>3264</v>
      </c>
      <c r="B60" s="5" t="s">
        <v>1696</v>
      </c>
      <c r="C60" s="6">
        <v>2024</v>
      </c>
      <c r="D60" s="15">
        <v>2</v>
      </c>
      <c r="E60" s="15">
        <v>2</v>
      </c>
      <c r="F60" s="34">
        <v>1</v>
      </c>
      <c r="G60" s="15">
        <v>2</v>
      </c>
      <c r="H60" s="15">
        <v>2</v>
      </c>
      <c r="I60" s="34">
        <v>1</v>
      </c>
      <c r="J60" s="7">
        <f t="shared" si="1"/>
        <v>10</v>
      </c>
      <c r="K60" s="5" t="s">
        <v>8816</v>
      </c>
      <c r="L60" s="5" t="s">
        <v>8817</v>
      </c>
    </row>
    <row r="61" spans="1:12" ht="361" x14ac:dyDescent="0.2">
      <c r="A61" s="6" t="s">
        <v>3272</v>
      </c>
      <c r="B61" s="5" t="s">
        <v>1700</v>
      </c>
      <c r="C61" s="6">
        <v>2024</v>
      </c>
      <c r="D61" s="15">
        <v>2</v>
      </c>
      <c r="E61" s="15">
        <v>2</v>
      </c>
      <c r="F61" s="34">
        <v>1</v>
      </c>
      <c r="G61" s="15">
        <v>2</v>
      </c>
      <c r="H61" s="15">
        <v>2</v>
      </c>
      <c r="I61" s="34">
        <v>1</v>
      </c>
      <c r="J61" s="7">
        <f t="shared" si="1"/>
        <v>10</v>
      </c>
      <c r="K61" s="5" t="s">
        <v>8818</v>
      </c>
      <c r="L61" s="5" t="s">
        <v>8819</v>
      </c>
    </row>
    <row r="62" spans="1:12" ht="361" x14ac:dyDescent="0.2">
      <c r="A62" s="6" t="s">
        <v>3278</v>
      </c>
      <c r="B62" s="5" t="s">
        <v>1664</v>
      </c>
      <c r="C62" s="6">
        <v>2025</v>
      </c>
      <c r="D62" s="15">
        <v>2</v>
      </c>
      <c r="E62" s="15">
        <v>2</v>
      </c>
      <c r="F62" s="34">
        <v>1</v>
      </c>
      <c r="G62" s="15">
        <v>2</v>
      </c>
      <c r="H62" s="15">
        <v>2</v>
      </c>
      <c r="I62" s="34">
        <v>2</v>
      </c>
      <c r="J62" s="7">
        <f t="shared" si="1"/>
        <v>11</v>
      </c>
      <c r="K62" s="5" t="s">
        <v>8820</v>
      </c>
      <c r="L62" s="5" t="s">
        <v>8821</v>
      </c>
    </row>
    <row r="63" spans="1:12" ht="323" x14ac:dyDescent="0.2">
      <c r="A63" s="6" t="s">
        <v>3286</v>
      </c>
      <c r="B63" s="5" t="s">
        <v>1700</v>
      </c>
      <c r="C63" s="6">
        <v>2025</v>
      </c>
      <c r="D63" s="15">
        <v>2</v>
      </c>
      <c r="E63" s="15">
        <v>2</v>
      </c>
      <c r="F63" s="34">
        <v>1</v>
      </c>
      <c r="G63" s="15">
        <v>2</v>
      </c>
      <c r="H63" s="15">
        <v>2</v>
      </c>
      <c r="I63" s="15">
        <v>2</v>
      </c>
      <c r="J63" s="7">
        <f t="shared" si="1"/>
        <v>11</v>
      </c>
      <c r="K63" s="5" t="s">
        <v>8822</v>
      </c>
      <c r="L63" s="5" t="s">
        <v>8823</v>
      </c>
    </row>
    <row r="64" spans="1:12" ht="323" x14ac:dyDescent="0.2">
      <c r="A64" s="6" t="s">
        <v>3290</v>
      </c>
      <c r="B64" s="5" t="s">
        <v>1773</v>
      </c>
      <c r="C64" s="6">
        <v>2024</v>
      </c>
      <c r="D64" s="15">
        <v>2</v>
      </c>
      <c r="E64" s="15">
        <v>2</v>
      </c>
      <c r="F64" s="34">
        <v>1</v>
      </c>
      <c r="G64" s="15">
        <v>1</v>
      </c>
      <c r="H64" s="15">
        <v>2</v>
      </c>
      <c r="I64" s="15">
        <v>2</v>
      </c>
      <c r="J64" s="7">
        <f t="shared" si="1"/>
        <v>10</v>
      </c>
      <c r="K64" s="5" t="s">
        <v>8824</v>
      </c>
      <c r="L64" s="5" t="s">
        <v>8825</v>
      </c>
    </row>
    <row r="65" spans="1:12" ht="285" x14ac:dyDescent="0.2">
      <c r="A65" s="6" t="s">
        <v>3298</v>
      </c>
      <c r="B65" s="5" t="s">
        <v>1884</v>
      </c>
      <c r="C65" s="6">
        <v>2024</v>
      </c>
      <c r="D65" s="15">
        <v>2</v>
      </c>
      <c r="E65" s="15">
        <v>2</v>
      </c>
      <c r="F65" s="34">
        <v>1</v>
      </c>
      <c r="G65" s="34">
        <v>1</v>
      </c>
      <c r="H65" s="15">
        <v>1</v>
      </c>
      <c r="I65" s="15">
        <v>2</v>
      </c>
      <c r="J65" s="7">
        <f t="shared" si="1"/>
        <v>9</v>
      </c>
      <c r="K65" s="5" t="s">
        <v>8826</v>
      </c>
      <c r="L65" s="5" t="s">
        <v>8827</v>
      </c>
    </row>
    <row r="66" spans="1:12" ht="266" x14ac:dyDescent="0.2">
      <c r="A66" s="6" t="s">
        <v>3306</v>
      </c>
      <c r="B66" s="5" t="s">
        <v>1938</v>
      </c>
      <c r="C66" s="6">
        <v>2024</v>
      </c>
      <c r="D66" s="15">
        <v>2</v>
      </c>
      <c r="E66" s="15">
        <v>2</v>
      </c>
      <c r="F66" s="34">
        <v>1</v>
      </c>
      <c r="G66" s="34">
        <v>1</v>
      </c>
      <c r="H66" s="34">
        <v>1</v>
      </c>
      <c r="I66" s="15">
        <v>1</v>
      </c>
      <c r="J66" s="7">
        <f t="shared" ref="J66:J70" si="2">SUM(D66:I66)</f>
        <v>8</v>
      </c>
      <c r="K66" s="5" t="s">
        <v>8828</v>
      </c>
      <c r="L66" s="5" t="s">
        <v>8829</v>
      </c>
    </row>
    <row r="67" spans="1:12" ht="342" x14ac:dyDescent="0.2">
      <c r="A67" s="6" t="s">
        <v>3313</v>
      </c>
      <c r="B67" s="5" t="s">
        <v>2054</v>
      </c>
      <c r="C67" s="6">
        <v>2026</v>
      </c>
      <c r="D67" s="15">
        <v>2</v>
      </c>
      <c r="E67" s="15">
        <v>2</v>
      </c>
      <c r="F67" s="34">
        <v>1</v>
      </c>
      <c r="G67" s="34">
        <v>2</v>
      </c>
      <c r="H67" s="34">
        <v>2</v>
      </c>
      <c r="I67" s="34">
        <v>2</v>
      </c>
      <c r="J67" s="7">
        <f t="shared" si="2"/>
        <v>11</v>
      </c>
      <c r="K67" s="5" t="s">
        <v>8830</v>
      </c>
      <c r="L67" s="5" t="s">
        <v>8831</v>
      </c>
    </row>
    <row r="68" spans="1:12" ht="398" x14ac:dyDescent="0.2">
      <c r="A68" s="6" t="s">
        <v>3318</v>
      </c>
      <c r="B68" s="5" t="s">
        <v>1988</v>
      </c>
      <c r="C68" s="6">
        <v>2025</v>
      </c>
      <c r="D68" s="15">
        <v>2</v>
      </c>
      <c r="E68" s="15">
        <v>1</v>
      </c>
      <c r="F68" s="34">
        <v>1</v>
      </c>
      <c r="G68" s="15">
        <v>2</v>
      </c>
      <c r="H68" s="15">
        <v>1</v>
      </c>
      <c r="I68" s="15">
        <v>2</v>
      </c>
      <c r="J68" s="7">
        <f t="shared" si="2"/>
        <v>9</v>
      </c>
      <c r="K68" s="5" t="s">
        <v>8832</v>
      </c>
      <c r="L68" s="5" t="s">
        <v>8833</v>
      </c>
    </row>
    <row r="69" spans="1:12" ht="380" x14ac:dyDescent="0.2">
      <c r="A69" s="6" t="s">
        <v>3325</v>
      </c>
      <c r="B69" s="5" t="s">
        <v>2710</v>
      </c>
      <c r="C69" s="6">
        <v>2026</v>
      </c>
      <c r="D69" s="15">
        <v>2</v>
      </c>
      <c r="E69" s="34">
        <v>2</v>
      </c>
      <c r="F69" s="34">
        <v>2</v>
      </c>
      <c r="G69" s="15">
        <v>2</v>
      </c>
      <c r="H69" s="34">
        <v>2</v>
      </c>
      <c r="I69" s="15">
        <v>2</v>
      </c>
      <c r="J69" s="7">
        <f t="shared" si="2"/>
        <v>12</v>
      </c>
      <c r="K69" s="5" t="s">
        <v>8834</v>
      </c>
      <c r="L69" s="5" t="s">
        <v>8835</v>
      </c>
    </row>
    <row r="70" spans="1:12" ht="342" x14ac:dyDescent="0.2">
      <c r="A70" s="6" t="s">
        <v>3332</v>
      </c>
      <c r="B70" s="5" t="s">
        <v>2730</v>
      </c>
      <c r="C70" s="6">
        <v>2026</v>
      </c>
      <c r="D70" s="15">
        <v>2</v>
      </c>
      <c r="E70" s="15">
        <v>2</v>
      </c>
      <c r="F70" s="15">
        <v>1</v>
      </c>
      <c r="G70" s="15">
        <v>2</v>
      </c>
      <c r="H70" s="15">
        <v>1</v>
      </c>
      <c r="I70" s="15">
        <v>1</v>
      </c>
      <c r="J70" s="7">
        <f t="shared" si="2"/>
        <v>9</v>
      </c>
      <c r="K70" s="5" t="s">
        <v>8836</v>
      </c>
      <c r="L70" s="5" t="s">
        <v>8837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Method</vt:lpstr>
      <vt:lpstr>Seeds</vt:lpstr>
      <vt:lpstr>Citing_Studies</vt:lpstr>
      <vt:lpstr>Included_Studies</vt:lpstr>
      <vt:lpstr>Thematic_Map</vt:lpstr>
      <vt:lpstr>Themes_Overview</vt:lpstr>
      <vt:lpstr>StudyWise_SAS_Extension</vt:lpstr>
      <vt:lpstr>SAS extension</vt:lpstr>
      <vt:lpstr>Quality_Assessment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Nazia Shahzadi</cp:lastModifiedBy>
  <dcterms:modified xsi:type="dcterms:W3CDTF">2026-10-21T08:40:11Z</dcterms:modified>
</cp:coreProperties>
</file>