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nashab/Library/CloudStorage/OneDrive-Linnéuniversitetet/Desktop/"/>
    </mc:Choice>
  </mc:AlternateContent>
  <xr:revisionPtr revIDLastSave="0" documentId="8_{1E4EF7C9-F3C7-694E-BBD6-A23EDC99BA74}" xr6:coauthVersionLast="47" xr6:coauthVersionMax="47" xr10:uidLastSave="{00000000-0000-0000-0000-000000000000}"/>
  <bookViews>
    <workbookView xWindow="0" yWindow="660" windowWidth="30240" windowHeight="18980" tabRatio="500" xr2:uid="{00000000-000D-0000-FFFF-FFFF00000000}"/>
  </bookViews>
  <sheets>
    <sheet name="Method_Used" sheetId="1" r:id="rId1"/>
    <sheet name="Included_Studies" sheetId="2" r:id="rId2"/>
    <sheet name="Withdrawn_Studies" sheetId="3" r:id="rId3"/>
    <sheet name="Thematic_Map" sheetId="4" r:id="rId4"/>
    <sheet name="Themes_Overview" sheetId="5" r:id="rId5"/>
    <sheet name="StudyWise_SAS_Extension" sheetId="6" r:id="rId6"/>
    <sheet name="SAS_Extension" sheetId="7" r:id="rId7"/>
    <sheet name="Quality_Criterias" sheetId="8" r:id="rId8"/>
    <sheet name="Quality_Scores" sheetId="9" r:id="rId9"/>
    <sheet name="Quality_Evidence" sheetId="10" r:id="rId10"/>
  </sheets>
  <definedNames>
    <definedName name="_xlnm._FilterDatabase" localSheetId="6" hidden="1">SAS_Extension!$A$1:$H$21</definedName>
    <definedName name="_xlnm._FilterDatabase" localSheetId="5" hidden="1">StudyWise_SAS_Extension!$A$1:$J$24</definedName>
    <definedName name="_xlnm._FilterDatabase" localSheetId="3" hidden="1">Thematic_Map!$A$1:$J$805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24" i="5" l="1"/>
  <c r="N24" i="5"/>
  <c r="M24" i="5"/>
  <c r="L24" i="5"/>
  <c r="K24" i="5"/>
  <c r="J24" i="5"/>
  <c r="O23" i="5"/>
  <c r="N23" i="5"/>
  <c r="M23" i="5"/>
  <c r="L23" i="5"/>
  <c r="K23" i="5"/>
  <c r="J23" i="5"/>
  <c r="O22" i="5"/>
  <c r="N22" i="5"/>
  <c r="M22" i="5"/>
  <c r="L22" i="5"/>
  <c r="K22" i="5"/>
  <c r="J22" i="5"/>
  <c r="O21" i="5"/>
  <c r="N21" i="5"/>
  <c r="M21" i="5"/>
  <c r="L21" i="5"/>
  <c r="K21" i="5"/>
  <c r="J21" i="5"/>
  <c r="O20" i="5"/>
  <c r="N20" i="5"/>
  <c r="M20" i="5"/>
  <c r="L20" i="5"/>
  <c r="K20" i="5"/>
  <c r="J20" i="5"/>
  <c r="O19" i="5"/>
  <c r="N19" i="5"/>
  <c r="M19" i="5"/>
  <c r="L19" i="5"/>
  <c r="K19" i="5"/>
  <c r="J19" i="5"/>
  <c r="O18" i="5"/>
  <c r="N18" i="5"/>
  <c r="M18" i="5"/>
  <c r="L18" i="5"/>
  <c r="K18" i="5"/>
  <c r="J18" i="5"/>
  <c r="O17" i="5"/>
  <c r="N17" i="5"/>
  <c r="M17" i="5"/>
  <c r="L17" i="5"/>
  <c r="K17" i="5"/>
  <c r="J17" i="5"/>
  <c r="O16" i="5"/>
  <c r="N16" i="5"/>
  <c r="M16" i="5"/>
  <c r="L16" i="5"/>
  <c r="K16" i="5"/>
  <c r="J16" i="5"/>
  <c r="O15" i="5"/>
  <c r="N15" i="5"/>
  <c r="M15" i="5"/>
  <c r="L15" i="5"/>
  <c r="K15" i="5"/>
  <c r="J15" i="5"/>
  <c r="O14" i="5"/>
  <c r="N14" i="5"/>
  <c r="M14" i="5"/>
  <c r="L14" i="5"/>
  <c r="K14" i="5"/>
  <c r="J14" i="5"/>
  <c r="O13" i="5"/>
  <c r="N13" i="5"/>
  <c r="M13" i="5"/>
  <c r="L13" i="5"/>
  <c r="K13" i="5"/>
  <c r="J13" i="5"/>
  <c r="O12" i="5"/>
  <c r="N12" i="5"/>
  <c r="M12" i="5"/>
  <c r="L12" i="5"/>
  <c r="K12" i="5"/>
  <c r="J12" i="5"/>
  <c r="O11" i="5"/>
  <c r="N11" i="5"/>
  <c r="M11" i="5"/>
  <c r="L11" i="5"/>
  <c r="K11" i="5"/>
  <c r="J11" i="5"/>
  <c r="O10" i="5"/>
  <c r="N10" i="5"/>
  <c r="M10" i="5"/>
  <c r="L10" i="5"/>
  <c r="K10" i="5"/>
  <c r="J10" i="5"/>
  <c r="O9" i="5"/>
  <c r="N9" i="5"/>
  <c r="M9" i="5"/>
  <c r="L9" i="5"/>
  <c r="K9" i="5"/>
  <c r="J9" i="5"/>
  <c r="O8" i="5"/>
  <c r="N8" i="5"/>
  <c r="M8" i="5"/>
  <c r="L8" i="5"/>
  <c r="K8" i="5"/>
  <c r="J8" i="5"/>
  <c r="O7" i="5"/>
  <c r="N7" i="5"/>
  <c r="M7" i="5"/>
  <c r="L7" i="5"/>
  <c r="K7" i="5"/>
  <c r="J7" i="5"/>
  <c r="G7" i="5"/>
  <c r="F7" i="5"/>
  <c r="E7" i="5"/>
  <c r="D7" i="5"/>
  <c r="C7" i="5"/>
  <c r="O6" i="5"/>
  <c r="N6" i="5"/>
  <c r="M6" i="5"/>
  <c r="L6" i="5"/>
  <c r="K6" i="5"/>
  <c r="J6" i="5"/>
  <c r="G6" i="5"/>
  <c r="F6" i="5"/>
  <c r="E6" i="5"/>
  <c r="D6" i="5"/>
  <c r="C6" i="5"/>
  <c r="O5" i="5"/>
  <c r="N5" i="5"/>
  <c r="M5" i="5"/>
  <c r="L5" i="5"/>
  <c r="K5" i="5"/>
  <c r="J5" i="5"/>
  <c r="G5" i="5"/>
  <c r="F5" i="5"/>
  <c r="E5" i="5"/>
  <c r="D5" i="5"/>
  <c r="C5" i="5"/>
  <c r="O4" i="5"/>
  <c r="N4" i="5"/>
  <c r="M4" i="5"/>
  <c r="L4" i="5"/>
  <c r="K4" i="5"/>
  <c r="J4" i="5"/>
  <c r="G4" i="5"/>
  <c r="F4" i="5"/>
  <c r="E4" i="5"/>
  <c r="D4" i="5"/>
  <c r="C4" i="5"/>
  <c r="O3" i="5"/>
  <c r="N3" i="5"/>
  <c r="M3" i="5"/>
  <c r="L3" i="5"/>
  <c r="K3" i="5"/>
  <c r="J3" i="5"/>
  <c r="G3" i="5"/>
  <c r="F3" i="5"/>
  <c r="E3" i="5"/>
  <c r="D3" i="5"/>
  <c r="C3" i="5"/>
  <c r="O2" i="5"/>
  <c r="N2" i="5"/>
  <c r="M2" i="5"/>
  <c r="L2" i="5"/>
  <c r="K2" i="5"/>
  <c r="J2" i="5"/>
  <c r="G2" i="5"/>
  <c r="F2" i="5"/>
  <c r="E2" i="5"/>
  <c r="D2" i="5"/>
  <c r="C2" i="5"/>
  <c r="P6" i="5" l="1"/>
  <c r="M25" i="5"/>
  <c r="J25" i="5"/>
  <c r="K25" i="5"/>
  <c r="P4" i="5"/>
  <c r="P3" i="5"/>
  <c r="L25" i="5"/>
  <c r="P15" i="5"/>
  <c r="O25" i="5"/>
  <c r="P20" i="5"/>
  <c r="P14" i="5"/>
  <c r="P11" i="5"/>
  <c r="P16" i="5"/>
  <c r="P23" i="5"/>
  <c r="P10" i="5"/>
  <c r="P12" i="5"/>
  <c r="P9" i="5"/>
  <c r="P22" i="5"/>
  <c r="P7" i="5"/>
  <c r="P19" i="5"/>
  <c r="P24" i="5"/>
  <c r="P8" i="5"/>
  <c r="P17" i="5"/>
  <c r="P13" i="5"/>
  <c r="P21" i="5"/>
  <c r="P5" i="5"/>
  <c r="N25" i="5"/>
  <c r="P18" i="5"/>
  <c r="P2" i="5"/>
  <c r="P25" i="5" l="1"/>
</calcChain>
</file>

<file path=xl/sharedStrings.xml><?xml version="1.0" encoding="utf-8"?>
<sst xmlns="http://schemas.openxmlformats.org/spreadsheetml/2006/main" count="8298" uniqueCount="3186">
  <si>
    <t>LLMs for software architecture, thematic synthesis of 23 primary studies</t>
  </si>
  <si>
    <t>Research Questions (RQs)</t>
  </si>
  <si>
    <t xml:space="preserve">RQ1 What has been reported to date for the use of LLMs and Gen AI for architectural design support?
RQ2 What techniques are reported to optimize and evaluate LLMs and Gen AI for architectural design support?
RQ3 What are the emerging trends in the use of LLMs and Gen AI for architectural design?
RQ4 How can the approaches, techniques and trends identified in RQ1-RQ3 be extended to support the architecture design of self-adaptive software systems?
</t>
  </si>
  <si>
    <t>Approach Used</t>
  </si>
  <si>
    <t>Coding Ladder</t>
  </si>
  <si>
    <r>
      <t xml:space="preserve">The analytic ladder is displayed in each row of the </t>
    </r>
    <r>
      <rPr>
        <b/>
        <sz val="12"/>
        <color theme="1"/>
        <rFont val="Times New Roman"/>
        <family val="1"/>
      </rPr>
      <t>'Thematic map'</t>
    </r>
    <r>
      <rPr>
        <sz val="12"/>
        <color theme="1"/>
        <rFont val="Times New Roman"/>
        <family val="1"/>
      </rPr>
      <t xml:space="preserve"> sheet. Left-right reading: It progresses in the order of concrete to abstract: Meaning unit, Code, Sub-theme, Theme. Each Theme unreading into right to left sets out its Sub-themes, in which the Codes, founded on the original Meaning units, are found. The two directions are internally consistent, an audit trail in a data-themes and vice versa.</t>
    </r>
  </si>
  <si>
    <t>Meaning Unit</t>
  </si>
  <si>
    <t>A concise, summary description of a primary study containing single idea, an outlined method, methodology, discovery or reported constraint. Both paraphrased and not quoted, in order to both not reproduce licenced copyrighted text, but to place the units, more or less, on equal footing, with respect to granularity. Section or page is noted in a manner that all the units can be traced.</t>
  </si>
  <si>
    <t>Coding Absences</t>
  </si>
  <si>
    <t>A study that is silent on an aspect on which the review inquires, and where that silence is analytically significant, is coded as a unit of meaning with the word Absence at the beginning of the code, and the Source column names where such a piece of information would have been found. Absences are reported individually of positive findings and are never stated as a claim that the authors made.</t>
  </si>
  <si>
    <t>Granularity Rule</t>
  </si>
  <si>
    <t>Each unit of meaning has one idea. Where a study gives many instances of the same idea given only one is literally counted, and the multiplicity is indicated in it, instead of a series of similar epochs, when a long paper will weigh against a short, that being on a lengthy scale.</t>
  </si>
  <si>
    <t>Study Families and Independence</t>
  </si>
  <si>
    <t>The result of some of the studies in the corpus is not independent: one of the authors might report a method in one place and its evaluation in another, with the same subjects, the same companies and even the same transcripts of the model. These kinds of studies compose a family. The sheet included studies records the family in a specific column. To communicate the number of studies supporting a theme, indicate the number of independent families with that number, and state the total number research studies, otherwise a one-line of work is reported twice and evidence appears more extensive than it is. On that test, three families are created. S1 and S2 are F1; same first author, same two companies and the URLs published on S2 in two prompt-transcripts are character by character identical to the URLs published on S1. For instance; S3 and S8 are F2: S3 states ArchMind, we proposed the ArchMind research prototype in earlier work [8], and S8 is the paper on ArchMind. S4 and S9 Are F3: the study S4 reports in full that S9 reports is not a related report, but an overlapping report.</t>
  </si>
  <si>
    <t>Theme or Sub-theme</t>
  </si>
  <si>
    <t>A Note Related to RQ3</t>
  </si>
  <si>
    <t>The trends are not visible on a single piece of paper, as a technique, and therefore each row T4 and under 6.1 represents how the trend was demonstrated. The strongest possible signal is explicit, the authors themselves indicate a change, open challenge or future direction. No signals indicates that they do not. In T1, T 2; T 3 and T 5, there is no signal in the rows. Another value, judgement about the synthesis across studies, and not a property of individual row, was a distributional reading, the spread of the publication years, and is not used (an inferred value in the first pass).</t>
  </si>
  <si>
    <t>RQ4: The Extension Analysis</t>
  </si>
  <si>
    <t>References</t>
  </si>
  <si>
    <r>
      <rPr>
        <b/>
        <sz val="12"/>
        <color rgb="FF000000"/>
        <rFont val="Times New Roman"/>
        <family val="1"/>
      </rPr>
      <t>1-</t>
    </r>
    <r>
      <rPr>
        <sz val="12"/>
        <color rgb="FF000000"/>
        <rFont val="Times New Roman"/>
        <family val="1"/>
      </rPr>
      <t xml:space="preserve"> Cruzes, D.S. &amp; Dybå, T. (2011), 'Recommended Steps for Thematic Synthesis in Software Engineering', ESEM 2011, 275-284. DOI 10.1109/ESEM.2011.36. Primary method: the five-step thematic synthesis procedure followed here.
</t>
    </r>
    <r>
      <rPr>
        <b/>
        <sz val="12"/>
        <color rgb="FF000000"/>
        <rFont val="Times New Roman"/>
        <family val="1"/>
      </rPr>
      <t>2-</t>
    </r>
    <r>
      <rPr>
        <sz val="12"/>
        <color rgb="FF000000"/>
        <rFont val="Times New Roman"/>
        <family val="1"/>
      </rPr>
      <t xml:space="preserve"> Braun, V. &amp; Clarke, V. (2006), 'Using thematic analysis in psychology', Qualitative Research in Psychology, 3(2), 77-101. DOI 10.1191/1478088706qp063oa. Source of the six-phase structure used to organise the analytic work.
</t>
    </r>
    <r>
      <rPr>
        <b/>
        <sz val="12"/>
        <color rgb="FF000000"/>
        <rFont val="Times New Roman"/>
        <family val="1"/>
      </rPr>
      <t>3-</t>
    </r>
    <r>
      <rPr>
        <sz val="12"/>
        <color rgb="FF000000"/>
        <rFont val="Times New Roman"/>
        <family val="1"/>
      </rPr>
      <t xml:space="preserve"> Braun, V. &amp; Clarke, V. (2021), 'One size fits all? What counts as quality practice in (reflexive) thematic analysis?', Qualitative Research in Psychology, 18(3), 328-352. </t>
    </r>
  </si>
  <si>
    <t>Validation</t>
  </si>
  <si>
    <r>
      <t xml:space="preserve">The independent coding was conducted by all authors. Each author used a common code book, which was formulated on the pilot studies, to apply to the same studies without referring to the others, and all disagreement on a code, a sub-theme or a row type was discussed and agreed to an assignment to ensure that none of the code was entered randomly. The coded information in the </t>
    </r>
    <r>
      <rPr>
        <b/>
        <sz val="12"/>
        <color theme="1"/>
        <rFont val="Times New Roman"/>
        <family val="1"/>
      </rPr>
      <t>'Thematic map'</t>
    </r>
    <r>
      <rPr>
        <sz val="12"/>
        <color theme="1"/>
        <rFont val="Times New Roman"/>
        <family val="1"/>
      </rPr>
      <t xml:space="preserve"> is the consensus outcome of such independent work, not the assigning done by one author. It is a coding-reliability practice per software engineering (SE). One such measure to show consistency between authors is a quantitative agreement statistic; another is independent application of a common code book followed by agreement on the coding completed, which is applied here. </t>
    </r>
  </si>
  <si>
    <t>Search and Selection</t>
  </si>
  <si>
    <r>
      <rPr>
        <sz val="12"/>
        <color rgb="FF000000"/>
        <rFont val="Times New Roman"/>
        <family val="1"/>
      </rPr>
      <t xml:space="preserve">We never conduct a new database search in this study. The identified set of candidates is that which we have identified during our previous exploratory review, continued here and re-evaluated with respect to the scope criterion below. We used review conduct as provided by Kitchenham and Charters (2007).
In that last review we did. Using the research questions, we constructed the search string and we verified it with the Quasi-Gold Standard method (Zhang and Babar). We then searched three online databases, including the ACM Digital Library, IEEE Xplore and Scopus, in the over title and abstract fields with publication date between 1 January 2018 and 25 June 2026. We manually filtered the retrieved studies according to both the inclusion and exclusion criteria, on title and abstract, and then accessed full text when necessary and used both backward and forward snowballing (Wohlin, 2014). The automatic search was revealed to provide 1,183 records (Scopus 928, IEEE Xplore 208, ACM Digital Library 47). Narrowing this to non-English work and what has not been published as a peer-reviewed journal or conference article further reduced this to 463 (Scopus 226, IEEE Xplore 192, ACM Digital Library 45). Removing duplicates left 363. A screening of the ones that were about </t>
    </r>
    <r>
      <rPr>
        <b/>
        <sz val="12"/>
        <color rgb="FF000000"/>
        <rFont val="Times New Roman"/>
        <family val="1"/>
      </rPr>
      <t>'LLMs for Software Architecture Design'</t>
    </r>
    <r>
      <rPr>
        <sz val="12"/>
        <color rgb="FF000000"/>
        <rFont val="Times New Roman"/>
        <family val="1"/>
      </rPr>
      <t xml:space="preserve"> produced the candidate list of 58 that we bring into this study.</t>
    </r>
  </si>
  <si>
    <t>Data set</t>
  </si>
  <si>
    <t xml:space="preserve">The 58 studies are the candidate set that we have identified during our previous WiP exploratory review to be further analyzed, but not the final set of primary studies. In this study, we had put these candidates to an enhanced full-text assessment with an operationalized concept of architectural design and analysis of software aided by LLM. Only studies that had a substantive piece of evidence related to the usage of either an LLM or language-model-based approach in an architectural activity were retained. Research in which software architecture was simply described, in which the architecture described by the researcher was his own design of a system in which the LLM was used, or in which the LLM was carried out as the processor of non-architectural duties, were not considered as core corpus. Such optimization led to the identification of 23 studies that constitute the evidence base in the ultimate analysis. The set of candidates is a new reconciliation of 23 retained, 35 withdrawn.
</t>
  </si>
  <si>
    <t>Quality Assessment</t>
  </si>
  <si>
    <r>
      <t xml:space="preserve">All retained studies are rated on a six item instrument which was the same as our previous exploratory review to ensure that the two studies are comparable. The items are Q1 problem definition, Q2 problem context, Q3 research design, Q4 contributions, Q5 insights and Q6 limitations. They each have a maximum of 0 as a complete miss, 1 as partially satisfied and 2 as fully satisfied, totaling between 0 and 12. The instrument is reporting completeness, not methodological soundness that is measured. A research study can have a score of 12 and have not assessed anything and a high evaluation research can be marked as low on not having limitations. The scoring is noted in </t>
    </r>
    <r>
      <rPr>
        <b/>
        <sz val="12"/>
        <color theme="1"/>
        <rFont val="Times New Roman"/>
        <family val="1"/>
      </rPr>
      <t>'Quality Assessment'</t>
    </r>
    <r>
      <rPr>
        <sz val="12"/>
        <color theme="1"/>
        <rFont val="Times New Roman"/>
        <family val="1"/>
      </rPr>
      <t xml:space="preserve"> workbook where each study has a row and within each study every row corresponds to a given item providing the location of the score within the source and rationale of the given score. All scoring is performed both alone, prior to discussion, in order to report initial agreement, and to reach an agreed score on disagreements.</t>
    </r>
  </si>
  <si>
    <t>Scope-excluded sources</t>
  </si>
  <si>
    <t>A source is scope-excluded in the sense that it is an actual, good, peer-reviewed bit of research that merely fails to deal with the actual matter of the review (LLMs and generative AI to support software architecture design) after the complete text has been read, regardless of what it was called during the search time as indicated by its title and abstract.</t>
  </si>
  <si>
    <t>Scope Criterion and its Supporting Rules</t>
  </si>
  <si>
    <t>The operational test used at full-text reassessment: A model is in scope when a model executes or in a proposal paper is said to execute a task the object of which is a software architecture. The borderline cases were decided by four supporting rules which are mentioned below since it is on them that the reasons used on the Withdrawn studies sheet are based.
(1) The scope is determined by the object of the work of the model: its position within a system is irrelevant. The model as a part of an architecture is not in itself architectural work, and the run-to-run task workflow is not the architecture of the system in which it is instantiated.
(2) Metadata can only support a scope decision, and never determines one. Title, keywords, venue and classification terms have only supporting evidence the entire text has the final say.
(3) The knowledge-artefact rule. A model that generates a knowledge artefact, e.g. a domain ontology, a knowledge graph or a taxonomy of an application domain, is not performing architectural work. This is not a software architecture but domain knowledge.</t>
  </si>
  <si>
    <t>Sr</t>
  </si>
  <si>
    <t>ID</t>
  </si>
  <si>
    <t>Authors</t>
  </si>
  <si>
    <t>Title</t>
  </si>
  <si>
    <t>Year</t>
  </si>
  <si>
    <t>Venue</t>
  </si>
  <si>
    <t>Contribution type</t>
  </si>
  <si>
    <t>LLM / Gen AI used</t>
  </si>
  <si>
    <t>Architectural task addressed</t>
  </si>
  <si>
    <t>Evaluation type</t>
  </si>
  <si>
    <t>Family</t>
  </si>
  <si>
    <t>Coverage and independence</t>
  </si>
  <si>
    <t>S1</t>
  </si>
  <si>
    <t>Maranhão &amp; Guerra</t>
  </si>
  <si>
    <t>A Prompt Pattern Sequence Approach to Apply Generative AI in Assisting Software Architecture Decision-making</t>
  </si>
  <si>
    <t xml:space="preserve">EuroPLoP 2024 </t>
  </si>
  <si>
    <t>Technique and pattern-language contribution; there is no empirical work attached. There are five prompt patterns of architectural decision making (Software Architect Persona, Architectural Project Context, Quality Attribute Question, Technical Premises, Uncertain Requirement Statement), and they are documented in the forms of a lengthy Coplien and have a list of consequences of two sides. At the top of the catalogue, and of the headline of the paper: a fixed five stage process plus a conditional decision flow with an architect evaluate- and refine gate following the application of each pattern applied. Novelty has partiality and is proclaimed: three of the five specialise published patterns of White et al. (Persona, Question Refinement, Fact Check List) and only two proclaim no specialisation. Usefulness is reported as a practitioner appreciation provided in each of the known-uses sections of the patterns being used by the authors.</t>
  </si>
  <si>
    <t xml:space="preserve">ChatGPT or GPT. </t>
  </si>
  <si>
    <t xml:space="preserve">
The support for architectural decision-making is performed along with quality attribute trade-off and uncertainty handling as well.</t>
  </si>
  <si>
    <t>An illustrative application is used along with two industrial scenarios and one fictional case; qualitative practitioner feedback is also used. However, there is no baseline.</t>
  </si>
  <si>
    <t>F1</t>
  </si>
  <si>
    <t>37 meaning units (11 / 7 / 5 / 6 / 6 / 2 across themes T1 to T6). Introduces five patterns; S2 says that there is no assessment of these five patterns in this paper. Shared links are executed transcripts.</t>
  </si>
  <si>
    <t>S2</t>
  </si>
  <si>
    <t>Maranhão Junior, Melegati &amp; Guerra</t>
  </si>
  <si>
    <t>Applying a Prompt Pattern Sequence for Decision-Making in Microservices Architectures</t>
  </si>
  <si>
    <t>ESOCC 2025, LNCS 15547, pp. 18-32</t>
  </si>
  <si>
    <t>Empirical study, retrospective multi-case (2 cases, 2 participants), assessing patterns shown in S1. The 5 patterns are described again in the paper (both is a contribution and also an evaluation), therefore it constitutes both a re-presentation and an evaluation.</t>
  </si>
  <si>
    <t>GPT-4o.</t>
  </si>
  <si>
    <t>The support for architectural decision making is done especially for microservices architectures.</t>
  </si>
  <si>
    <t xml:space="preserve">Case study is used, 2 industrial decisions completed that were re-enacted, semi-structured interviews with 2 architects who made the decisions
</t>
  </si>
  <si>
    <t>32 meaning units (9 / 5 / 7 / 5 / 5 / 1 across themes T1 to T6). Not independent of S1: 5 patterns, same two Brazilian companies (car financing; 3000 store pharmacy retail), and both published prompt transcript URLs are same as 2 of S1's. Count as one family with S1 when reporting coverage.</t>
  </si>
  <si>
    <t>S3</t>
  </si>
  <si>
    <t>Diaz-Pace, Tommasel, Capilla &amp; Ramírez</t>
  </si>
  <si>
    <t>Architecture Exploration and Reflection meet LLM-based Agents</t>
  </si>
  <si>
    <t>ICSA-C 2025</t>
  </si>
  <si>
    <t>Agent architecture + Proof of Concept (PoC), and Technique.</t>
  </si>
  <si>
    <t>GPT-4o-mini, via LlamaIndex.</t>
  </si>
  <si>
    <t>The study performs exploration for architecture alternatives, tactic and pattern search along with assesment and decision support.</t>
  </si>
  <si>
    <t>Evaluation involved initial evaluation and a case study published earlier, which was reused (13 requirements); two different agent configurations were evaluated against the original published one; no human subjects were involved.</t>
  </si>
  <si>
    <t>F2</t>
  </si>
  <si>
    <t>29 meaning units (8 / 4 / 6 / 6 / 4 / 1 across themes T1 to T6). Independent of F1. First study in the corpus to fill sub-themes 1.1, 1.4, 2.3 and 3.2.</t>
  </si>
  <si>
    <t>S4</t>
  </si>
  <si>
    <t>Dhar, Vaidhyanathan &amp; Varma</t>
  </si>
  <si>
    <t>Can LLMs Generate Architectural Design Decisions? An Exploratory Empirical Study</t>
  </si>
  <si>
    <t>ICSA 2024</t>
  </si>
  <si>
    <t>A comparison in a controlled way is given for three adaptation approaches, Empirical study.</t>
  </si>
  <si>
    <t>18 models are used: GPT-2/3/3.5/4 families and T5, T0, Flan-T5 families.</t>
  </si>
  <si>
    <t>The generation of decision for an architecture decision record from its existing context is done; means architecture knowledge management (AKM).</t>
  </si>
  <si>
    <t>This is an experiment that is replicated across multiple public repositories (95 records), is compared to an automatic metric of the experiment, and is also manually evaluated on a subset.</t>
  </si>
  <si>
    <t>F3</t>
  </si>
  <si>
    <t>34 meaning units (7 / 7 / 9 / 6 / 3 / 2 across themes T1 to T6). Not dependent on F1 and F2.</t>
  </si>
  <si>
    <t>S5</t>
  </si>
  <si>
    <t>Soliman &amp; Keim</t>
  </si>
  <si>
    <t>Do Large Language Models Contain Software Architectural Knowledge? An Exploratory Case Study with GPT</t>
  </si>
  <si>
    <t>ICSA 2025</t>
  </si>
  <si>
    <t>Empirical study, evaluation of embedded knowledge.</t>
  </si>
  <si>
    <t xml:space="preserve">GPT-3.5 is used and is stated as the most trending and stable version at the time, as is called via API. </t>
  </si>
  <si>
    <t>Discussing the architectural knowledge of an existing system: components and connectors, quality-attribute solutions, rationale.</t>
  </si>
  <si>
    <t>Exploratory single-embedded case study, with 14 engineers, 236 questions, precision/recall/F1 measures, and a manually created ground truth, along with Likert quality and trustworthiness ratings, and a content analysis of the justifications given.</t>
  </si>
  <si>
    <t>F4</t>
  </si>
  <si>
    <t>36 meaning units (9 / 4 / 8 / 6 / 7 / 2 across themes T1 to T6). Independent of F1-F3. First time of study in the corpus that employs a distinction between trustworthiness and accuracy, (a) constructs a ground truth for an existing system, (b) quantifies the uncertainty in model output, and (c) calls model output randomness as a threat to validity.</t>
  </si>
  <si>
    <t>S6</t>
  </si>
  <si>
    <t>Ramachandran</t>
  </si>
  <si>
    <t>Empowering Software Architects with Artificial Intelligence: Analyzing GitHub Copilot's Role in Modern Architecture Design</t>
  </si>
  <si>
    <t>CSECS 2025</t>
  </si>
  <si>
    <t>Empirical generation-and-comparison study, single author, practitioner authored, no research design is named, no research question and no threats-to-validity section. A few note-takes are created to build the model manually, then scored by copilot against the four sets of UML diagrams, generated by the same copilot from the requirements specification, that have been published, using a borrowed similarity score in the graph where both the nodes and edges take equal weight, then taken a few adjustments to meet a fixed threshold of 0.6, giving a score of use case 0.56 (which was adjusted up to 0.61), class 0.61, sequence 0.66, and state 0.70. The important part is the deviation annotation per-diagram, with the named annotation omissions and relabellings plus correct material the model generated, which the metric penalises, and a public catalog of prompts; generated markups and scores.</t>
  </si>
  <si>
    <t>GitHub Copilot and attributes output to ChatGPT.</t>
  </si>
  <si>
    <t xml:space="preserve">
Creating UML design diagrams (use case, class, sequence, state) from requirements specification.</t>
  </si>
  <si>
    <t>One reference document is used along with four diagrams, there is one rater, no section for threats-to-validity, no baselines, and no repeatition of experiments.</t>
  </si>
  <si>
    <t>F5</t>
  </si>
  <si>
    <t>28 meaning units (8 / 3 / 6 / 6 / 3 / 2 across themes T1 to T6). Independent family F5. Co-writes with S19. Second family to reach sub-themes 1.1 and 3.2, so they are no longer single-family. Use its numerical results as an approximation: the stopping rule sets the scores just below 0.6.</t>
  </si>
  <si>
    <t>S7</t>
  </si>
  <si>
    <t>Eisenreich, Speth &amp; Wagner</t>
  </si>
  <si>
    <t>From Requirements to Architecture: An AI-Based Journey to Semi-Automatically Generate Software Architectures</t>
  </si>
  <si>
    <t>Designing '24, IEEE/ACM International Workshop on Designing Software</t>
  </si>
  <si>
    <t>A six-step process is proposed. A vision paper in which one small exploratory test is performed of its first step only.</t>
  </si>
  <si>
    <t>Currently testing Llama2-70B and GPT-3.5 (chat versions) and considering Llama, Falcon, and Yi for full proposed pipeline, not have been used yet.</t>
  </si>
  <si>
    <t>Comprehensive pipeline: from requirements to the domain model to multiple architecture candidates to automated evaluation to human selection.</t>
  </si>
  <si>
    <t>No metric or rater, narrative observation, informal exploratory test of domain-model generation only (91 requirements, MobSTr dataset). Proposal of the stages of architecture generation and evaluation, which have not been tested. Two full studies were planned, but not carried out.</t>
  </si>
  <si>
    <t>F6</t>
  </si>
  <si>
    <t>26 meaning units (8 / 4 / 4 / 5 / 3 / 2 across themes T1 to T6). Independent (F6). All pipeline-level claims—architecture candidate quality, usefulness of ADR, automation of evaluation; are proposed, not demonstrated, with the domain-model claim being the only one with any sort of empirical support, and the support is informal.</t>
  </si>
  <si>
    <t>S8</t>
  </si>
  <si>
    <t>Díaz-Pace, Tommasel &amp; Capilla</t>
  </si>
  <si>
    <t>Helping Novice Architects to Make Quality Design Decisions Using an LLM-Based Assistant</t>
  </si>
  <si>
    <t>ECSA 2024</t>
  </si>
  <si>
    <t xml:space="preserve">Technique and an initial evaluation is performed, ArchMind (a multi-copilot assistant) is used, and its described as an experiment by the authors.
</t>
  </si>
  <si>
    <t>OpenAI GPT-3.5 is used, via Chroma vector store and a Langchain.</t>
  </si>
  <si>
    <t>Creating architecture decision records for specific requirements: pattern suggestion, decision evaluation, consistency checking, ADR generation</t>
  </si>
  <si>
    <t>One student project is used as a single system, generated 16 records, five of them were reviewed manually by the authors themselves against the student formed records that were not treated as ground truth.</t>
  </si>
  <si>
    <t>31 meaning units (9 / 5 / 5 / 6 / 4 / 2 across themes T1 to T6). Family member of S3 (F2).</t>
  </si>
  <si>
    <t>S9</t>
  </si>
  <si>
    <t>Leveraging Generative AI for Architecture Knowledge Management</t>
  </si>
  <si>
    <t>ICSA-C 2024</t>
  </si>
  <si>
    <t>Proposed vision and approach with nothing constructed and nothing assessed. In two steps, proposes using a multi-modal retrieval-augmented generation for a system that can retrieve AK from a project's own repositories, import it from other sources, check the correctness of query results with an Oracle verifier and store the results with an AK generator; and for a retrieval phase that returns the result to open-ended and/or template questions that are appropriate to the question poser's role. Four engineering challenges the system would need to overcome are stated in the motivation section. The paper contains no empirical claims in it other than a rewritten summary of the own exploratory study of creating architecture decision records (this corpus contains the complete original study as S4).</t>
  </si>
  <si>
    <t>T5 based model family and GPT; the proposed fusion/extraction/ or retrieval pipeline itself uses no named model, being unbuilt.</t>
  </si>
  <si>
    <t>The entire AKM lifecycle: Extracting AK from a system, combining it with external knowledge, validating it and answering stakeholder questions against it.</t>
  </si>
  <si>
    <t>It is an empirical section that summarizes S4's exploratory study (same models, metrics, GitHub repository, and conclusions), but does not include any extraction, fusion, verification and retrieval components, nor is there any implementation or evaluation of those components.</t>
  </si>
  <si>
    <t>29 meaning units (9 / 5 / 3 / 7 / 3 / 2 across themes T1 to T6). Same family as S4 (F3): all three authors are the same, and S4's reference list mentions that this is 'companion work'.</t>
  </si>
  <si>
    <t>S10</t>
  </si>
  <si>
    <t>Jahić &amp; Sami</t>
  </si>
  <si>
    <t>State of Practice: LLMs in Software Engineering and Software Architecture</t>
  </si>
  <si>
    <t>It is an empirical study of mixed methods, containing experiments on zero-shot generation with an industrial survey that is used for validation.</t>
  </si>
  <si>
    <t>For reproducibility; GPT 3.5 has been chosen over GPT-4, both are tried and compared.</t>
  </si>
  <si>
    <t>Creating C4-model based views (System Context, Container, Component) and tool-chain suggestion based on requirements description</t>
  </si>
  <si>
    <t>50 experiments in 5 real projects, manually analyzed and blindly reviewed with 4 original project authors as reviewers; industry survey of 15 companies as a validation.</t>
  </si>
  <si>
    <t>F7</t>
  </si>
  <si>
    <t>35 meaning units (10 / 4 / 6 / 8 / 5 / 2) for  themes T1 to T6.</t>
  </si>
  <si>
    <t>S11</t>
  </si>
  <si>
    <t>Ahmad, Waseem, Liang, Fahmideh, Aktar &amp; Mikkonen</t>
  </si>
  <si>
    <t>Towards Human-Bot Collaborative Software Architecting with ChatGPT</t>
  </si>
  <si>
    <t>Ease 2023</t>
  </si>
  <si>
    <t>Three activities human-bot cooperative architecting process with example “process proposal + illustrative case study.” The authors characterize the results as preliminary and explicitly set the empirical results from the third phase out of the scope of the study.</t>
  </si>
  <si>
    <t>ChatGPT (date of use and the settings of version are not stated anywhere in the article).</t>
  </si>
  <si>
    <t>The complete architecting process, which involves architecturally significant requirements elicitation from an architecture story, architecturally significant UML class and component models (architectural synthesis), and architecturally significant scenarios (SAAM)</t>
  </si>
  <si>
    <t>One case study of a campus bike-sharing application was used as an exemplifying case study; one architect, no other participants, no baseline, no metric, no repetition. S6 will not be able to analyse threats to validity as it has them under internal, external and conclusion validity.</t>
  </si>
  <si>
    <t>F8</t>
  </si>
  <si>
    <t>32 meaning units (10 / 4 / 5 / 8 / 3 / 2) for themes T1 to T6.</t>
  </si>
  <si>
    <t>S12</t>
  </si>
  <si>
    <t>Keim, Kaplan, Koziolek &amp; Mirakhorli</t>
  </si>
  <si>
    <t>Does BERT Understand Code?, An Exploratory Study on the Detection of Architectural Tactics in Code</t>
  </si>
  <si>
    <t>ECSA 2020</t>
  </si>
  <si>
    <t>Empirical study and technique (BERT fine-tuned as a multi-class code classifier) with comparative evaluation against 7 prior ML baselines.</t>
  </si>
  <si>
    <t>BERT-base, fine-tuned with transfer learning (TL) for classification.</t>
  </si>
  <si>
    <t>Architecture analysis/recovery: Identification of the architectural tactics implemented by an existing code class (of a predefined set of five) to facilitate recovery of the traceability link from the code back to the quality-driven design decisions.</t>
  </si>
  <si>
    <t>10-fold cross-validation of a reused dataset (Mirakhorli et al. 2016) + replication on Apache Hadoop HDFS; benchmarked against 7 other classifiers: SVM, Slipper, J48, Bagging, AdaBoost, Bayesian, Mirakhorli's Tactic Detector; evaluated using Precision/Recall/F1; Friedman significance test for classifiers.</t>
  </si>
  <si>
    <t>F9</t>
  </si>
  <si>
    <t>29 meaning units (8 / 5 / 4 / 5 / 6 / 1) around themes T1 to T6.</t>
  </si>
  <si>
    <t>S13</t>
  </si>
  <si>
    <t>Ghiani, Manni &amp; Zacchino</t>
  </si>
  <si>
    <t>Improving Adaptability in Optimization-Based Decision Support Systems Through Large Language Models</t>
  </si>
  <si>
    <t>IEEE Access, vol. 13</t>
  </si>
  <si>
    <t>Technique + computational evaluation: an LLM-augmented self-adaptive Decision Support System with two runtime modules (Dynamic Metrics Generation, Multi-Criteria Decision Making) which allow the system to re-configure the components of its Decision Making component based on natural-language instructions, without redesign or redeployment, with built-in comprehension-verification and self-debugging, and also with fallback to human validation.</t>
  </si>
  <si>
    <t>GPT 4o is used via LangChain 0.3. It is used at runtime for two roles: (1) Dynamic Metrics Generation (DMG) that turns a description of natural language metric into an evaluation code that is executable, it is also validated by another LLM call and then self-debugged iteratively against sample plans; (2) Multi Criteria Decision Making (MCDM) that selects a kind of preferred plan from natural language trade off   instructions and then a justification of natural language got generated.</t>
  </si>
  <si>
    <t>The DSS itself is able to reconfigure its architecture, in order to adapt its behaviour (or configuration) to the changing requirements while it is running, which makes the DSS an architectural reconfiguration of an aself-adaptive software system, and thus follows the definition of a self-adaptive system. The two roles of the LLM (DMG, MCDM) are the way that such self-adaptation occurs: that is, reinterpreting the metrics that govern system behaviour, and the trade-offs that the system optimises for, at runtime, from natural language instructions. This is the architectural design support of a SASS as described in RQ4 of this workbook. Authors explicitly say they are working on a domain-general problem, scheduling, resource allocation, and strategic planning in Section V: Domain: last-mile logistics / Vehicle Routing Problem.</t>
  </si>
  <si>
    <t>Extensive computational study on a 'rich' Multi-Period Dynamic VRP with Pickups and Deliveries: 10 test criteria (C1-C6) to evaluate the correctness of the generated DMG codes (Table 3), correctness of the selected plans using MCDM (Table 5), robustness to degraded/ambiguous prompts (Tables 6-7), computational efficiency/token usage under m=10 to 1000 candidate plans (Table 8), and qualitative interpretability of the generated decision justifications (Table 9); plus a 10-participant human baseline of manually tuning the DSS parameters against the proposed approach.</t>
  </si>
  <si>
    <t>F10</t>
  </si>
  <si>
    <t xml:space="preserve">29 meaning units (9 / 4 / 4 / 7 / 4 / ) for themes T1 to T6. </t>
  </si>
  <si>
    <t>S14</t>
  </si>
  <si>
    <t>Pan, Mao, Ma &amp; Ling</t>
  </si>
  <si>
    <t>ArchAgent: Scalable Legacy Software Architecture Recovery with LLMs</t>
  </si>
  <si>
    <t>ICASSP 2026</t>
  </si>
  <si>
    <t>Architecture recovery from large-scale, cross-repository legacy codebases: Technique + quantitative evaluation, a hybrid, multi-agent approach (static analysis + graph-based reasoning + LLM semantic synthesis) to architecture recovery with a scalability comparison against an industrial baseline and a controlled ablation study, and a real-world case study.</t>
  </si>
  <si>
    <t>For comparison of DeepWiki and as a model in ablation study, Qwen3-32B-128K is used. Another model named DeepSeek R1 Distill Llama 70B 64K is used by the authors in the ablation study, and mentioned as Llama 3.</t>
  </si>
  <si>
    <t>Architecture recovery/reconstruction: producing multiview, business-aligned architecture diagrams (in Mermaid) from existing large-scale, cross-repository legacy source code, file/class/function-level reference graphs, a system-level readme.md, and identification of business-critical modules and execution flows. The direction is recovery; not generation; from code.</t>
  </si>
  <si>
    <t>Two controlled, quantitative human-evaluation studies conducted on 30 pre-screened senior SE with (1) 8 curated, open-sourced production GitHub repositories (1k-22k files) and a ground truth of architecture documentation, scored using a layers/nodes/edges TP-FP-FN protocol, resulting in precision/recall/F1 scores, (2) an ablation study conducted on participants' own industrial repositories, with cross-repository dependency context isolated, using F1 and a study-specific 'Business Restoration Degree' metric, with 2 methods x 2 models (120 diagrams overall). Plus a real world example of an 621-file industrial SQL transformation system.</t>
  </si>
  <si>
    <t>F11</t>
  </si>
  <si>
    <t xml:space="preserve">28 meaning units (10 / 4 / 5 / 5 / 3 / 1) for themes T1 to T6. </t>
  </si>
  <si>
    <t>S15</t>
  </si>
  <si>
    <t>Öğdü, Arslanoğlu &amp; Karaköse</t>
  </si>
  <si>
    <t>An Adaptive Multi-Agent LLM-Based Clinical Decision Support System Integrating Biomedical RAG and Web Intelligence</t>
  </si>
  <si>
    <t>Technique + benchmark and ablation evaluation: multi-layered adaptive Clinical Decision Support System (CDSS) based on the fusion of five interacting Language Model (LM) agents using the CrewAI framework, where the Biomedical RAG (Retrieval Augmented Generative) stream is formulated using BioBERT and Qdrant, live web-evidence stream, cross-source fusion and confidence calibration, and confidence-triggered feedback.</t>
  </si>
  <si>
    <t>More than one role using the same model (e.g., DeepSeek-R1 is used for clinical text structuring and for the RAG hypothesis generation; the mapping is not 1 model per agent): DeepSeek-R1 (clinical text structuring), Gemini-2.0-Flash (RAG hypothesis generation, and again for the optimiser), Qwen2-72B (literature summarisation), GPT-4o-mini (fusion and synthesis). Embeddings generated by the biomedical sentence transformer BioBERT-mnli-snli-scinli-scitail-mednli-stsb. No tuning or extra training is done; updates are done by re-indexing the sources, not by tuning. No version pinning or access dates given.</t>
  </si>
  <si>
    <t>This source includes various tasks that the LLM has to execute within the system architecture. The five agents include: (1) Clinical Text Clarifier, normalises free-written patient text, performs entity recognition and relation extraction, maps concepts to SNOMED CT / ICD-10, and emits schema-conforming JSON, zero-shot; (2) Symptom RAG Analyzer, embeds structured input, retrieves from the biomedical vector index, and outputs a ranked list of preliminary diagnoses; (3) Evidence-Based Scanner, issues programmatic web searches to PubMed, Google Scholar and clinical guidance from NICE, and summarizes the results based on a hierarchy of evidence; (4) Clinical Data Fusion, cross validates two evidence streams, runs conflict detection, calibrates a confidence score and writes an explainable report; (5) Adaptive Optimizer, a meta-controller that scores and, below a confidence threshold of 0.65, re-organizes query parameters, and re-directs (2) and (3) to re-run.</t>
  </si>
  <si>
    <t>Single benchmarks and ablation (no clinical assessment). The three biomedical QA datasets (MedQA, PubMedQA, MedBullets), with 50 questions each, were selected to match the number of questions in the multi-agent systems in the comparison table (94% accuracy, 47/44/42 correct, these numbers add up exactly; the reported specificity in MedQA is 0.985 under one-versus-all reduction). The leave-one-agent-out ablation experiment measures each agent, by removing 20 MedQA questions from the dataset (20 MedQA questions without Fusion, 20 MedQA questions without RAG Analyzer, 20 MedQA questions without Scanner, 20 MedQA questions without Optimizer, 20 MedQA questions without Clarifier, 20 MedQA questions without term boosting). Component-level latency reported.</t>
  </si>
  <si>
    <t>F12</t>
  </si>
  <si>
    <t>33 meaning units (7 / 6 / 6 / 8 / 5 / 1 across themes T1 to T6). For RQ4: it is the first self-monitoring loop for the corpus.</t>
  </si>
  <si>
    <t>S16</t>
  </si>
  <si>
    <t>Xia, Jazdi &amp; Weyrich</t>
  </si>
  <si>
    <t>An Architecture for Integrating Large Language Models with Digital Twins and Automation Systems</t>
  </si>
  <si>
    <t>2025 IEEE 30th International Conference on Emerging Technologies and Factory Automation (ETFA)</t>
  </si>
  <si>
    <t>Technique + architecture proposal with prototype case studies; a three-layer architecture (Cognition/LLM, Digital Twin, Physical/Automation), fusing LLMs with digital twin and industrial automation systems, and three techniques for structure digital-twin information for LLM reasoning (state-snapshot, event-log, planning-based modeling) showcased through three lab-setting case studies. A quantitative assessment of any case study is not reported.</t>
  </si>
  <si>
    <t>An 'LLM agent' software component integrated through structured prompt templates; No specific model name, version and provider are mentioned anywhere in the paper.</t>
  </si>
  <si>
    <t>Draws and designs a realistic system architecture (Figure 1, Figure 2, Section III 'System Architecture') for a family of industrial systems. Strong relevance in RQ4: the planning-based design paradigm presents a real running process monitoring, detection and replanning cycle for the real physical process, one of the most explicit self-adaptation relevant mechanisms in the entire corpus (see 3.4).</t>
  </si>
  <si>
    <t>3 prototype case studies (lab setting, demonstration videos, no quantitative benchmark or benchmark/baseline comparison) and a suggested but not applied here test-driven development process with automated evaluation by ‘LLM-as-a-judge’.</t>
  </si>
  <si>
    <t>F13</t>
  </si>
  <si>
    <t>27 meaning units (7 / 5 / 5 / 6 / 3 / 1)  for themes T1 to T6. Not dependent on any other family.</t>
  </si>
  <si>
    <t>S17</t>
  </si>
  <si>
    <t>Niranjan, Narain &amp; Aishwarya</t>
  </si>
  <si>
    <t>AI-based SDLC Assistant with Multi-Agent Architecture</t>
  </si>
  <si>
    <t>ICCCES 2026</t>
  </si>
  <si>
    <t>Single component example of PoC prototype. Proposes a first three lifecycle phases (requirements, planning and design) multiagent assistant consisting of four role-specialised agents: a requirement agent able to generate a structured specification from stakeholder's free specification text; a planning agent able to create a work breakdown structure, durations, a risk matrix and a project plan; a design agent able to create high level and low level design documentation with a technology-stack recommendation, database-schemas and interface-specifications; a manager agent for coordinating and validating. Asynchronous backend, browser frontend to allow constraints/persistent state and to view and tweak intermediate results by interested parties. In Section IV and VIII, eight challenges and risks are listed. Only the requirement agent is activated.</t>
  </si>
  <si>
    <t>One model is used, it's a commercial GPT-class model, which is called family and tier, and which is used as the reasoning engine for the single agent that is exercised in the PoC. Beyond that the paper wants to propose the model agnosticism that proprietary or open models could be assigned per agent based on cost, performance or task, but fails to apply this principle. No model is  named for the planning/design/management agents, no version, temperature, context length or any other setting is ever stated anywhere, no prompt appears anywhere for any agent, even though domain-specific prompting is indicated to be the limiting mechanism, and no fine-tuning or adaptation is performed.</t>
  </si>
  <si>
    <t>Architecture is generated from the requirements using a model. The design agent receives the generated specification and project plan and generates high level design which includes system architecture, database schema, technology stack, low level design which includes component logic, module interaction and its relationship to interfaces, and recommends the technology stack; This generates schemas based on a normalisation criterion and generates code-ready descriptions of architecture diagrams.</t>
  </si>
  <si>
    <t>There are three reports, all related to the need for the requirement agent. (i) One unstructured client prompt (a hospital management request) is passed to the requirement agent and validated on the component level, with a narrative description of the result, without measurement. (iii) Five specifications created by agents with a human-corrected hallucination rate of around 20%. (iv) A qualitative evaluation of software engineering students and developers with an unknown sample size, with an average clarity rating of 8/10.</t>
  </si>
  <si>
    <t>F14</t>
  </si>
  <si>
    <t>35 meaning units (8 / 7 / 5 / 9 / 4 / 2) for  themes T1 to T6. Not dependent on all other families.</t>
  </si>
  <si>
    <t>S18</t>
  </si>
  <si>
    <t>Chemo, Mordecai &amp; Reich</t>
  </si>
  <si>
    <t>Foundational Analysis of Safety Engineering Requirements (SAFER)</t>
  </si>
  <si>
    <t>IEEE aerospace conference 2026</t>
  </si>
  <si>
    <t>Technique + tool + case-study evaluation. Safer is a model-driven safety requirement set audit method, available as a Python software package. It takes two inputs; a formal representation of the architecture of the system (a textual object-process specification, or an interchange file generated from a simple block-definition diagram) and raw set of stakeholders' requirements; and run six named processes: initialisation, subsystem and function extraction, classification of requirements by function and type, identification of coverage-gap, identification of contradiction, and identification of duplication. Has four report artefacts. The framework is formalized in the same notation as it uses, and is based on a published safety-architecture ontology which also formally states that ordinary functional subsystems can be safety critical, and hence the concept of safety is viewed as a property of the functional architecture, rather than a panache layer over it.</t>
  </si>
  <si>
    <t>No model family can be found; it is only program model and called by a vendor API, and the model name is only at product level, no version, no release date, no size. The only generation parameter that is repeatable is stated anywhere is the sampling temperature, and is set to zero, making the answers as determinate as possible. No fine tuning, adaptation or training. A comparative study between several commercial vendors is explicitly mentioned as future work.</t>
  </si>
  <si>
    <t>Architectural work is directly performed by a model, but on every run the model performs the following architectural activities: architecture recovery (deriving the subsystem and function decomposition from a formal architecture model); requirement allocation (allocating the requirement to a subsystem); coverage-gap analysis (analyzing the coverage gap to derive gaps between the requirements and the implementation); contradiction analysis (deriving contradictions between the requirements and the implementation).</t>
  </si>
  <si>
    <t>Two deliberately different phases on an autonomous drone. There was a manual classification of each of the 42 safety-critical requirements as “deliberately ‘messy'”, prior to the tool running, with a human “prior human reference”, with the results of the 42 requirements changing from 71.42% to 81.82% to 82.72% across four named prompt refinements. Exploitation: 110 requirements evaluated as sufficient (based on 3 functional requirements and 1 probabilistic requirement per function), sufficient (3 functional requirements, 1 probabilistic requirement), and contradictory (7 functional requirements, 1 false positive). The batch size was varied between 1 and 40. The thresholds for success were expressed numerically, and were presented before the results in the text, but no clear indication is provided when they were set with respect to the experiments; for each measure reported, there was some human reference; both directions of error were reported and diagnosed; and the prompt was used as an experimental variable with the effect measured at each version.</t>
  </si>
  <si>
    <t>F15</t>
  </si>
  <si>
    <t>40 meaning units (10 / 8 / 7 / 10 / 3 / 2 across themes T1 to T6). Recomputed from Thematic map. Self-contained and separate from other families.</t>
  </si>
  <si>
    <t>S19</t>
  </si>
  <si>
    <t>Multi-Agent AI-Assisted Design and Validation of Complex Microservices Architectures: An Empirical Study</t>
  </si>
  <si>
    <t>CSECS 2026</t>
  </si>
  <si>
    <t>Five metrics reported per cohort, a five-cohort controlled comparison (human-only baseline, Copilot Chat-assisted, and three independent agent implementations) of an implemented and deployed microservices system. In reality and; unlike the corpus' proposal tier; once and thus not more or statistically treated.</t>
  </si>
  <si>
    <t>Claude Opus 4.6, Claude Sonnet 4.6 and GPT-5.4 are three frontier models that are deployed on a single agentic position via GitHub Copilot agents. Opus 4.6 released 5 Feb 2026, Sonnet 4.6 17 Feb 2026, GPT-5.4 5 Mar 2026. No version string after the product name; No temperature, sampling or decoding setting reported. The final cohort employs GitHub Copilot Chat, model unidentified.</t>
  </si>
  <si>
    <t>The architectural planning from requirements (service boundaries, APIs and data models) and the derivation of class, entity and sequence diagrams from requirements continued as Markdown and were then fed back as binding constraints on code generation. Then production grade code generation, automated validation and CI/CD execution.</t>
  </si>
  <si>
    <t>The study consisted of five cohorts, including human-only (9 days), Copilot Chat-assisted (5 days), and three agent cohorts (2.1, 2.3, 2.0 days) that were evaluated on the same requirements, infrastructure, repositories, prompts and test suites. Metrics: development time, maintainability, code coverage, security score, self-correction rate, plus lines of code, class count, major design updates and human effort, the latter of which is not quantified. There is no version number for the scanner (which is of an OWASP origin), and no name or version number for SAST; every other instrument has a version that is pinned. The negatives are one implementation per cohort, no repetition, no variance, no confidence interval, no significance test, and three of the percentage metrics reported are never defined.</t>
  </si>
  <si>
    <t>F19</t>
  </si>
  <si>
    <t>46 meaning units (12 / 8 / 8 / 11 / 5 / 2 across themes T1 to T6). Independent family F19. Sole author is the same person as S6's.</t>
  </si>
  <si>
    <t>S20</t>
  </si>
  <si>
    <t>Fuchß, Liu, Corallo, Hey, Keim, von Geisau &amp; Koziolek</t>
  </si>
  <si>
    <t>Who's Who? LLM-assisted Software Traceability with Architecture Entity Recognition</t>
  </si>
  <si>
    <t>ACM Transactions on Autonomous and Adaptive Systems (TAAS),2026</t>
  </si>
  <si>
    <t>Journal publication of a conference paper. In addition to the approach introduced in the conference paper (ExArch), presents one of the two approaches (ArTEmiS), a counterfactual (extended) evaluation of ExArch to more models and revised benchmark, and an evaluation of both approaches (combined) with the current heuristic tool. Two replications deposited.</t>
  </si>
  <si>
    <t>Eleven models, all commercially available Open-source models deployed locally. Initial evaluation: GPT-4o mini, GPT-4o, GPT-4 Turbo, GPT-4, GPT-3.5 Turbo (API) and Codellama 13b, Llama 3.1 8b, Llama 3.1 70b (local). This updated version of the benchmark includes ArTEMiS: GPT-4o, GPT-4.1, and GPT-5. Additionally, INSTACOMPARE leverages OpenAI's text-embedding-3-large to perform entity matching. No fine-tuning anywhere.</t>
  </si>
  <si>
    <t>Two architectural tasks. (1) ExArch transforms software architecture documentation and/or source code package structure into a simple Software Architecture Model (list of high-level component names) that is then fed to a downstream model-based tool instead of a handcrafted model. (2) ArTEMiS conducts named entity recognition of architecture-related entities on documentation, to identify primary names, aliases and occurrence lines, as well as matching those to the model entities to generate trace links.</t>
  </si>
  <si>
    <t>Reused an approach of comparing the dataset and metrics of the same approach used in the established public benchmark (5 open-source projects: MediaStore, TeaStore, teammates, BigBlueButton, JabRef). Six baselines, with and without model, and including the authors' previous RAG system, which resulted in the lowest performance and is thus reported. One sided Wilcoxon signed rank tests for p-values with p-values in both directions (including 2 p-values not significant). ArTEMiS executed five replications for each configuration and the per-project standard deviations were used. Averages throughout reported as macro and link-weighted averages. Per-project error analysis: figures diffing against manually generated models. Runeson &amp; Höst, and Sallou et al., on threats to validity (generalized). Two packages of replications are available with DOIs.</t>
  </si>
  <si>
    <t>F20</t>
  </si>
  <si>
    <t>51 meaning units (15 / 10 / 10 / 10 / 4 / 2 across themes T1 to T6). Independent family F20. Jan Keim and Anne Koziolek are featured on both this paper and S12.</t>
  </si>
  <si>
    <t>S21</t>
  </si>
  <si>
    <t>Zhuang, Jiang, Zhang, Yang, Zhou &amp; Zhang</t>
  </si>
  <si>
    <t>Learning to Be a Doctor: Searching for Effective Medical Agent Architectures</t>
  </si>
  <si>
    <t>MM '25-33rd ACM International Conference on Multimedia, Dublin, Ireland</t>
  </si>
  <si>
    <t>Technique paper. A framework where a language model is able to automatically design and repeatedly redesign the architecture of a multi-agent diagnostic system. Contributions as stated: Fully automated design framework for medical multi-agent systems, hierarchical search space of architectural modifications at node, structural and framework levels and self improving search algorithm on the basis of diagnostic feedback. Evaluate on two dermatological image-classification datasets on three models using two orthogonal ablations on three baselines.</t>
  </si>
  <si>
    <t>Three models compared in the same position, each named to a dated release: GPT-4o-2024-05-13, Claude-3-5-sonnet-20240620 and GPT-4o-mini-2024-07-18. No tuning is required as it is all pre-made. Temperature 1.0, random seed 42. The retrieval tool node uses a pre-trained clip ViT-L/14 encoder without fine-tuning to store in a Pinecone vector database. Created with LangGraph using custom node types.</t>
  </si>
  <si>
    <t>The model is meant to execute the full task of architecture design and this is the densest, architecturally oriented source in the corpus. Produces an architecture from a single node seed; chooses from a set of control-flow structures (conditionals, iterations, parallel paths); builds known multi-agent patterns from basic blocks; examines the structure of the produced architecture after running it; and implements validated changes to known patterns. 
The artefact designed is an agent workflow graph (typed nodes with prompts and tool bindings, edges with execution order).</t>
  </si>
  <si>
    <t>There were two datasets, three models, three baselines (direct prompting, chain of thought prompting, and a multi-agent round table prompting framework), and a proper training/validation/testing split, with architecture frozen once validation accuracy stabilized, and two orthogonal layers of ablations (one removing individual operations and the other constructing the search space incrementally) that demonstrate that accuracy improves monotonically. A consistency metric is added to accuracy: Majority-vote consensus over 64 samples of each disease class, reported for each disease class. Cost of resources is recorded. Each model is given a date-based release name. Temperature is set to 1.0 (to ensure that different reasoning paths are encouraged), a single seed is used and there is no between-run variance reported, so every accuracy is one sample from a deliberately stochastic process (which is not the same thing as consensus, which measures the stability of the different samples within a run) and the differences are reported as significant without a test. There are two data sets in a single domain.</t>
  </si>
  <si>
    <t>F16</t>
  </si>
  <si>
    <t>48 meaning units (14 / 8 / 7 / 13 / 4 / 2 across themes T1 to T6). S21 and S19 are the only sources which have evidenced rows in all 20 sub-themes.</t>
  </si>
  <si>
    <t>S22</t>
  </si>
  <si>
    <t>Feniak</t>
  </si>
  <si>
    <t>AI-Powered Methods for Automating Software Architecture Development</t>
  </si>
  <si>
    <t xml:space="preserve"> Springer Cham, pp. 335-349</t>
  </si>
  <si>
    <t>Vision / position paper. Proposes using large language models (LLMs) with retrieval enhancement and reinforcement learning from human feedback to automatically interpret requirements, automatically generate and validate with iterations within a fixed architecture design method based on the attributes, and automatically analyze trade-offs to replace part of the manual architecture review.</t>
  </si>
  <si>
    <t>There is no model, version, provider, vector store, embedding model or configuration identified. In a figure, there are two model names, while in the method, they are not mentioned. The printed page 345 contains the figure that shows two model names – in this instance, the feedback-loop figure was the printed version of Meta's published training pipeline for Llama 2, titled Llama 2 and Llama-2-chat, an example of what fine-tuning from human input is. None are shown as models here selected, configured or run this work.</t>
  </si>
  <si>
    <t>It's about making software architecture automation. It offers a mechanism and not a taxonomy or comparison. It is further evidence that the criterion needs its second limb (architectural analysis and design for model-based systems, and design support about architecture).</t>
  </si>
  <si>
    <t>The testing section describes an evaluation that may have been conducted (an automated trade-off analysis plus feedback loops) and the abstract and conclusions report results in the past tense. The only quantitative statement that could be found on the available pages is a forty per cent reduction, which is repeated three times, each time with a different referent but no measurement following any of them.</t>
  </si>
  <si>
    <t>F17</t>
  </si>
  <si>
    <t xml:space="preserve">36 meaning units (10 / 6 / 5 / 9 / 4 / 2) for themes T1 to T6. </t>
  </si>
  <si>
    <t>S23</t>
  </si>
  <si>
    <t>Jafari Sarvejahani</t>
  </si>
  <si>
    <t>Towards Architectural Pen Test Case Generation and Attack Surface Analysis to Support Secure Design</t>
  </si>
  <si>
    <t>States three research questions and some initial ideas on how to derive penetration test cases from architectural models, how to prioritise the test cases based on their severeness and how to score alternative architectures based on attack-surface complexity, which in turn can be used as inputs to a recommender for the architects. The paper is about work that is proposed not work that has been done.</t>
  </si>
  <si>
    <t>It is one of three proposed strategies, and the plan will be to first develop a non-model algorithm (over public weaknesses, attack-pattern and vulnerability collections) and, only after the development of the non-model algorithm, consider whether a model can be used to replace parts of the algorithm, or enhance parts of the algorithm; the algorithm to be used as a baseline.</t>
  </si>
  <si>
    <t>The whole point of it is that it aids architectural design - that is, it takes architectural models as input, returns secure design decisions as output, and the architect is the intended user. The model is also placed at the analysis end of design support, which is the first time in the corpus that it was done instead of the generation end: The architecture is evaluated and rated for architects.</t>
  </si>
  <si>
    <t>An evaluation strategy is expressed, but no evaluation has been performed for the self-built algorithm (non-model) or against comparable published algorithms in the autonomous-vehicle domain, for accuracy, precision, recall and effectiveness.</t>
  </si>
  <si>
    <t>F18</t>
  </si>
  <si>
    <t xml:space="preserve">36 meaning units (10 / 6 / 7 / 8 / 3 / 2) for themes T1 to T6. </t>
  </si>
  <si>
    <t xml:space="preserve">Original Corpus ID </t>
  </si>
  <si>
    <t>Full title</t>
  </si>
  <si>
    <t xml:space="preserve">Family </t>
  </si>
  <si>
    <t>Units withdrawn</t>
  </si>
  <si>
    <t>Reason for Exclusion</t>
  </si>
  <si>
    <t>Shethiya</t>
  </si>
  <si>
    <t>LLM-Powered Architectures: Designing the Next Generation of Intelligent Software Systems</t>
  </si>
  <si>
    <t>The contribution is an architectural knowledge of a class of LLM based systems and no model carries out any architectural task. It was determined that second limb of criterion "architecture for LLM-based systems" was not considered and adopted, thus the system was withdrawn. This is a scope decision and not a quality judgement.
A study without narration, system, case run and evaluation. It outlines architectural patterns to apply LLM in software systems (like RAG, Prompt Chain, Agent Orchestration, Synchronous and Asynchronous Pipelines) and presents a generic reference diagram and governance framework including scope of the model, prompt auditing, bias mitigation, privacy and lifecycle management, all authored by the author.
There were 2 scope independent source verified quality defects. No reference to the text: 11 citations, but none of these to the claim they support. The stated issue date is April 2023, which doesn't match the text which says model input limits are 8K to 128K tokens.</t>
  </si>
  <si>
    <t>Smirnov, Levashova &amp; Ponomarev</t>
  </si>
  <si>
    <t>Decision Support Based on Large Language Models: Ontology-based Architecture and Generalized Scenario</t>
  </si>
  <si>
    <t>No model does any architectural task, the contribution is architectural knowledge of a class of LLM-based systems. The second limb of criterion for architecture for LLM based systems was discussed but not included. This is a scope decision as opposed to a quality decision, as there are a number of sources in Group C that are the best in the list of candidates and most rich in RQ4.
Architectural designs are the work of the human authors; no model does architectural work, all four workflows are designed by the human authors. The one positive row at 1.1 is a modelling of an application domain conceptually (that is, a domain ontology, not software-architecture work) as opposed to the modelling of software-architectures made by S54. During this phase, conceptual models are developed which are not tested empirically, according to the paper. Counted as an external anchor reference for RQ4 and not in total count.</t>
  </si>
  <si>
    <t>Santhosh, Baskar &amp; Janani</t>
  </si>
  <si>
    <t>Intelligent Multi-Agent Architecture Leveraging Large Language Models for Transparent, Interactive Financial Analysis and Strategic Investment Recommendation</t>
  </si>
  <si>
    <t>In the financial analysis, application paper. The task object of the model is not a software architecture, but a financial analysis, and a recommendation on investment. There is no architectural task and no architectural contribution in 1.1-1.4, because all the rows are negative in this range.</t>
  </si>
  <si>
    <t>Guo, Guo, Li, Huang, Zhu &amp; Zou</t>
  </si>
  <si>
    <t>Disturbance-Aware Closed-Loop Rescheduling for Airport Ground Operations via LLM-Enhanced Decision Support</t>
  </si>
  <si>
    <t>Application paper for the airport ground service. The model's task object is not a software architecture, but a modified schedule for performing the ground operations. There is no positive row in each of 1.1 – 1.4 so there is no architectural task, and no architectural contribution.</t>
  </si>
  <si>
    <t>Park, Park &amp; Kim</t>
  </si>
  <si>
    <t>WildfireKR: An LLM-Agent Decision Support Framework for Autonomous Wildfire Spread Simulation in South Korea</t>
  </si>
  <si>
    <t>Application paper: for emergency and environmental modelling. The task object of the model is not the software architecture, but a simulation of the spread of wild fires. There are no positive rows at any of 1.1-1.4 so there is no architectural task and no architectural contribution.</t>
  </si>
  <si>
    <t>Sarao</t>
  </si>
  <si>
    <t>Next-Gen AI Decision Support in Software Engineering: Leveraging Complexity with Quantum Computing, DevOps Automation, and Responsible Machine Learning</t>
  </si>
  <si>
    <t>A positive row at position 1.3 (where one application was designed by the authors), however this row is not associated with any architectural work by any model. In such a paper, if the design extends to other contexts and becomes a basis for creating a transferable set of guidance, then this guidance is the result of the building of the system and is not the contribution of that paper.</t>
  </si>
  <si>
    <t>Narsepalle, Bolla &amp; Bandaru</t>
  </si>
  <si>
    <t>A Cloud-Native Generative AI Agent Architecture for Predictive Cardiovascular Health Analytics</t>
  </si>
  <si>
    <t>Application paper, a clinical analytical application. The task object for the model is a cardiovascular risk analysis and not a software architecture. There is no architectural task (and no architectural contribution), since there are no positive rows at any of 1.1-1.4.</t>
  </si>
  <si>
    <t>S24</t>
  </si>
  <si>
    <t>Li, Zhang, Zhang, Zhou, Bai, Li, Gu, Li, Du, Li, Chen &amp; Wu</t>
  </si>
  <si>
    <t>Large Language Model Driven Auxiliary Decision System for Substation Equipment Status Assessment and Technical Retrofit</t>
  </si>
  <si>
    <t>F21</t>
  </si>
  <si>
    <t>S25</t>
  </si>
  <si>
    <t>Lu, Zhu, Xu, Liu, Xing &amp; Whittle</t>
  </si>
  <si>
    <t>A Taxonomy of Foundation Model based Systems through the Lens of Software Architecture</t>
  </si>
  <si>
    <t>F22</t>
  </si>
  <si>
    <t>The contribution is the knowledge of the architecture of a class of LLM based systems, with no model doing any architectural work. Not adopted due to the second criterion; architecture for LLM based systems, which was considered. 
None of the models are actually run, the paper itself is a systematic literature review and the result is a classification. All the six positive rows at 1.2 and 1.3 are authors' own catalogue or proposals such as architecture options catalogued, deployment options catalogued along 3 dimensions, an AI bill of materials, a co-versioning registry and standardised reporting. It is on the same area of land as S31, and withdrawn for the same reason. The total will not include counting which will be used as an anchor for RQ4.</t>
  </si>
  <si>
    <t>S26</t>
  </si>
  <si>
    <t>Kumar, Sagar &amp; Jain</t>
  </si>
  <si>
    <t>Autonomous Multi Agent Collaborators for Enterprise Decision Support: An Agentic AI Framework to Hybrid RAG and Text-to-SQL</t>
  </si>
  <si>
    <t>F23</t>
  </si>
  <si>
    <t>Paper to be used in Enterprise Analytics. The model doesn't represent a software architecture, but rather a business question that is answered by the hybrid retrieval and text-to-SQL model. The row at each of 1.1-1.4 is negative, there is no architectural task and no architectural contribution.</t>
  </si>
  <si>
    <t>S27</t>
  </si>
  <si>
    <t>Becattini, Verdecchia &amp; Vicario</t>
  </si>
  <si>
    <t>An Accountability-Based Architectural Tactic for Agent Cooperation in LLM-Based Multi-Agent Systems</t>
  </si>
  <si>
    <t>F24</t>
  </si>
  <si>
    <t>No model doing any architectural action, no contribution is an architectural knowledge of a class of systems based on LLM. The second part of the criterion (architecture for LLM-based systems) was taken into account and not adopted. The authors' architecture builds on their own previous architecture and is designed based on the architectural tactic, agent types, relationship types, operating scope, knowledge split and operating layer split. The reported architectural choices of the agents do not contain any output; all architectural constraints in this case study are human Authored (not human chosen) constraints.</t>
  </si>
  <si>
    <t>S28</t>
  </si>
  <si>
    <t>Wu, Guo, Luo &amp; Zhou</t>
  </si>
  <si>
    <t>Zero-Shot Autonomous Dialogue Agent for Efficient Electric Power Data Inquiry</t>
  </si>
  <si>
    <t>F25</t>
  </si>
  <si>
    <t>Form to be filled out to gain access to a set of data. The task object and response of the model is in natural language (data query) instead of software architecture. There is no architectural task and no architectural contribution for any positive row at any of 1.1-1.4.</t>
  </si>
  <si>
    <t>S29</t>
  </si>
  <si>
    <t>Yazdanian, Liu &amp; Li</t>
  </si>
  <si>
    <t>A Comparative Study Towards Designing a Hybrid Architecture of Microservices and LLM-based Multi-Agent Systems</t>
  </si>
  <si>
    <t>F26</t>
  </si>
  <si>
    <t>Contribution is architectural knowledge of a class of LLM-based systems, but no model does any architectural task. Rejected as the second part of the criterion (architecture for LLM-based systems) was taken into account and not implemented. This is a scope decision and not a judgement of quality: Several of the Group C sources are among the strongest in the set and richest for RQ4.
Specifically: “Architectural comparison of a class of LLM-based systems”. The positive rows at 1.2, 1.3 and 1.4 are the authors' own comparison of microservice and multi-agent structures, and no model is used to perform any architectural task.</t>
  </si>
  <si>
    <t>S30</t>
  </si>
  <si>
    <t>Gouru, Mittal, Syed, Prasad, Bolla &amp; Bandaru</t>
  </si>
  <si>
    <t>LLM-Enabled Cognitive Search for Context-Aware Knowledge Retrieval from Heterogeneous Data Sources</t>
  </si>
  <si>
    <t>The Application paper is in the field of Information Retrieval. The model's task object is a retrieval result from a heterogeneous source, rather than a software architecture. No positive row in column 1.1-1.4, no architectural task and no architectural contribution.</t>
  </si>
  <si>
    <t>S31</t>
  </si>
  <si>
    <t>Lu, Zhu, Xu, Xing, Harrer &amp; Whittle</t>
  </si>
  <si>
    <t>Towards Responsible Generative AI: A Reference Architecture for Designing Foundation Model Based Agents</t>
  </si>
  <si>
    <t>The contribution is to provide architected knowledge of a class of LLM-based systems, with none of the models performing any architectural function. It was later decided to not use the second criterion (architecture for LLM-based systems), hence it fell off the list of withdrawn criteria. 
More precisely, a reference architecture for agents based on foundations, written by the researchers. It has positive lines at 1.1, 1.2 and 1.4, each of which contains their own architectural ideas, but there is no model that carries out any architectural function.</t>
  </si>
  <si>
    <t>S32</t>
  </si>
  <si>
    <t>Chinnaiah, Komperla &amp; Kunthu</t>
  </si>
  <si>
    <t>Multilingual LLM-Enhanced Signal and Image Analytics for Secure Healthcare Edge-Cloud Integration</t>
  </si>
  <si>
    <t>F27</t>
  </si>
  <si>
    <t>Paper on using in Health Analytics. The task object of the model is not a software architecture – it is a signal and image analysis result. Since there are no positive rows in any of the 1.1-1.4, it means that there will be no architectural task or architectural contribution.</t>
  </si>
  <si>
    <t>S33</t>
  </si>
  <si>
    <t>Sivan, Wei, Kumar, Chen &amp; Jose</t>
  </si>
  <si>
    <t>A Hybrid SQL-RAG-LLM Question Answering System for Plastic Waste Management</t>
  </si>
  <si>
    <t>F28</t>
  </si>
  <si>
    <t>Paper suitable for application as an information system in the environment. The task object for the model is a question about a domain dataset, rather than a software architecture. There is no positive row anywhere at any of 1.1-1.4 so there is no architectural task and no architectural contribution.</t>
  </si>
  <si>
    <t>S34</t>
  </si>
  <si>
    <t>Hari Kishan, Poonkodi, Saadhvi &amp; Sakthi Sudarsen</t>
  </si>
  <si>
    <t>Hierarchical Agent Architecture for Clinical Decision Support in Drug-Drug Interaction (DDI) Analysis</t>
  </si>
  <si>
    <t>F29</t>
  </si>
  <si>
    <t>Explain how they used their work in a paper. The model is not a software architecture, it's a finding of a drug-drug interaction. No positive row in 1.1-1.4 – No architectural task – No architectural contribution.</t>
  </si>
  <si>
    <t>S35</t>
  </si>
  <si>
    <t>ElSayed, Erickson &amp; Pedapati</t>
  </si>
  <si>
    <t>MCP-AI: Protocol-Driven Intelligence Framework for Autonomous Reasoning in Healthcare</t>
  </si>
  <si>
    <t>F30</t>
  </si>
  <si>
    <t>Application paper of clinical reasoning. The model's task object is a clinical inference, rather than a software architecture. However, there is no positive row in any of 1.1-1.4; thus, there is no architectural task and no architectural contribution.</t>
  </si>
  <si>
    <t>S36</t>
  </si>
  <si>
    <t>Pachaiyappan</t>
  </si>
  <si>
    <t>A Systematization of Privacy Threats and Defenses in Modern Agentic Web Browsers</t>
  </si>
  <si>
    <t>F31</t>
  </si>
  <si>
    <t>There is no specific model that is able to do any architectural task, the contribution is architectural knowledge about a family of system that are based on LLM. It was thought about implementing architecture for LLM-based systems, but it was not adopted. It is a scope decision and not a quality measure: some of the Group C sources are strong in the sample of candidates and the richest for RQ4.
Specifically: A categorisation of threats and defenses to privacy in a family of systems based on LLM. It contains positive rows at 1.2, 1.3 and 1.4, corresponding to the authors' own analysis of the security architectural role played by agentic browsers; there are no rows with positive values, pointing to a lack of a security architectural role.</t>
  </si>
  <si>
    <t>S37</t>
  </si>
  <si>
    <t>Visumathi, Sanmitha &amp; Sreevaari</t>
  </si>
  <si>
    <t>Adaptive Sepsis Prediction and Guidance System Using Machine Learning</t>
  </si>
  <si>
    <t>F32</t>
  </si>
  <si>
    <t>Carries the positive rows for 1.2 and 1.3 which are the authors' own design of a single application, but not for architectural jobs performed by a model. If this paper abstracts its design into transferable guidance, then this guidance is not the main contribution of this paper, but rather a side-effect of the development of the system.</t>
  </si>
  <si>
    <t>S38</t>
  </si>
  <si>
    <t>Liu, Miao &amp; Bremer</t>
  </si>
  <si>
    <t>ParaView-MCP: An Autonomous Visualization Agent with Direct Tool Use</t>
  </si>
  <si>
    <t>F33</t>
  </si>
  <si>
    <t>While the row at 1.2 does contain a positive row, it is the authors' own design of one application. If the paper abstracts its design into a usable guide, then such a guide is an artifact of the construction of the system, not of the paper.</t>
  </si>
  <si>
    <t>S39</t>
  </si>
  <si>
    <t>Li, Cao, Zhang, Chen &amp; Lin</t>
  </si>
  <si>
    <t>An Auxiliary Decision-making Algorithm for Power Supply Quality in Mountainous Power Grid Based on LLM's Inference</t>
  </si>
  <si>
    <t>F34</t>
  </si>
  <si>
    <t>They carry positive rows at 1.2 and 1.3 but in the other cases the rows are not used in architectural work, rather they are used for the authors' own design of one application. If the design in this paper extends to a transferable guidance then such guidance is the result of the system construction, and not of the paper's itself.</t>
  </si>
  <si>
    <t>S40</t>
  </si>
  <si>
    <t>Singh, Srivastava, Singh, Singh &amp; Kamra</t>
  </si>
  <si>
    <t>AgesAI: An Intelligent Cybersecurity Framework for Advanced Threat Detection and Mitigation</t>
  </si>
  <si>
    <t>F35</t>
  </si>
  <si>
    <t>Security Application paper. The model is not a software architecture, rather it's a task object that is a threat detection and mitigation decision. There is no positive row on any of 1.1-1.4, so, there is no architectural task and no architectural contribution.</t>
  </si>
  <si>
    <t>S41</t>
  </si>
  <si>
    <t>Mohammadi, Moradi &amp; Ebrahimi Atani</t>
  </si>
  <si>
    <t>FedRLEA: Federated Aggregation of Parallel SLMs with RL-Based Prompt Optimization for Smart Enterprise Architecture</t>
  </si>
  <si>
    <t>F36</t>
  </si>
  <si>
    <t>The contribution is architectural knowledge of a class of LLM-based systems and none of the models does any architectural task. The second limb of the criterion, architecture for systems with LLM, was considered and not adopted. This is a scope decision and not a quality judgement: a number of sources from the Group C are included within the selected sources as some of the best, and in the case of RQ4, the most numerous sources.
That is, although the title states otherwise, the architectural issues discussed are not about the structure of the model-serving system, but the structure of the federated model-serving system. The positive rows (1.2 and 1.4) contain the authors' own architectural ideas, while no model is used to perform any architectural task.</t>
  </si>
  <si>
    <t>S42</t>
  </si>
  <si>
    <t>Purswani, Mishra, Jain, Dave &amp; Wadhwa</t>
  </si>
  <si>
    <t>Towards Intelligent Human Resource Management: An Agentic AI Approach with Embedded Analytics</t>
  </si>
  <si>
    <t>F37</t>
  </si>
  <si>
    <t>Application paper on Human-resource analytics. The task object of the model is a decision about human resources, with embedded analytics, rather than a software architecture. No positive row at any of 1.1-1.4, so no architectural task, and no architectural contribution.</t>
  </si>
  <si>
    <t>S43</t>
  </si>
  <si>
    <t>Ballari &amp; Souissi</t>
  </si>
  <si>
    <t>A Modular Architecture for Agentic Decision-Making in Industrial Analytics</t>
  </si>
  <si>
    <t>F38</t>
  </si>
  <si>
    <t>Application paper is a paper that is used for analytical applications in industrial analytics. The task object of the model is an operational analytics decision and NOT a software architecture. A positive row at any of 1.1-1.4 would mean an architectural task and contribution, but that's not the case here.</t>
  </si>
  <si>
    <t>S44</t>
  </si>
  <si>
    <t>Kang, Huang, Yang &amp; Amin</t>
  </si>
  <si>
    <t>Orchestrating Trust: A Framework for Safe and Auditable AI through Governance by Design</t>
  </si>
  <si>
    <t>F39</t>
  </si>
  <si>
    <t>No models are used for an architectural role, but the contribution is the architectural knowledge of a class of systems that are LLM-based. The second part of the criterion (architecture for LLM-based systems) was taken into account but not adopted, but the withdrawers were still granted this criterion.The criteria was withdrawn as the second criterion (architecture for LLM based systems) was considered, but not adopted, and all withdrawals were still awarded this criterion. The authors' own governance and auditability design are included in its positive rows at 1.2, 1.3 and 1.4 without any architectural tasks in these rows present.</t>
  </si>
  <si>
    <t>S45</t>
  </si>
  <si>
    <t>Valea &amp; Aritoni</t>
  </si>
  <si>
    <t>Facilitating Continuous Professional Development: A Machine Learning Approach to Personalized Learning Paths</t>
  </si>
  <si>
    <t>F40</t>
  </si>
  <si>
    <t>Education technology use of application paper. The task object of the model is not an architectural model of software but a customized learning path. There is no positive row at any of 1.1-1.4 so there is no architectural task, and hence no architectural contribution.</t>
  </si>
  <si>
    <t>S48</t>
  </si>
  <si>
    <t>Snodgrass, Agalgaonkar &amp; Overbye</t>
  </si>
  <si>
    <t>Human-Centric Analytics for Resilient and Modern Power System Control Rooms</t>
  </si>
  <si>
    <t>F43</t>
  </si>
  <si>
    <t>Operating paper for application in a power system. The task object of the model is not an architecture for software but rather analytics that are operator-facing and for grid control. No positive row during 1.1 - 1.4, hence, no architectural task, and no architectural contribution.</t>
  </si>
  <si>
    <t>S50</t>
  </si>
  <si>
    <t>Kong, Bartolucci, Caccioli &amp; Destefanis</t>
  </si>
  <si>
    <t>Separation of Concerns for Privacy-Preserving LLM Adoption: A Banking Architecture Framework</t>
  </si>
  <si>
    <t>F44</t>
  </si>
  <si>
    <t>Designed by the authors under separation of concerns, builds and evaluates a single privacy-preserving framework for banking adoption of language models that includes a detector that is fine-tuned locally, a format-preserving encryption module and a proxy layer. It's a model, not a software architecture, and a task model of privacy-sensitive entities in prompts, namely safety classification, instance of six-category PII and entity extraction. The architectural contents show the authors' own implementation of one application and the domain-agnostic nature of the architecture has not been part of the paper; it is the result of the system's creation. It is structurally similar to S12 in the final set but with a very fine-grained classifier which is evaluated using classification metrics. This only differs from S12 in one respect: while S12 is about categorizing architectural tactics in code, this is about categorizing personal information in prompts.</t>
  </si>
  <si>
    <t>S52</t>
  </si>
  <si>
    <t>Mohammed, McCarthy, Neumann, Bruder, Reiners &amp; Cruz-Neira</t>
  </si>
  <si>
    <t>ARIA: Toward Human-Centered Embodied AI Instruction in Real-Time Augmented Reality</t>
  </si>
  <si>
    <t>F45</t>
  </si>
  <si>
    <t>Application paper of Human Computer Interaction. The task object for the model is not a software architecture, but rather, guidance for a user in real-time. However, there is no positive row at 1.1, 1.2, 1.3 or 1.4, which means there is no architectural task and no architectural contribution.</t>
  </si>
  <si>
    <t>S54</t>
  </si>
  <si>
    <t>Tupayachi, Xu, Omitaomu, Camur, Sharmin &amp; Li</t>
  </si>
  <si>
    <t>Towards Next-Generation Urban Decision Support Systems through AI-Powered Construction of Scientific Ontology Using Large Language Models, A Case in Optimizing Intermodal Freight Transportation</t>
  </si>
  <si>
    <t>F47</t>
  </si>
  <si>
    <t>At all four architecture sub-themes (the most at set), it includes positive rows, and those rows describe the authors' own design of a single freight-optimisation application. The knowledge-artefact rule is independent; there is a model that builds a scientific ontology and a model that builds a knowledge artefact is not doing any architectural work.</t>
  </si>
  <si>
    <t>S57</t>
  </si>
  <si>
    <t>Cremaschi, Ditolve, Curcio, Panzeri, Spoto &amp; Maurino</t>
  </si>
  <si>
    <t>Decoding the mind: a RAG-LLM on ICD-11 for decision support in psychology</t>
  </si>
  <si>
    <t>F50</t>
  </si>
  <si>
    <t>Carries positive at 1.2 and 1.3, but these rows are the authors' own design for a single application, but no architectural work done from a model. This is because a paper that is designed to be generalizable into transferable guidance is only a by-product of constructing the system and is not a contribution of the paper.</t>
  </si>
  <si>
    <t>S58</t>
  </si>
  <si>
    <t>Klot, Dordevic, Tsaramirsis &amp; Nassereddine</t>
  </si>
  <si>
    <t>Goal-Based Multi-Agent AI Systems for Academic Advising: A Survey of Policies, Risk Detection, and Intervention Frameworks</t>
  </si>
  <si>
    <t>F51</t>
  </si>
  <si>
    <t>No Model used and no evaluation reported. Architecture content is the property of the authors. They present in Section VI an Academic Multi-Agent Advising System (AMAS), which they describe as a multi-agent, goal-driven and governance-aware system. It consists of five agents: a Student Context Agent that maintains the context of the student, a Risk Detection Agent that predicts risk of course failure, probation or dropout, a Policy and Compliance Agent that compares recommendations to prerequisites, credit limits and probation rules, a Goal and Planning Agent that creates multi-semester plans, and an Intervention Agent that identifies nudges, advisor alerts, referrals and timetable adjustments. Taxonomy is appended to the Table II, which categorizes the advising systems based on goals representation, planning horizon, risk awareness, autonomy in intervention and governance. Two reasons were given for excluding the paper. First, all agents play a part in the tasks of academic advising, or student risk, progression plans and interventions and not a software architecture. No architectural task is performed by any model and no model is specified to perform an architectural task. Second, the architecture and the taxonomy are architectural knowledge about a class of AI-based systems, authored by the researchers.</t>
  </si>
  <si>
    <t>Study</t>
  </si>
  <si>
    <t>Meaning unit</t>
  </si>
  <si>
    <t>Code</t>
  </si>
  <si>
    <t>Sub-theme</t>
  </si>
  <si>
    <t>Theme</t>
  </si>
  <si>
    <t>Trend signal</t>
  </si>
  <si>
    <t>Source</t>
  </si>
  <si>
    <t>Row type</t>
  </si>
  <si>
    <t>Approach/Type</t>
  </si>
  <si>
    <t xml:space="preserve">What is being exercised here is the "decision" that was made about already existing microservices architectures, e.g. the two retrospective cases replay decisions that have been made and compare the answers of the model with what was actually implemented. </t>
  </si>
  <si>
    <t>Decision support assessed on the created systems, not on the generation of the architecture.</t>
  </si>
  <si>
    <t>1.1 Architecture generation and synthesis from requirements</t>
  </si>
  <si>
    <t>T1. LLMs Application / Usage for Architecture Design</t>
  </si>
  <si>
    <t>Section 1, Section 2, Section 3</t>
  </si>
  <si>
    <t>Related activity</t>
  </si>
  <si>
    <t>T1: design production (1.1-1.3)</t>
  </si>
  <si>
    <t xml:space="preserve">The approach is applicable to an architecture that the architect is designing. The pattern of the persona instructs the model to concentrate on named qualities, the pattern of the question is to question the architect before giving answers, and what returns is suggestions with justifications. </t>
  </si>
  <si>
    <t>No suggestions generated in a decision dialogue.</t>
  </si>
  <si>
    <t>Section 3-Section 7, Known Uses</t>
  </si>
  <si>
    <t>A textual requirement is given with a short description of the corresponding system and the design agents generate design solutions independently from one another, with the result of each agent trajectory being a solution, and the results being summarised, ranked and presented to the user.</t>
  </si>
  <si>
    <t>Agent produces ranked design solutions from text requirements.</t>
  </si>
  <si>
    <t>Section III, Figure 3</t>
  </si>
  <si>
    <t>Evidenced</t>
  </si>
  <si>
    <t>The study is asking what the model already knows about an existing system in terms of the architecture and comparing it to a ground truth. Nothing here produces an architecture, it is a general capacity of language models to show up in the introduction and as other people's work in related work.</t>
  </si>
  <si>
    <t>If there is information in the model, it is recalled and nothing is created.</t>
  </si>
  <si>
    <t>Section I, Section II</t>
  </si>
  <si>
    <t xml:space="preserve">The generation task is the Decision of an architecture decision record that was created from the Context of that record. </t>
  </si>
  <si>
    <t>The object produced is a decision field, and not an architecture.</t>
  </si>
  <si>
    <t>Section I, Section III</t>
  </si>
  <si>
    <t>From a requirements specification, a set of four UML design diagram types (use case, class, sequence and state) are generated, and the output is requested to be in a textual diagram-markup format, which can be used to render the design diagrams by standard diagramming tools.</t>
  </si>
  <si>
    <t>A collection of four UML diagram types that have been created from a requirements document.</t>
  </si>
  <si>
    <t>Section I, Section VII, Section VIII</t>
  </si>
  <si>
    <t>The requirements were pre-processed before prompting, where the functionality of the product and its requirements in the specification were summarised into functional categories and the content of these were used as the prompt. Neither is it a step spelled out in an imperative nor is it a step that is attributed to a person.</t>
  </si>
  <si>
    <t>Requirements summarized into functional categories and not prompted.</t>
  </si>
  <si>
    <t>Section VII, Table II</t>
  </si>
  <si>
    <t>All four produced the same type of diagrams which were the same as the reference, with reported similarity scores of 0.61 for use case, 0.61 for class, 0.66 for sequence and 0.7 for state.</t>
  </si>
  <si>
    <t>Partial match for any of the four diagram types</t>
  </si>
  <si>
    <t>Section X, Table III</t>
  </si>
  <si>
    <t>A proposed process is six steps: generate a domain model from the textual requirements and automatically generate use-case scenarios, manually edit both of these, automatically generate multiple architecture candidates and design decisions, automatically assess the candidates, manually edit the candidates, and then manually select the best fit.</t>
  </si>
  <si>
    <t>Requirements to selected architecture pipeline is shown as a 6-step process. The 6-step pipeline from requirements to selected architecture is demonstrated.</t>
  </si>
  <si>
    <t>Section 3, Figure 1</t>
  </si>
  <si>
    <t>The authors contrast this with Kof's previous semi-automatic domain model generation, which demanded significant manual work to draft the requirements documents, and conclude that recently developed LLMs can significantly decrease that manual work.</t>
  </si>
  <si>
    <t>Located as the answer to manual effort compared to previous semi-automatic tasks</t>
  </si>
  <si>
    <t>Section 1, Section 2</t>
  </si>
  <si>
    <t xml:space="preserve">The end-to-end scenarios are scenarios that are selected and passed through the copilot pipeline and the output is a set of sixteen architecture decision records. </t>
  </si>
  <si>
    <t>Requirements should be passed down to decision records, not an architecture.</t>
  </si>
  <si>
    <t>Section 3.1, Section 4</t>
  </si>
  <si>
    <t>One of six proposed query templates, Candidate Architecture, is designed to create a candidate architecture for a new system that is similar to an existing, documented one, but is not meant to be used to extract knowledge about a documented system.</t>
  </si>
  <si>
    <t>One type of query template suggests generating candidate architectures for new systems</t>
  </si>
  <si>
    <t>Section IV-B</t>
  </si>
  <si>
    <t>The model was asked to summarise a problem, based on a textual description, and to suggest software system architecture, followed by the generation of successive C4-model views (system context, container and component) for the same problem.</t>
  </si>
  <si>
    <t>Generate successive architecture views of a problem, as prompted by a model</t>
  </si>
  <si>
    <t>The prompt sequence was used in five real master-thesis projects with different requirements, stakeholders and quality attributes that were defined by the original master-thesis authors between 2019 and 2022.</t>
  </si>
  <si>
    <t>Implementing in 5 real projects, already with existing needs and stakeholders</t>
  </si>
  <si>
    <t>Section IV-A</t>
  </si>
  <si>
    <t>The architect analyses the software domain and the scenarios it has to support, and writes an architecture story (a textual narration of the envisaged software, expressing its functionality, desired qualities and constraints) that is fed to the model as the prompt that initiates the architectural analysis activity.</t>
  </si>
  <si>
    <t>The whole process is initiated by the input of architecture story in natural language.</t>
  </si>
  <si>
    <t>Section 2.2 Phase 1, Section 3.1</t>
  </si>
  <si>
    <t>The architecturally significant requirements are put together in an architecture model specified in a modelling language, in which the architect draws UML class diagrams and component diagrams for the overall and the fine-grained design, and the model will produce the diagram-markup script for the class diagram upon instruction.</t>
  </si>
  <si>
    <t>Generated script used for synthesizing requirements to UML class and component diagrams.</t>
  </si>
  <si>
    <t>Section 2.2, Section 3.3, Figure 5</t>
  </si>
  <si>
    <t>This study covers architecture recovery (detection of tactics implemented in actual code implementations).</t>
  </si>
  <si>
    <t>You can only generate from this block when in recovery mode.</t>
  </si>
  <si>
    <t>whole paper</t>
  </si>
  <si>
    <t>The framework does not produce a new software architecture from the requirements; it reconfigures the components of an existing optimization DSS as the decision-making (metrics, plan-selection logic) at runtime.</t>
  </si>
  <si>
    <t>Architecture generation from requirements – Runtime component reconfiguration</t>
  </si>
  <si>
    <t>The whole pipeline takes an already-written, existing legacy code base and recovers and reconstructs an architectural description.</t>
  </si>
  <si>
    <t>No generation from requirements – only recovery from existing code.</t>
  </si>
  <si>
    <t>Abstract, Section 1, Section 3</t>
  </si>
  <si>
    <t>Inside this architecture the models are supposed to create clinical artefacts: the Clarifier agent transforms free-written patient text to a structured JSON object based on a given schema, while the RAG Analyzer creates a preliminary ranking list of diagnoses. In this sub-theme, instead of an architecture of the software as in the previous theme, the researchers produced the clinical content, and the five-agent structure has been designed and illustrated within the CrewAI framework.</t>
  </si>
  <si>
    <t>No architecture emerged from requirements, models produce clinical artefacts</t>
  </si>
  <si>
    <t>Section II-A, Figure 2</t>
  </si>
  <si>
    <t>The three-layer architecture and three design paradigms are original contributions of the paper. The artefact produced by LLM agents when they generate structured output independently (Case Study A) is not a software architecture, but a plan for what the robot is supposed to do in terms of calls to skills.</t>
  </si>
  <si>
    <t>Human authored architecture; LLM generated artefacts are execution plans, not architecture.</t>
  </si>
  <si>
    <t>Section III, Section V-A</t>
  </si>
  <si>
    <t>The definition of a model is to provide the creation of the architecture from the requirements, bringing this source to the centre of the question of the review and not to its edge. The System Design Agent receives both the requirements specification and the project plan that were created upstream and produces a high-level design document and a low-level design document, as mentioned in the paper, through generative reasoning and design synthesis, respectively: the high-level design document is about system architecture, the database schema and the technology stack; the low-level design document is about the logic of the components and their interaction, and the connections between the interfaces. The process of mapping from natural language input from stakeholders to an architectural artefact is uninterrupted and fully automated design.</t>
  </si>
  <si>
    <t>Architecture generated from a specification of requirements by a dedicated design agent.</t>
  </si>
  <si>
    <t>Sections II-C, V-C, VI-C</t>
  </si>
  <si>
    <t xml:space="preserve">The system architecture is provided as a formal model and it is not created by the tool: it is read rather than written; the tool takes in either a textual description of an object-process model, or a simple block-definition diagram exported as an interchange file and extracts the decomposition already expressed. The model produced automatically is requirement text (one statement from each raw stakeholder is translated into a traditional shall-form specification), and four analytical reports. </t>
  </si>
  <si>
    <t>Architecture is not an output, it is an input that is to be read.</t>
  </si>
  <si>
    <t>Sections III-B, III-E; would have appeared in Section III</t>
  </si>
  <si>
    <t>Every agent works independently on the structured requirement inputs and designs the architecture, establishing service boundaries, APIs and data models, and creates a full implementation. The first step in the workflow is “architecture planning”, which is carried out by the agent but not provided to the agent.</t>
  </si>
  <si>
    <t>Agent Extracts service capabilities, APIs and data models from requirements</t>
  </si>
  <si>
    <t>Section III-B; Section I</t>
  </si>
  <si>
    <t>The agent is asked to generate software architecture artefacts (class diagrams, entity diagrams and sequence diagrams) based on the system requirements and store them as Markdown files, and use them in the following code generation stage.</t>
  </si>
  <si>
    <t>Created design diagrams that were recorded for future use. Produced design diagrams using the requirements and saved for future use.</t>
  </si>
  <si>
    <t>Section IV (Fig. 4 discussion); sample prompt, Section IV</t>
  </si>
  <si>
    <t>The model generates an architecture model, rather than prose about an architecture: ExArch asks an LLM to generate a list of high-level component names, treating this as a simple model of Software Architecture as a first-class artefact and passing it to a downstream tool.</t>
  </si>
  <si>
    <t>The LLM produces a model of the architecture at the component level, fed into a tool further down the chain.</t>
  </si>
  <si>
    <t>Section 3; Section 3.2; Figure 1</t>
  </si>
  <si>
    <t>The model generated is intentionally minimal, and the authors point out: it contains only component names, has minimal scope to the information returned by the traceability task and is not intended to be a full functional artefact or usable for reverse engineering (which would demand more architectural information).</t>
  </si>
  <si>
    <t>Just components' names are generated, no structure, connectors or behavior.</t>
  </si>
  <si>
    <t>Section 2.4; Section 5.3.4; Section 5.5</t>
  </si>
  <si>
    <t>A model is not designed to be embedded in an architecture. The system is deliberately initialized with the minimum architecture, one node which is able to query model and return a diagnosis, and grows an architecture from this configuration, rather than configuring one. The whole point of the paper is to automatically generate agent architectures.</t>
  </si>
  <si>
    <t>Architecture created by the model from a single-node baseline; design itself is the contribution</t>
  </si>
  <si>
    <t>Abstract, Section 1, Section 3.3</t>
  </si>
  <si>
    <t>The set of what may be generated is explicitly defined, and is bounded by node-level operations (add, remove or modify nodes), structural-level operations (conditional branches, loops and parallel paths), or by framework-level operations (calling on existing multi-agent patterns). Therefore, in Generation, composition is limited to a set of declared architectural moves.</t>
  </si>
  <si>
    <t>The architectural operation is the basis for a three-level vocabulary that was declared by the author. The author has declared a three-level vocabulary of architectural processes.</t>
  </si>
  <si>
    <t>Section 3.2, Figure 2</t>
  </si>
  <si>
    <t>Not only are the generated architectures described, but they are also shown; The workflow is visualised at three points in its evolution and the progression from a linear three-node chain to a structure with a tool node, three parallel specialist nodes, a consensus condition and a reasoning loop is legible as a sequence of architectural decisions.</t>
  </si>
  <si>
    <t>This representation of architecture evolution was displayed at three phases: at the beginning, in the middle and at the end.</t>
  </si>
  <si>
    <t>Figure 3, Section 4.2</t>
  </si>
  <si>
    <t>The idea is that the model is able to generate candidate solutions, based on the architectural drivers (Design objectives, functional requirements, quality-attribute scenarios, constraints and concerns), thereby automating requirement interpretation and solution generation.</t>
  </si>
  <si>
    <t>Proposals for development of architecture solution options based on the listed drivers</t>
  </si>
  <si>
    <t>Abstract; Sections 1, 4.3</t>
  </si>
  <si>
    <t>The model is introduced as an aid to the individual stages of the attribute-driven design process, from the review of model input to the selection of model elements to be decomposed, to the allocation of model elements and the recording of the decisions.</t>
  </si>
  <si>
    <t>Generation proposed step by step as opposed to established design method</t>
  </si>
  <si>
    <t>Sections 4.2, 4.3, Fig. 3</t>
  </si>
  <si>
    <t>The whole approach is driven from the architectural model and not the opposite way around; the output artefacts from the architectural model are the penetration test cases, the prioritisation and the security rating.</t>
  </si>
  <si>
    <t>The generated artefact is not architecture, but rather the input.</t>
  </si>
  <si>
    <t>Abstract; Sections I, IV</t>
  </si>
  <si>
    <t>Five prompt patterns are suggested and sequenced into a defined order to enable GPT models to suggest architecture recommendations specific to a project's persona, premises, uncertainties, quality attributes and context.</t>
  </si>
  <si>
    <t>GPT-assisted architectural decisions come in five patterns.</t>
  </si>
  <si>
    <t>1.2 Design decision support: pattern, tactic and technology recommendation</t>
  </si>
  <si>
    <t>Section 1, Section 8</t>
  </si>
  <si>
    <t>Once the questions asked by the model have been answered, the approach returns the architectural suggestions, each of which comes with a statement of how it incorporates the quality attributes discussed.</t>
  </si>
  <si>
    <t>Model suggests designs and includes attached quality attribute justification</t>
  </si>
  <si>
    <t>Section 5</t>
  </si>
  <si>
    <t>Based on budget, scalability requirements and development time, the model in the CRM case recommended the use of PaaS over IaaS.</t>
  </si>
  <si>
    <t>Model performs and justifies technology-selection decisions</t>
  </si>
  <si>
    <t>Section 8.2</t>
  </si>
  <si>
    <t>The Uncertain Requirement Statement asks the model to consider the implications of uncertainty not being resolved, and ensuring that the architecture remains flexible and adaptable to changes in regulation and technology.</t>
  </si>
  <si>
    <t>Design time flexibility is expected due to uncertainty.</t>
  </si>
  <si>
    <t>Section 7</t>
  </si>
  <si>
    <t>The same five patterns are applied to two real microservices decisions: First, for a system with over 18,000 components, the decision was to automate a change-management process; and second, for a retail chain with 3,000 stores, the decision was for a front-end approach.</t>
  </si>
  <si>
    <t>Watching and applying patterns to two real microservices decisions</t>
  </si>
  <si>
    <t>Section 4.1, Section 4.2</t>
  </si>
  <si>
    <t>The sequence that led to the micro front-ends was confirmed by the architect in the pharmacy case, as that is exactly what the project had concluded this is, due to a multi-disciplinary team and scalability.</t>
  </si>
  <si>
    <t>Model, reproduced the decision that the team actually made</t>
  </si>
  <si>
    <t>Section 4.2</t>
  </si>
  <si>
    <t>The model offered operations beyond those requested; caching, horizontal and vertical scaling, and delegating functionality to other components; that the architect said were more than expected.</t>
  </si>
  <si>
    <t>Model volunteers measures beyond the question asked</t>
  </si>
  <si>
    <t>Section 4.1</t>
  </si>
  <si>
    <t>As the architect saw it, the uncertainty pattern had suggested using a contract-first API integration test in the CI/CD pipeline, but tight timelines prevented this from being implemented, though they believed it would have helped avoid (but not fully resolve) issues that the project encountered.</t>
  </si>
  <si>
    <t>Suggestion in retrospect considered as would have helped.</t>
  </si>
  <si>
    <t>Architecting is broken down into the tools the agent can call - find candidate patterns for a requirement, compare their merits and demurits, and rank them on their suitability, and then choose one and make it a concrete decision.</t>
  </si>
  <si>
    <t>Architecting is broken down into a set of callable tools for selecting patterns.</t>
  </si>
  <si>
    <t>Section III</t>
  </si>
  <si>
    <t>The studied task is the generation of an architecture decision record from its Context, and the authors see the result as a way to help architects document and make decisions when designing.</t>
  </si>
  <si>
    <t>Text generated from a stated decision context where the decision is visible in the text.</t>
  </si>
  <si>
    <t>Section I, Section VI-A</t>
  </si>
  <si>
    <t>The assistant will provide you with notation and not architecture: PlantUML or Mermaid completion for the diagram you're creating based on the context of your prompt. There is no recommendation or consideration of some architectural pattern, tactic or technology choice anywhere.</t>
  </si>
  <si>
    <t>All the notation is finished and no choice of architecture is suggested.</t>
  </si>
  <si>
    <t>Section IV, Section VIII</t>
  </si>
  <si>
    <t>Patterns and tactics make their appearance as something to be discovered, not something to be offered: The model is asked what quality solutions it does have, and the responses are judged. No pattern, tactic or technology is recommended for a design in construction.</t>
  </si>
  <si>
    <t>Patterns and tactics are assessed, not recommended</t>
  </si>
  <si>
    <t>Section I, Section II-1</t>
  </si>
  <si>
    <t>Generated architecture candidates would be used to model different design decisions that are possible based on the requirements, the domain model, and the use-case scenarios, and generate either the 4+1 view model or the Palladio Component Model.</t>
  </si>
  <si>
    <t>Candidates present workable options for design decisions in a selected design formalism</t>
  </si>
  <si>
    <t>Section 3.2</t>
  </si>
  <si>
    <t>A PatternSuggestion&amp;Ranking copilot suggests candidate design alternatives for a given requirement from a retrieved pattern repository or from the model's own knowledge, considers the advantages and disadvantages, ranks the suggested alternatives, drops all but the top-ranked and instantiates the top-ranked alternative as a candidate decision.</t>
  </si>
  <si>
    <t>Copilot creates, sorts and fills in a candidate pattern decision</t>
  </si>
  <si>
    <t>Section 3.1, Task 1</t>
  </si>
  <si>
    <t>The authors explicitly compare their incremental, multi-step approach with previous work that has produced architecture decision records in one step, and make specific reference to Dhar et al., saying that they differ because they produced the ADRs as a result of more elaborate prompts that were followed in a step-wise fashion in an interactive manner, rather than one step at a time.</t>
  </si>
  <si>
    <t>A single-step explicit contrast with the generation of ADR is available. A single-step explicit contrast to the generation of ADR is available (explicit: Dhar et al.).</t>
  </si>
  <si>
    <t>Section 3, Section 5</t>
  </si>
  <si>
    <t>Another template called Architecture Modification is used to suggest architectural changes in an existing system to accommodate new features.</t>
  </si>
  <si>
    <t>A query template suggests a set of architectural changes to be made for new functionality.</t>
  </si>
  <si>
    <t>The prompts that were given on the container and component level were explicitly designed to ask the model to identify which quality properties were important and what the architectural style, design patterns, design tactics and component relationships were needed to address them, as well as anti-patterns to avoid.</t>
  </si>
  <si>
    <t>Explicitly asks for pattern, tactic and anti-pattern advice to the quality properties</t>
  </si>
  <si>
    <t>Section IV-B, prompts 3-4</t>
  </si>
  <si>
    <t>Three distinct refinements were applied to the user-login class, the view-bikes component and user location, with the singleton being described as restricting users to a single login session on one device.</t>
  </si>
  <si>
    <t>Each of the 4 elements of the pattern described as a model element named by an instruction was applied in succession. Each of the 4 elements of pattern described as a named model element was applied one after another in instructions.</t>
  </si>
  <si>
    <t>Section 3.3, Figure 5</t>
  </si>
  <si>
    <t>The skills that the model is able to perform are to process an architecture story converted by an architect, to articulate architectural requirements, to specify models, to recommend and apply architectural tactics and patterns, and to recommend scenarios for architecture evaluation.</t>
  </si>
  <si>
    <t>Statements of capability envelope requirements, models, patterns, tactics and evaluation scenarios.</t>
  </si>
  <si>
    <t>Abstract, Section 1</t>
  </si>
  <si>
    <t>The model is not expected to suggest or rank architectural tactics, patterns or technologies, but only classify whether a specific, already written code artefact follows one of five pre-specified tactics or not.</t>
  </si>
  <si>
    <t>Detection only (no support or recommendation for decision making)</t>
  </si>
  <si>
    <t>Section 3</t>
  </si>
  <si>
    <t>The model does not suggest architectural patterns, tactics or technologies to apply to a software system being designed; the analogous mechanism in this context (MCDM choosing a preferred operational plan) is a run-time decision between vehicle-routing options, not an architectural decision.</t>
  </si>
  <si>
    <t>The plan is not an architectural choice, it is an operational decision.</t>
  </si>
  <si>
    <t>Section III, Section IV-B</t>
  </si>
  <si>
    <t>The task of the framework is to reconstruct, recover, and document the architecture of the code that already exists.</t>
  </si>
  <si>
    <t>No pattern/tactic/technology recommendation – just purely reconstructive.</t>
  </si>
  <si>
    <t>The recommendations produced by the system are diagnostic; calibrated confidence is used for ranked candidate conditions, next steps are investigated with a weighted evidence guidance. CrewAI, Qdrant, BioBERT embeddings are used for making architectural choices.</t>
  </si>
  <si>
    <t>Recommendations are diagnostic; architectural and model-assignment decisions made by the authors.</t>
  </si>
  <si>
    <t>Section II-A, Section II-B</t>
  </si>
  <si>
    <t>Three design paradigms are used in the article (event-log, planning based modeling, and state snapshot) are proposed for the purpose of reusage of architectural patterns in integration of LLM-digital-twin.</t>
  </si>
  <si>
    <t>Design paradigms are not recommendations from LLM, but rather human-proposed designs.</t>
  </si>
  <si>
    <t>Section IV-A-2</t>
  </si>
  <si>
    <t>The selection of technology is assigned by a model, best technology is recommended by the design agent. There are constraints from outside for recommendations rather than free. The preferred technologies are told by the stakeholders before the workflow runs, and the agent that plans the system passes the contraints that are defined by the user.</t>
  </si>
  <si>
    <t>The technology stack is recommended to the design agent with constraints set by the stakeholders</t>
  </si>
  <si>
    <t>Sections V-D, VI-B, VI-C</t>
  </si>
  <si>
    <t>The data layer is used for a second design decision; then same agent is used to develop the database schemas; this is what described by the article as an industry standard normalization rule, and then it produces the specifications for the interface for the components of the system.</t>
  </si>
  <si>
    <t>Schema and interface design that satisfy a stated but unspecified normalization criterion.</t>
  </si>
  <si>
    <t>Sections V-C, VI-C</t>
  </si>
  <si>
    <t>There is no better recommendation for an architectural pattern, tactic or technology than to use it. The related work section is extensive, and covers an area of safety architecture patterns as micro-architectures that are reusable across functions or applications, a combination of informal problem-solution context together with formal attributes, and can be efficiently designed by reusing previously validated structures. However, it presents no pattern, mechanism or component to solve any identified gaps in the area of safety architecture. It only stops when it tells the arch about the functions that are not properly defined.</t>
  </si>
  <si>
    <t>The patterns are explored in other work and not utilized or suggested by the tool.</t>
  </si>
  <si>
    <t>Sections II-B, III-B; would have appeared in Section III</t>
  </si>
  <si>
    <t>Agents implement their solutions using clean architecture and secure coding guidelines provided as context – differences in design, modularisation and implementation strategies are intentionally left as is, and can be compared between agents.</t>
  </si>
  <si>
    <t>The design and modularization decisions are left up to the agent and are recorded for comparison.</t>
  </si>
  <si>
    <t>Section III-B</t>
  </si>
  <si>
    <t>In the technology stack the author is present to prescribe the technology (Spring Boot, PostgreSQL, Redis, Docker and Kubernetes are kept as the environment and not chosen by any agent) and no patterns, tactics and technology recommend capability or measurement can be found throughout the study.</t>
  </si>
  <si>
    <t>There is no technology recommendation made by a model and the stack is author specified</t>
  </si>
  <si>
    <t>Section III-C; Section IV</t>
  </si>
  <si>
    <t>No design model, design pattern, design tactic nor design technology is recommended. The whole task is the identification and naming of architectural entities that are already present in documentation or code, and each design decision along the way (which artefacts to use, what aggregation strategy, what similarity threshold) is taken and supported by the authors.</t>
  </si>
  <si>
    <t>No design decision, pattern and technology recommendation task</t>
  </si>
  <si>
    <t>Section 3; Section 4</t>
  </si>
  <si>
    <t>The model performs the normal functions of architecture design, like decision-making for conditional branching, decision-making for looping, and multi-tasking and fusion of several analyses. These are options in how the control flow is chosen and structured by the model from a list of options stated and used to justify against failures observed.</t>
  </si>
  <si>
    <t>Control structures: Model chooses control structures (conditionals, loops, parallelism) and predicts failures to them</t>
  </si>
  <si>
    <t>Section 3.2, Section 3.3</t>
  </si>
  <si>
    <t>Multi-agent patterns are treated as composable and not as adoptable: Rather than directly creating the chain-of-thought, self-reflection or round-table discussion, the framework reconstructs functionally similar patterns from simple nodes and structural operations, allowing a known pattern to be customised at node and structural level to the task at hand.</t>
  </si>
  <si>
    <t>Patterns that have been reconstructed from their primitives, instead of being adopted as a whole from another source. Patterns that have been reconstructed from primitives, rather than adopted wholesale from another source.</t>
  </si>
  <si>
    <t>The ablation reveals that which classes of design decision actually matter is not consistent: when removing prompt modification, it costs the most (Top-1 drops 9.91 points); when removing tool-node addition, it costs 7.66 points; and when removing node removal, it costs only 0.45 points of Top-1, and the authors report it as efficiency, not accuracy.</t>
  </si>
  <si>
    <t>Design/operation classes ablated individually, with markedly different contributions</t>
  </si>
  <si>
    <t>Section 4.3, Table 3</t>
  </si>
  <si>
    <t>The knowledge base is defined to include architectural patterns, design principles and practices, typical requirements for specific industry verticals, and the history of the solution of similar problems, so recommendations are based on previous solutions, not on being invented.</t>
  </si>
  <si>
    <t>Use pattern and prior-solution knowledge base to provide recommendations.</t>
  </si>
  <si>
    <t>Section 4.4</t>
  </si>
  <si>
    <t>Competing drivers are credited to the attention mechanism, with the model switching priorities between, for instance, scalability and regulatory constraints and ranking influencing by context.</t>
  </si>
  <si>
    <t>Weighting of the trade-offs as a result of paying attention to competing drivers</t>
  </si>
  <si>
    <t>Section 4.3</t>
  </si>
  <si>
    <t>The third research question suggests designing a recommender system that will compare and rate alternative architectures according to attack-surface complexity, and then give recommendations regarding the design decisions made, where authentication methods and security protocols are considered as the type of decision being made.</t>
  </si>
  <si>
    <t>Alternatives and design decisions for planned recommender ratings</t>
  </si>
  <si>
    <t>Section IV-A RQ3; Section IV-B RQ3</t>
  </si>
  <si>
    <t>The proposed prioritised test cases act as a complementary lever for providing precise feedback, thus allowing a ranking of vulnerable designs to be a ranking of vulnerable vulnerability.</t>
  </si>
  <si>
    <t>Ranked test cases that are suggested as carries of design feedback</t>
  </si>
  <si>
    <t>Section IV-A RQ2</t>
  </si>
  <si>
    <t>Technical Premises asks the model to detail and record, at the end of its deliverables, the facts and premises that are the basis of each architectural choice and its justification.</t>
  </si>
  <si>
    <t>Externalized decision rationale: List of premises that are checkable.</t>
  </si>
  <si>
    <t>1.3 Architecture documentation, decision records and rationale capture</t>
  </si>
  <si>
    <t>Section 6</t>
  </si>
  <si>
    <t>Systematically questioning quality attributes before deciding is reported as a consequence of improved documentation quality.</t>
  </si>
  <si>
    <t>Structured questioning reported to be improving documentation</t>
  </si>
  <si>
    <t>The end-of-agent-search report summarizes, ranks and displays the candidate solutions to the user, while the artefacts of the case-study are published in a companion repository. Neither is a decision record: There are no artefacts the project would preserve in which a decision and its context and/or rationale is written.</t>
  </si>
  <si>
    <t>No decision record generated but solutions summarized and ranked for user.</t>
  </si>
  <si>
    <t>Section IV, footnote 1</t>
  </si>
  <si>
    <t>Absence: does not record a determination, its context, its motivations in a stored artefact. Two architects read and evaluate the answers to the model and decide whether it is useful; there is no record created, recorded or carried on.</t>
  </si>
  <si>
    <t>Absence: No decision record or artefact of rationale is produced</t>
  </si>
  <si>
    <t>Coded silence</t>
  </si>
  <si>
    <t>The rationale is that insufficient tool support makes adoption of decision records difficult or nonexistent, the process of capturing the knowledge of the architecture is distracting to the process of designing the architecture, and there is uncertainty about what should be captured and documented, and that generation can be used to close the adoption gap.</t>
  </si>
  <si>
    <t>Barrier for documentation effort is a motivator for automated generation of document.</t>
  </si>
  <si>
    <t>Section I</t>
  </si>
  <si>
    <t>The scope is intentionally limited only to the Context and Decision components which are believed to be essential components of a decision record, and the remaining components, including generating full records from a code base, are deferred for future research.</t>
  </si>
  <si>
    <t>Narrowed scope to context-to-decision (not whole-record generation)</t>
  </si>
  <si>
    <t>Section I, Section II-A</t>
  </si>
  <si>
    <t>Rationale is considered to be one of 3 concepts in architectural knowledge, its content is divided into named sub-concepts as they are each scored individually and not as a single concept.</t>
  </si>
  <si>
    <t>Rationale broken down into individual concepts that are scored individually</t>
  </si>
  <si>
    <t>Section II-1-4, Section III-D</t>
  </si>
  <si>
    <t>The weakest result in the study is for alternative(s) that were considered and discussed but not implemented, and much weaker than any other rationale concept; trade-offs are the second weakest.</t>
  </si>
  <si>
    <t>The most difficult rationale to recover are unimplemented alternatives.</t>
  </si>
  <si>
    <t>Section III-D, Figure 6</t>
  </si>
  <si>
    <t>Documentation here refers to the diagrams themselves: here four types of diagrams are produced as documentation for an existing design in the source specification. Nothing provides a record of the decisions made or a rationale or design-history artefact, and no statement of why any modelled element is what it is.</t>
  </si>
  <si>
    <t>Documentation produced: Diagrams; No rationale captured.</t>
  </si>
  <si>
    <t>Section IV, Section VI</t>
  </si>
  <si>
    <t>An architecture decision record is to be automatically generated during the generation process for each candidate, and is supposed to be a summary of the candidate, a suggestion about what might be done to make improvements, and a record of decisions that the tooling will make implicitly or subconsciously.</t>
  </si>
  <si>
    <t>ADRs auto-extracted to document otherwise-implicit tooling decisions</t>
  </si>
  <si>
    <t>A dedicated copilot wraps-up the results of the pattern-selection, assessment and consistency-checking steps into an architecture decision record with the aid of the MADR template and is expected to not have enough information to produce a comprehensive record when it is called before the other steps are finished.</t>
  </si>
  <si>
    <t>Final copilot: aggregates steps from previous to an MADR-template record</t>
  </si>
  <si>
    <t>Section 3.1, Task 4</t>
  </si>
  <si>
    <t>The record is generated based on a candidate decision that is examined in detail by a separate copilot, who considers the appropriateness, assumptions, constraints, consequences to quality attributes, risks, trade-offs, and follow-up clarifying questions.</t>
  </si>
  <si>
    <t>Assessment copilot records structured decision rationale pre-assessment</t>
  </si>
  <si>
    <t>Section 3.1, Task 2, Table 1</t>
  </si>
  <si>
    <t>The proposed extraction pipeline leverages a variety of large language models, graph neural networks, parser of abstract-syntax-tree and current deterministic tools for parsing and analyzing software repositories and components, and generates latent architectural knowledge in the form of JSON, XML, UML diagrams, and ADR text.</t>
  </si>
  <si>
    <t>Multi-technique pipeline: converts artefacts from the source into structured AK format.</t>
  </si>
  <si>
    <t>The knowledge extracted from the system under study is supposed to be merged with the knowledge retrieved from external sources in the world with the help of formal methods for checking the validity of the fused result by a component, which the authors call an Oracle Verifier.</t>
  </si>
  <si>
    <t>Fused knowledge with proposed Oracle Verifier component.</t>
  </si>
  <si>
    <t>A worked example is one that involves extracting knowledge from the Hadoop GitHub repository, getting additional knowledge from an external site (architecture-knowledge-base) and merging together into a single document that contains all the knowledge about design decisions, selected patterns, and applied tactics for the system.</t>
  </si>
  <si>
    <t>The modes are described in the following way:The modes are explained as follows:</t>
  </si>
  <si>
    <t>Prompts also asked for a model document that should define and supply interfaces between components and their data types, and finally, a tool-chain and programming language for the remaining components that need to be created.</t>
  </si>
  <si>
    <t>Interfaces, Data types and a tool-chain required as part of the documented Output.</t>
  </si>
  <si>
    <t>Section IV-B, prompts 3-5</t>
  </si>
  <si>
    <t>Architecturally significant requirements are recorded with three explicit headings (required functionality, desired quality, and constraints) and the model's expression of the requirements is then modified by the architect, with the inclusion, rejection, and editing of requirements, before the synthesis process kicks in.</t>
  </si>
  <si>
    <t>Requirements are documented with three clear headings and elaborated by the architect.</t>
  </si>
  <si>
    <t>Section 3.2, Figure 4</t>
  </si>
  <si>
    <t>The evaluation activity results in a prioritized and classified collection of evaluation scenarios, an evaluation of each of the scenarios individually and an evaluation of the scenarios interacting, as well as an evaluation report with the architecturally significant requirements and the constraints.</t>
  </si>
  <si>
    <t>Evaluation results in prioritized list of scenarios and requirements/constraints report.</t>
  </si>
  <si>
    <t>Section 3.4, Figure 6</t>
  </si>
  <si>
    <t>The areas that this work inhabits are surveyed and include documenting design rationale, reconstructing architectural knowledge and automated traceability. The approach creates a tactic label for a code file: no decision record, rationale or documentation artefact is created or stored.</t>
  </si>
  <si>
    <t>Documentation is not the contribution, it is the surrounding literature.</t>
  </si>
  <si>
    <t>Section 2</t>
  </si>
  <si>
    <t>There is no architecture documentation, decision record, or artefact for capturing the rationale of a software architecture decision is produced; the closest comparison is the natural language justification for a plan in the MCDM module, which documents an operational routing decision, not an architectural one.</t>
  </si>
  <si>
    <t>An operational decision, as opposed to an architectural one, is recorded in a decision justification.</t>
  </si>
  <si>
    <t>Section III-D</t>
  </si>
  <si>
    <t>The Readme Generator agent generates a system-level readme from file summaries and dependency chain tracing of entry points, along with cross-repository signals (API usage, QPS, documentation); it is explicitly designed to mitigate previous tools' lack of program entry point representation, and generates output that provides a system-level description emphasizing architecture, key modules, and execution flows.</t>
  </si>
  <si>
    <t>Readme Generator agent generates documentation for system level architecture based on traced entry points</t>
  </si>
  <si>
    <t>Section 3, 'readme Generation', Algorithm 1</t>
  </si>
  <si>
    <t>The Fusion agent's job is explicitly to produce a justification: a structured report of the evidence, its source, and an explicit confidence level for each diagnosis; the agent will also keep verifiable traces of the decisions made as it goes through the process (source, document ID, page, fragment length, retrieval time) via query metadata. The focus for this sub-theme is not on documenting but about a clinical decision, not on documenting a software system's architecture, but on documenting a decision record or design rationale of a software system.</t>
  </si>
  <si>
    <t>Clinically relevant reasoning, not architectural.</t>
  </si>
  <si>
    <t>Section II-A-4, Section II-B-2</t>
  </si>
  <si>
    <t>Runtime reporting is not software architecture documentation, a decision record or design rationale, but rather the Summarization Agent in two of the three case studies produces operational summaries of runtime events and executed actions for transparency to the end user.</t>
  </si>
  <si>
    <t>Runtime operational summaries, not architecture documentation</t>
  </si>
  <si>
    <t>Section V-B, Section V-C</t>
  </si>
  <si>
    <t>All links in the artefact chain are documents and the substance of the paper is the artefact chain. The requirement agent's main output is a structured requirement specification, which is considered as the standard baseline for all downstream agents, the planning agent produces a work breakdown structure, estimates the duration of the tasks, a risk assessment matrix and a project plan with milestones, dependencies and allocation of resources; the design agent produces the two design documents. The paper calls this chain what makes the system different from code assistants, that work on a single file or a small part at a time.</t>
  </si>
  <si>
    <t>End-to-end document chain resulting from the specification to plan to design.</t>
  </si>
  <si>
    <t>Sections III, VI-A, VI-B, VI-C</t>
  </si>
  <si>
    <t>No record exists of the reasons for any of it. The system presents a specification, a plan and the designs, but does not provide any rationale, any decision record, any justification for a recommended technology stack, a chosen schema or an estimated duration; no component captures the reasoning that produced the recommended technology stack, the chosen schema, and the duration estimate. The paper recognises this and suggests that the system may capture the rationale for architectural decisions to minimize black-box review, which is put aside in the future.</t>
  </si>
  <si>
    <t>There is no decision record or rationale for architectural artefacts</t>
  </si>
  <si>
    <t>Sections VI, X; would have appeared in Section VI-C</t>
  </si>
  <si>
    <t>A defined set of four traceable artefacts, specified in the meta-model and produced on each run are the deliverables: a requirement-to-function allocation report, a requirements classification report, a conflicting requirements report and a duplicate requirements report. Every requirement in the record is allocated a function, a type, a confidence value, a rewritten shall-form statement and separate written explanations for the assignment of a function and the assignment of a type; each classified requirement has its respective function and type and is accompanied by a statement of the reasoning that produced it.</t>
  </si>
  <si>
    <t>Four defined report artefacts, all of which have been assigned confidence and a written reason for the allocation</t>
  </si>
  <si>
    <t>Sections I, III-B, III-D, Appendices C and D</t>
  </si>
  <si>
    <t>The paper claims the framework makes for a kind of track record – a record of how the requirements were considered and how conflicts were resolved, one that is valuable not as a by-product, but, rather, for regulatory purposes, audits, and the future recordkeeping for when the system is upgraded or modified. It helps to ensure that the quality attributes it supports are traceable to upper level and lower level specifications where each of these quality attributes is required.</t>
  </si>
  <si>
    <t>Documentation and traceability as outputs – audit and regulatory reuse</t>
  </si>
  <si>
    <t>Sections II-A, V-A</t>
  </si>
  <si>
    <t>Design artefacts are persisted as named Markdown files (class-diagram.md, entity-diagram.md, sequence-diagram.md) inside the repository and are cited by name in the generation prompt as binding constraints, giving the documentation a machine-referenceable role rather than a purely human-readable one.</t>
  </si>
  <si>
    <t>Design documentation remained in repository, and was introduced as generation input.</t>
  </si>
  <si>
    <t>No rationale is recorded for any architectural decision. The only interesting finding from the study is the difference in agents' designs that the study presents as an outcome, comparing inter-agent design differences in terms of class counts, lines of code, and design changes, but without any indication of why any agent broke the system into its details.</t>
  </si>
  <si>
    <t>No decision rationale captured, including for the inter-agent differences studied</t>
  </si>
  <si>
    <t>Section III-B; Section V; Table V</t>
  </si>
  <si>
    <t>The paper is all about traceability between architecture documentation and code: TransArC required a manually created intermediate model, but ExArch can supply that automatically and the trace links can be recovered from documentation and code alone.</t>
  </si>
  <si>
    <t>Practical manual to generated intermediate models which enable traceability to architecture codes.</t>
  </si>
  <si>
    <t>Abstract; Section 1; Section 3</t>
  </si>
  <si>
    <t>ArTEMiS performs the same task as named entity recognition, but is specialised as named entities for architecture: It identifies named components in the documentation and for each named component returns a primary name, alternative names and abbreviations, as well as all lines in which the named component is mentioned explicitly or in clear context.</t>
  </si>
  <si>
    <t>Architectural entity recognition over documentation, tracking aliases and coreferences</t>
  </si>
  <si>
    <t>Section 4; Appendix A</t>
  </si>
  <si>
    <t>The link structure is precisely characterized rather than flat mapped: Links are bi-directional along documentation-model-code chain: Documentation to model is many-to-many as one sentence can reference more than one component and one component is referenced in more than one sentence: Model to code is many-to-one forward and one-to-many backward.</t>
  </si>
  <si>
    <t>Directionality and multiplicity of link explicitly described along the artefact chain</t>
  </si>
  <si>
    <t>Section 1</t>
  </si>
  <si>
    <t>The architecture is transformed to the diagram code, which facilitates the model to read its structure. The authors say that executing the nodes sequentially doesn't matter, and the actual structure recorded is difficult to interpret for the model, hence they turn the recorded structure into Mermaid code and a corresponding visual diagram before requesting the analysis. This is an architecture documentation for a machine reader and not for a human reader.</t>
  </si>
  <si>
    <t>Structures created with the purpose of being converted into diagram code for the purposes of the model being able to read its own execution logic.</t>
  </si>
  <si>
    <t>Section 3.3</t>
  </si>
  <si>
    <t>No rationale is preserved. Every iteration generates suggestions which are applied and then forgotten; there is no record of why a branch or loop is there, no history of what was done to end up with the architecture one now has, and no ability to recover the logic behind the architecture that one inherits from.</t>
  </si>
  <si>
    <t>Suggestions made and forgotten; no record of decision is left from an iteration.</t>
  </si>
  <si>
    <t>Section 3.3, whole paper</t>
  </si>
  <si>
    <t>No decision record, decision rationale artefact or documentation mechanism is given. The approach results in a well-documented architecture, but does not create or retain a decision and their reasons in the method. This is a scanned copy of 10 of the 15 printed pages of the chapter (pages 339-349), of which pages 339, 340, 346, 347 and 349 are missing, which is part of section 4.2, entire sections 6 and 7, and the end of the reference list. This lack of representation is therefore noted on the pages that we have and is not a statement on the entire chapter.</t>
  </si>
  <si>
    <t>The decision records and rationale mechanism was not specified.</t>
  </si>
  <si>
    <t>Section 1; Sections 4.3-4.4</t>
  </si>
  <si>
    <t>No decision record, rationale artefact or documentation output is described. Feedback to the architect can be promised in the form of recommendations but there will be no record of the decision, its alternatives or security reasoning.</t>
  </si>
  <si>
    <t>There are no records or reasons for the decision.</t>
  </si>
  <si>
    <t>Sections IV-V</t>
  </si>
  <si>
    <t>Absence: there is nothing that analyzes, recovers or checks (cases with already built systems). The context of past decisions is reconstructed and presented in a study design (not an architectural analysis) so that the technique can be exercised.</t>
  </si>
  <si>
    <t>Absence: the systems already in place are studied, rather than analyzed.</t>
  </si>
  <si>
    <t>1.4 Architecture analysis, recovery, conformance and smell detection</t>
  </si>
  <si>
    <t>whole paper, Section 3</t>
  </si>
  <si>
    <t>T1: design analysis (1.4)</t>
  </si>
  <si>
    <t>Absence: No analysis, recovery, conformance check or smell detection performed on an existing architecture. There is only a disaster-recovery requirement in a worked scenario that would materialise as recovery; and the only analysis the approach requests is the architect's verification of the technical premises of the model.</t>
  </si>
  <si>
    <t>Absence: existing architecture is analysed</t>
  </si>
  <si>
    <t>The fourth tool is an in-depth analysis of a selected decision, which would assess the risks, trade-offs and related decisions, all of which would be part of the agent's own workflow and not a separate human task.</t>
  </si>
  <si>
    <t>Assessment of decision built into agent workflow.</t>
  </si>
  <si>
    <t>Absence: No analysis, recovery or conformance check of an existing architecture. Analysis in this paper refers to the framing of the study using the goal-question-metric and to the threats to validity section, the retrieval of decisions from project history is not done, but it is cited as prior work.</t>
  </si>
  <si>
    <t>Absence: existing architecture is analysed.</t>
  </si>
  <si>
    <t>The task is answering questions regarding the architectural knowledge already held by the model about an existing open-source system, and the authors make a clear distinction between such task and the ones that involve making new design decisions or creating new architectures.</t>
  </si>
  <si>
    <t>Asking questions to gain understanding of what already exists</t>
  </si>
  <si>
    <t>Section I, Section VII-2</t>
  </si>
  <si>
    <t>Three concepts of architectural-knowledge are tested independently: components and connectors, solutions to quality attributes, and rationale of design decisions.</t>
  </si>
  <si>
    <t>The concepts of architectural knowledge were evaluated separately.</t>
  </si>
  <si>
    <t>Component identification is reported to be about comparable to a traditional architecture-recovery algorithm on the same system, while source-code tactic detection is reported to be clearly superior to the model, the authors claiming the latter's advantage is that no technique has been built on a specific architectural style; the authors propose a hybrid approach.</t>
  </si>
  <si>
    <t>Similar to component recovery tools, but worse for tactics</t>
  </si>
  <si>
    <t>Section V-A</t>
  </si>
  <si>
    <t>The analysis is done on the output, not a system; a set of diagrams is generated and compared to the set of diagrams of the source specification and the deviations are listed and the prompt is modified until a numeric threshold is achieved. There is no analysis, recovery or checking of an implemented architecture.</t>
  </si>
  <si>
    <t>The output generated is considered, not an architecture</t>
  </si>
  <si>
    <t>Abstract, Section IX</t>
  </si>
  <si>
    <t>The objective for candidate evaluation is to automate an existing architecture evaluation technique, and to evaluate each candidate by computing quality metrics, as well as a quantitative analysis to identify performance hotspots.</t>
  </si>
  <si>
    <t>Artificial intelligence in a known assessment technique and quality indicators</t>
  </si>
  <si>
    <t>A DecisionChecking copilot fetches semantically similar decisions from a similar or identical requirement and compares the candidate decision with the retrieved decisions, to find inconsistencies and conflicts.</t>
  </si>
  <si>
    <t>Copilot reviews a candidate decision to ensure there are no conflicts with existing decisions</t>
  </si>
  <si>
    <t>Section 3.1, Task 3, Table 1</t>
  </si>
  <si>
    <t>It is explicitly limited to code-level artefacts, such as Java files and packages, with abstract-syntax-tree parsing, graph neural networks and language models to recover latent architectural knowledge directly from code that is extracted from the system itself.</t>
  </si>
  <si>
    <t>The latent AK was recovered directly from the source code with the assistance of AST and graph.</t>
  </si>
  <si>
    <t>Analysis is used twice, but it is not used here: 30% of the respondents to the survey already use models in analysis of documentation, and the introduction questions if models can be used to analyse accumulated empirical knowledge for supporting design-space exploration. In the study no architecture is analysed, recovered or checked.</t>
  </si>
  <si>
    <t>Analysis is not a doing, but a reported practitioner use and an open question.</t>
  </si>
  <si>
    <t>Section I, Section IV-A, Table II</t>
  </si>
  <si>
    <t>The Software Architecture Analysis Method supervises the model to evaluate the synthesised architecture: for a named component the model considers scenarios to assess that component alone and where it is used in conjunction with other components, and identifies and prioritises three scenarios for functionality, quality and constraint, and evaluates them incrementally for full or partial validation.</t>
  </si>
  <si>
    <t>It has a mature evaluation method for driving model-performed architecture evaluation.</t>
  </si>
  <si>
    <t>Section 2.2, Section 3.4, Figure 6</t>
  </si>
  <si>
    <t>A classifier based on Fuzzy BERT is fine-tuned to classify a specific code class or snippet of code to one of five architectural tactics (Audit Trail, Authentication, Heartbeat, Resource Pooling, Scheduling), or to an Unrelated category to automatically recover a traceability link between a quality-driven design decision and its code-level realization.</t>
  </si>
  <si>
    <t>The links between the tactic and the code are recovered by the fine-tuned classifier.</t>
  </si>
  <si>
    <t>Tactic detection is considered to be more difficult than detection of design patterns, because the definition of tactics consists of the roles and interactions of the objects, not the fixed class/association structure, and a purely structural analysis will only be successful to some extent.</t>
  </si>
  <si>
    <t>Role/Interaction-level definition of tactics as being harder to detect than pattern detection.</t>
  </si>
  <si>
    <t>The detection approach is based on two assumptions: (1) programmers tend to write similar functionality in similar ways; and (2) code can be used like other text for the purpose of BERT. These assumptions are also shared in other research areas of traceability.</t>
  </si>
  <si>
    <t>The detection approach is based on the assumption that there are consistent implementation patterns and that code is considered to be text.</t>
  </si>
  <si>
    <t>The framework does not analyze, recover or verify conformance of an existing software architecture; its 'comprehension verification' phase is a check whether the generated code conforms to a supervisor's natural-language metric description, which is not a check on the conformance of the architecture to the metric, but a check on the conformance of the code to the metric.</t>
  </si>
  <si>
    <t>The term conformance to code/spec is used, rather than architecture-conformance analysis.</t>
  </si>
  <si>
    <t>Section III-C</t>
  </si>
  <si>
    <t>ArchAgent is a hybrid agent framework that integrates static analysis, graph-based reasoning and LLM-driven semantic synthesis to generate multivie+C127w, business-oriented architecture diagrams from large-scale legacy codebases comprising multiple repositories, and explicitly tackles architectural drift from business requirements changes and ad hoc modifications.</t>
  </si>
  <si>
    <t>In this paper, we present the reconstruction of Multiview architecture from legacy code using a hybrid static-analysis + LLM framework.In this paper, we propose a hybrid static analysis + LLM framework for reconstructing Multiview architecture from legacy code.</t>
  </si>
  <si>
    <t>The two core challenges for LLM-based architecture recovery in a repository at scale are: (limited 128k-token models can't load a million-line repository in one go) and (local-scope-bias, LLM trained on snippet-scale corpora may miss out on functions, may misstate control-flow, may hallucinate identifiers when summarizing whole file/packages).</t>
  </si>
  <si>
    <t>Two local/namable gaps: local-scope bias and finite context windows at repository scale</t>
  </si>
  <si>
    <t>Section 2, 'LLMs for Code Understanding'</t>
  </si>
  <si>
    <t>At the project level, cross-repository information (upstream/downstream API usage, QPS metrics, and repository documentation) and DevOps-inspired heuristics are combined to recognize business-critical modules and translate them to system-level diagrams that are based on real execution flows and complement the gap of 'missing business semantics' left by classical structural-dependency recovery tools (like ACDC, ARC, Bunch).</t>
  </si>
  <si>
    <t>Unlike classical recovery tools, cross-repository signals and DevOps heuristics can be used to identify business-critical modules.</t>
  </si>
  <si>
    <t>Section 1, Section 2, 'Static and Dynamic Architecture Recovery'</t>
  </si>
  <si>
    <t>The diagram was generated for a real world example of an industrial SQL-transformation code base (621 java files) and automatically identified all business-critical modules such as parsing, named-entity recognition, control/coordination and the SQL-conversion pipeline, including a dedicated, fine-grained sub-view of a workflow that was fully implemented inside a single java file and – according to the repository's maintainer – would be the information that she normally needs to communicate.</t>
  </si>
  <si>
    <t>Case study: draw a diagram of every business-critical module, if the maintainer considers it very well covered.</t>
  </si>
  <si>
    <t>Section 4.3, Figure 4</t>
  </si>
  <si>
    <t>The system does check for conflicts and discrepancies: it checks the consistency between the RAG content from the book and the newly crawled clinical guidelines and alerts when there is a disagreement. The analysis for this sub-theme does not take place on the structure, conformance and quality of any software architecture, but on clinical evidence from 2 knowledge streams.</t>
  </si>
  <si>
    <t>Conflict detection is focused on clinical evidence and not software structure.</t>
  </si>
  <si>
    <t>Section II-A-4</t>
  </si>
  <si>
    <t>Not a static analysis or a recovery or a conformance check of an existing software architecture is performed, the paper's conformance concept (Figure 3) compares the actual execution of a technical process against its planned execution at runtime, which is process/plan conformance, not software-architecture conformance.</t>
  </si>
  <si>
    <t>Instead of software-architecture conformance, runtime process conformance</t>
  </si>
  <si>
    <t>Nothing analyses, recovers or checks the conformance of any architecture. Only checking that is described is the manager agent's check of the generated documents for logical consistency and completeness, which is performed on the artefacts that the system has just created, but not on any existing system; and additionally not built. No architecture smell, drift, violation or quality attribute is defined, sought or measured anywhere.</t>
  </si>
  <si>
    <t>No architecture is analyzed, recovered and checked for conformance.</t>
  </si>
  <si>
    <t>Sections VI-D, IX-C; would have appeared in Sections VI or IX</t>
  </si>
  <si>
    <t>This is an unusual model in this corpus that will do architecture recovery. The language model is taught the architectural building blocks using the formal system model, and these can be returned as a hierarchy of system, subsystem and function, thus capturing both structural and functional decomposition for the architect to work with both on the architectural and model levels. This step is performed on every run because the architecture may change over time, and will always cover any new subsystems or functions added in.</t>
  </si>
  <si>
    <t>The decomposition of a formal model into subsystems and functions, performed by the model itself, on each run.</t>
  </si>
  <si>
    <t>Sections III-B, III-E, Appendix B</t>
  </si>
  <si>
    <t>Coverage of the architecture is checked against an explicit and open sufficiency rule: each core function must satisfy at least three safety requirements, with one being an input requirement, one a processing requirement and one being an output requirement, and supported by field experience; the second is a deliberately introduced stochastic thinking requirement for safety-critical functions that are not themselves safety-critical. This leaves a functional-type matrix of the functions that are complete or missing, and the reported result is that the functional coverage was "reasonable" (except that four of nine functions had none) while the probabilistic coverage was not (except that four of nine had none).</t>
  </si>
  <si>
    <t>Architectural coverage checked by a stated sufficiency rule with a systematic probabilistic gap.</t>
  </si>
  <si>
    <t>Section IV-A-2, Table 1</t>
  </si>
  <si>
    <t>The analysis is extended to coverage to consistency in the allocated set. The requirements are clustered according to the functions they are assigned to, and then the sets of requirements in the clusters are analysed for inconsistencies within the cluster and for the same specification expressed by different sets of stakeholders. Both analyses, then, make use of the functional decomposition of the architecture, instead of an undifferentiated list of requirements that would otherwise make it impossible to demonstrate that two similar requirements under different functions are complementary, rather than duplicate.</t>
  </si>
  <si>
    <t>Contradiction and duplication analysis done inside functional partitions of the architecture</t>
  </si>
  <si>
    <t>Sections III-B, III-G, III-H, IV-A-3, IV-A-4</t>
  </si>
  <si>
    <t>Conformance to declared standards are validated automatically, not by inspection: Through GitHub Actions pipelines, coding standards and security are validated with validating agents, unit and integration testing is performed, SAST and OWASP checks are added, and SonarQube code-quality analysis is conducted.</t>
  </si>
  <si>
    <t>Automated conformance of standards, security and quality in the pipeline.</t>
  </si>
  <si>
    <t>Section III-B; Section III-C; Section V</t>
  </si>
  <si>
    <t>No verification of the created implementation against the agent's given class, entity and sequence diagrams. The checks carried out are on the quality of the code and security – no checking of architectural conformance, drift or smell is described or reported anywhere.</t>
  </si>
  <si>
    <t>There was no check of the implementation against the implementation design artefacts.</t>
  </si>
  <si>
    <t>Section III-B; Section IV; Section V</t>
  </si>
  <si>
    <t>As well as being recovered from documentation, architecture is also recovered from code: package structure in the source code is recovered as a feature, which is then passed to the model, which is then asked to summarise the extracted package structure with respect to the high-level architecture of the system and to identify the possible components.</t>
  </si>
  <si>
    <t>Component names that were recovered from the source-code package structure with prompt</t>
  </si>
  <si>
    <t>Section 3.1; Section 3.2</t>
  </si>
  <si>
    <t>The work explicitly challenges architecture recovery, and it sets its own limits: recovery is interested in detailed models for general goals like understanding functionality or predicting performance; here, only models that fill in the semantic gap for the purpose of traceability are of interest, and the authors argue that the purpose of a model determines its adequacy using the model theory.</t>
  </si>
  <si>
    <t>But Scope argued that there was a distinction between the two with regard to model purpose and adequacy because of architecture recovery.</t>
  </si>
  <si>
    <t>Section 2.4; Section 5.3.4</t>
  </si>
  <si>
    <t>The error analysis reveals not just aggregates that are missing but also those that are missing and why. Error aggregates not only are components that are present in the manual model but never mentioned in the documentation, but also code-derived extraction, missing production and test packages, with the construction of components from an architecture-test package and a main entry point.</t>
  </si>
  <si>
    <t>Failure modes that can be traced to undocumented parts and to test production code</t>
  </si>
  <si>
    <t>Section 5.3.4; Figures 3 and 4</t>
  </si>
  <si>
    <t>Conformance or inconsistency checking is not done. This paper only addresses the implementation of trace-link recovery as the pipeline feeds into the downstream tool, which is designed to check for inconsistencies between documentation and architecture, but can't report whether an implementation matches the documented architecture.</t>
  </si>
  <si>
    <t>No conformance testing is performed and trace links are retrieved.</t>
  </si>
  <si>
    <t>Section 3.3; Section 5</t>
  </si>
  <si>
    <t>The model runs the architecture it is installed in. A process-perception step combines together all the outputs of all the nodes in the workflow and looks at the structure along with these outputs – analysis of the structure of an ongoing system, not an external artefact.</t>
  </si>
  <si>
    <t>For each node, model analyses their own workflow structure and the outputs generated.</t>
  </si>
  <si>
    <t>Figure 1, Section 3.3</t>
  </si>
  <si>
    <t>Failure analysis is not general, but image-understanding failure: errors are categorized as image-understanding errors (incorrect description of the input) and diagnostic errors (correct description, but failure of reasoning). So if failure is traced to the first, a structural change is necessary, and if fault is traced to the second, a prompt change is necessary.</t>
  </si>
  <si>
    <t>Failure failures can be grouped into two types of failures, both of which relate to the type of repair.</t>
  </si>
  <si>
    <t>There is no specification to validate the architecture against it should be. Validation is limited to graph integrity (no duplicate edges, bounded iteration, well-defined loop exits) and the lack of a conformance notion means there is no architectural property that the evolved structure must maintain, no smell or anti-pattern detection.</t>
  </si>
  <si>
    <t>Only graph integrity is checked, and no conformance to an architectural specification.</t>
  </si>
  <si>
    <t>An existing trade-off analysis method is suggested to be implemented in the following model: Quality-attribute scenarios are analysed first; prioritisation and decisionmaking activities already carried out are used to surface trade-offs, sensitivity points, risks and non-risks, distilled into risk themes that are provided in a report.</t>
  </si>
  <si>
    <t>Trade-off analysis method suggested as automatic design evaluation approach</t>
  </si>
  <si>
    <t>Section 5, Figs. 6-7</t>
  </si>
  <si>
    <t>No conformance checking, no architecture recovery and no smell identification on an existing system – each analysis technique mentioned works on an under development design and not on an implementation. Our version of this chapter consists of a scanned copy of 10 out of the 15 pages in print form, that is, pages 335 to 349, where pages 339, 340, 346, 347 and 349 are missing. These are parts of section 4.2, section 6 and section 7, and the end of the reference list.</t>
  </si>
  <si>
    <t>No recovery, conformance or smell detection.</t>
  </si>
  <si>
    <t>Sections 4-5</t>
  </si>
  <si>
    <t>One of the three specified goals of the research is attack-surface assessment of alternative architectural designs; test cases created and ranked are employed to find out which parts of each alternative are most sensitive from the point of view of security and evaluate the design decisions made.</t>
  </si>
  <si>
    <t>Interpretation of the attack surface of the competitive architectural models as a stated goal</t>
  </si>
  <si>
    <t>Abstract; Section IV-A RQ3</t>
  </si>
  <si>
    <t>The process of information gathering is white-box, as it involves analysing the existing development artefacts, namely the software architecture, rather than probing the system from the outside.</t>
  </si>
  <si>
    <t>White-box rather than black-box probing of design artefacts.</t>
  </si>
  <si>
    <t>Section IV-B RQ1</t>
  </si>
  <si>
    <t>A component-based language of architecture description is mentioned as the metamodel of the input; the authors state that their technique works with any architectural description of a system.</t>
  </si>
  <si>
    <t>An input that is analyzed is a component-model architecture description language.</t>
  </si>
  <si>
    <t>Personality of Software Architect captures the role, goals and constraints on decision-making of an architect in order to ensure that the model does not come up with the solution outside the realm of the architect’s powers.</t>
  </si>
  <si>
    <t>Persona scope models output to the architect's decision scope</t>
  </si>
  <si>
    <t>1.5 The role assigned to the model: assistant, co-designer or autonomous agent</t>
  </si>
  <si>
    <t>T1: application context (1.5-1.6)</t>
  </si>
  <si>
    <t>It is emphasized that the generative AI is a complementary technology and not an alternative to the crucial design process, which requires human experience to balance risk, trade-offs and uncertainty involved.</t>
  </si>
  <si>
    <t>The use of AI as a complement and the final say rests with the architect.</t>
  </si>
  <si>
    <t>Section 9</t>
  </si>
  <si>
    <t>The idea is to allow architects to think of various possibilities and come up with alternative designs through brainstorming.</t>
  </si>
  <si>
    <t>Architect decides on options; assisted by AI.</t>
  </si>
  <si>
    <t>The motivation behind developing this approach was that in their previous prototype, the human involvement was mandatory at each search and evaluation stage which did not allow reasoning across multiple patterns.</t>
  </si>
  <si>
    <t>Move from modules that are controlled by humans to autonomous agents.Transition from human-controlled modules to autonomous agents.</t>
  </si>
  <si>
    <t>In the case of the presented model, agents are seen to complement the exploration of complex design spaces by the expert architect and support the development of design capabilities among young architects instead of replacing either.</t>
  </si>
  <si>
    <t>Agents as talking points for expert and novice architects.</t>
  </si>
  <si>
    <t>Section VII</t>
  </si>
  <si>
    <t>The conclusion drawn from the results is that although models may be able to create design decisions, it is impossible for them to do so independently since the best performer is still unable to create the complete decision, thus requiring human participation and assistance of the tool.</t>
  </si>
  <si>
    <t>Viable but not auto-entitled generation</t>
  </si>
  <si>
    <t>Section VI-A, Section VIII</t>
  </si>
  <si>
    <t>The position taken by the author is that the model is able to provide an initial understanding of the architecture of a system but cannot be considered reliable enough to replace the work of the expert.</t>
  </si>
  <si>
    <t>First comprehension only; not substituted by expert analysis.</t>
  </si>
  <si>
    <t>Section V-B, Section VIII</t>
  </si>
  <si>
    <t>The tool is presented as an assistant that speeds up the design process, with the author noting that some of the diagrams created exceeded the quality of human diagrams.</t>
  </si>
  <si>
    <t>Described as a 'speeding up assistant' at times, overriding humans.</t>
  </si>
  <si>
    <t>Section XII</t>
  </si>
  <si>
    <t>The process intentionally keeps the model limited to conventional processes that are already standard, considering that full automation is easier to use, enables a proficient architect to control the model, and is a requirement because there is no training data available for this particular purpose since the exploratory test carried out in this paper suggests that full automation will not work effectively right now.</t>
  </si>
  <si>
    <t>AI, programmed to perform within the confines of common processes, rather than automation.</t>
  </si>
  <si>
    <t>Decision about the choice of candidate designs is left for the human architect, who is expected to take into account the hidden requirements that were never stated since all participants knew about them, or requirements that have yet to become official but are thought to eventually become so.</t>
  </si>
  <si>
    <t>Final selection and judgement of undocumented-requirement kept human</t>
  </si>
  <si>
    <t>Section 3.4</t>
  </si>
  <si>
    <t>The design is based explicitly on a two-role model where a human serves as the decider senior architect and copilots as the critiquing cognitive architect, while the former is allowed to interfere at any time and change the suggested pattern, alter the decision made, or write a completely different one.</t>
  </si>
  <si>
    <t>Copilots are assigned to the role of "critiquer" (fills in this role for human)</t>
  </si>
  <si>
    <t>Section 1, Section 3</t>
  </si>
  <si>
    <t>This reason for choosing AI-based generators as a method of critique is taken from previous non-LLM studies done in the classroom where students' bias prevented the investigation of the alternatives by humans alone.</t>
  </si>
  <si>
    <t>Because of an observed lack of critique among humans, not automation for the sake of automation.</t>
  </si>
  <si>
    <t>Large language models can be seen as a retrievable source of external world architectural knowledge, just as human sources like pattern repositories, scientific papers, books, and blogs can, and not merely as generators of new text.</t>
  </si>
  <si>
    <t>Models used as a knowledge source to retrieve from, not just a generator</t>
  </si>
  <si>
    <t>The answer to a query must be customized according to the role of the person asking (an architect, a developer, a newbie, a tester, a project manager, or even an unknown user) in order for the same underlying information to be presented differently to each stakeholder.</t>
  </si>
  <si>
    <t>Designed answers for the questioning stakeholder's role.Designed answers for the role of the questioning stakeholder.</t>
  </si>
  <si>
    <t>None of the four students who served as test subjects was told about the designs being generated by ChatGPT; on the contrary, they were told about a new method developed for helping architects make decisions that helped in generating alternative solutions to the problem that they have already solved.</t>
  </si>
  <si>
    <t>The designers were randomly selected and the participants were intentionally not informed that these designs were created by the model.</t>
  </si>
  <si>
    <t>The authors define three requirements, respectively, for a tool to qualify as an engineering tool, an assistance tool and a methodology, and determine that the model under consideration fails to satisfy any of those criteria since it does not produce the same output in case of the same input, it is impossible to compare logical similarity of its outputs between repetitions, and, finally, it does not provide any instructions for success or conditions that preclude it. Overall conclusion about the model is that it cannot be viewed as an engineering approach.</t>
  </si>
  <si>
    <t>A model that does not satisfy any of the three criteria proposed for a Technique, Tool or Methodology</t>
  </si>
  <si>
    <t>Section IV-D</t>
  </si>
  <si>
    <t>In fact, the authors classify the model as an inspirational tool, its use being comparable to a ritual, and not an engineering technique because it is easy to repeat and there is some probability that the outcome produced by it will be useful, although nobody knows in advance whether and when it will happen.</t>
  </si>
  <si>
    <t>Model described as inspirational and used in a ritualistic manner, not engineering.</t>
  </si>
  <si>
    <t>Collaborative architecting is viewed as an approach unifying the knowledge of an architect with capabilities of a bot as an intelligent agent which is capable of carrying out the architecting process through conversations with a human.</t>
  </si>
  <si>
    <t>Bot is an agent who facilitates the process in human dialogue and supervision.</t>
  </si>
  <si>
    <t>The collaboration is described as helping out the novice designer or architect who has no previous experience or professional expertise by allowing him to express his requirements in natural language which will be translated by the bot into requirements that are architecturally relevant, architectural models and evaluation scenarios.</t>
  </si>
  <si>
    <t>Specifically targeting novice architects without professional knowledge.</t>
  </si>
  <si>
    <t>Section 2.1</t>
  </si>
  <si>
    <t>Absence: No function has been allocated to the model beyond classification. The model is contained within an experimental pipeline which has no interface and no interaction, with no division of labor between the model and the architect either.</t>
  </si>
  <si>
    <t>Absence: the model is not involved in any work carried out by an architect</t>
  </si>
  <si>
    <t>The framework gives the LLM two clear runtime functions in the DSS’s own self-adaptive loop, namely Dynamic Metrics Generation (where it takes a description of metrics by the supervisor in natural language and generates executable code for evaluation), and Multi-Criteria Decision Making (choosing and justifying a preferred plan according to the natural-language description of the trade-offs).</t>
  </si>
  <si>
    <t>Absence: Model is not assigned a role other than classification. It is found within an experimental pipeline where there is no dividing work between model and architect, no interface and no interaction.</t>
  </si>
  <si>
    <t>Since LLMs are stochastic and black box in nature, their outputs are probabilistic and thus are not completely interpretable, in contrast to human collaborators who directly verify that they comprehend the instruction. The requirement of a 'comprehension verification phase' for the two modules is therefore mandated by the authors owing to the above fact.</t>
  </si>
  <si>
    <t>Second LLM validates the output of the first LLM based on the stated intent, before trust</t>
  </si>
  <si>
    <t>If the process of comprehension verification or self-debugging fails repeatedly (max_attempts number of times), the system raises a warning to the human supervisor, as opposed to silently performing action upon unverified output.</t>
  </si>
  <si>
    <t>Explicit warning to human user of failure with self-debugging bounded by the explicit warning of failure.</t>
  </si>
  <si>
    <t>Section III-C, Algorithm 1</t>
  </si>
  <si>
    <t>This system is explicitly hybrid in nature and not LLM-centric. While static analysis, through the means of AST-derived reference graphs, provides the structural basis for the process, LLMs provide the semantics through semantic synthesis of file and repository-level summaries and business-critical module identification.</t>
  </si>
  <si>
    <t>LLM is not just a linguistic layer but sits atop a static-analysis foundation.</t>
  </si>
  <si>
    <t>A total of five agents are allocated specific roles and even more surprisingly specific models for their task: DeepSeek-R1 for text structuring with respect to the schema, Gemini-2.0-Flash for the RAG hypothesis generation process, Qwen2-72B for the hierarchical literature summarisation task, GPT-4o-mini for synthesis, and once again Gemini-2.0-Flash for the optimiser task.</t>
  </si>
  <si>
    <t>Five agents: each with a different role, each with a different per task model, and each one with a justification.</t>
  </si>
  <si>
    <t>Section II-A-1 to Section II-A-5</t>
  </si>
  <si>
    <t>Only one of these agents controls all the other agents: the Adaptive Optimizer is referred to as a meta-controller that assesses the reliability of the analysis, finds any unreliable data, and generates the new queries in response to the RAG Analyzer and Evidence-Based Scanner. In this paper, we find the best example of directing other models by the model itself.</t>
  </si>
  <si>
    <t>The other agents are supervised and re-directed by a meta-controller agent.</t>
  </si>
  <si>
    <t>Section II-A-5, Section II-D</t>
  </si>
  <si>
    <t>The LLM is architecturally limited to only one task role throughout the entire work: an 'assistant system', where the output must be checked and confirmed by the human as a design requirement rather than an inherent limitation, "the LLM system shall be limited to functioning as an assistant system, with final result validation still remaining the user's responsibility."</t>
  </si>
  <si>
    <t>Instruction: LLM role explicitly defined as ‘assistant', explicitly stated as a design mandate</t>
  </si>
  <si>
    <t>Section IV-B-4</t>
  </si>
  <si>
    <t>Each of the three case studies represents a unique multi-agent role architecture for an underlying 'LLM agent' concept: the Manager/Operator architecture (Case A), the Manager/Operator/Summarization architecture (Case B), and finally the Observation/Reasoning/Decision/Summarization four-role architecture (Case C), that is the same architectural concept (the LLM agent as a software component with an input data interface and an output control interface) implemented with different role architectures in each particular case.</t>
  </si>
  <si>
    <t>Three different multi-agent role structures, instantiated with the same core LLM-agent concept.</t>
  </si>
  <si>
    <t>Section V-A, Section V-B, Section V-C</t>
  </si>
  <si>
    <t>The roles chosen are names of human jobs and the role decomposition is inspired by a project team. Four agents each are responsible for one function according to the decomposition of labour principle: the requirement agent for semantic analysis, the planning agent for scheduling and feasibility estimation, the design agent for architectural work and finally the manager or orchestrator agent for coordination and validation. All of them are supposed to perform their functions within the well-defined scope of activity and with domain-specific prompting, and the authors refer to the whole setup as the imitation of dynamics of human programmers and project teams calling the agents virtual architects, project managers and business analysts.</t>
  </si>
  <si>
    <t>Four role-specialized agents explicitly and explicitly based on human engineering-team roles.</t>
  </si>
  <si>
    <t>Sections I, V-B, VI</t>
  </si>
  <si>
    <t>The model cannot exercise control or any design function whatsoever; it is merely a service queried through a programmatic interface with a specified low sampling temperature to ensure that outputs are as deterministic as possible, and with a specified structure of confidence and explanation accompanying every judgement. Additionally, there is a designated escape category such that the model must declare an unknown rather than try to guess in those situations where its confidence drops below a certain threshold. Each judgement made by the model is thus an advisory to a human architect, not an action.</t>
  </si>
  <si>
    <t>The model was coupled with a structured, confidence-annotated analysis behind a deterministic API call.</t>
  </si>
  <si>
    <t>Sections III-D, IV-A-1, V-C, Appendix C</t>
  </si>
  <si>
    <t>The fundamental assertion made in the paper regarding the necessary role of the generative model is phrased as a limitation of the technology rather than a capability of the technology: that generative AI must be augmented with formal models and queried systematically in order to generate meaningful specifications and architectures for safety. This assertion is derived from a limitation in the generative models themselves, namely that they have a very poor ability to perform deterministic and consistent reasoning about precise behavioural and temporal properties, especially regarding issues of synchronisation and edge cases.</t>
  </si>
  <si>
    <t>Grounding and systematic querying as preconditions, not enhancements</t>
  </si>
  <si>
    <t>Abstract, Section I</t>
  </si>
  <si>
    <t>The agents are accorded the responsibility of autonomous actions over the entire lifespan where they carry out architecture planning, coding, management of development processes and validation. The paper describes Agentic AI as an autonomous agent that plans, produces and validates the software artifacts.</t>
  </si>
  <si>
    <t>Model tasked an autonomous plan-generate-validate role throughout the lifecycle</t>
  </si>
  <si>
    <t>Abstract; Section I; Section III-B</t>
  </si>
  <si>
    <t>In the case of the multiple agents, they operate independently from each other as peers using identical inputs. They produce full implementations of the system being developed and as such the use of multiple agents does not represent a division of labor but a comparison tool.</t>
  </si>
  <si>
    <t>They are not a specialized division of labor, but rather are agents running as peers on the same inputs.</t>
  </si>
  <si>
    <t>Section III-A; Section III-B; Fig. 1; Fig. 2</t>
  </si>
  <si>
    <t xml:space="preserve">
However, there is a limit to authority in the findings since human intervention is important for governance of the architecture, validation of business needs and compliance within the enterprises and regulatory settings.</t>
  </si>
  <si>
    <t>Limited authority with a clearly defined human role in the governance and compliance process</t>
  </si>
  <si>
    <t>Section VI</t>
  </si>
  <si>
    <t>The scope of the model is delimited explicitly by the design of the paper: while the existing approach leaves the entire traceability problem to be solved by LLMs, it instead breaks the problem down into subproblems, uses LLMs for the tasks at which they are strong (finding and extracting architectural entities) and defers the last step of tracing and linking to heuristics in the existing approach.</t>
  </si>
  <si>
    <t>LLMs face the task of entity extraction, while link recovery is handed over to deterministic heuristics.</t>
  </si>
  <si>
    <t>Section 1; Section 5.5</t>
  </si>
  <si>
    <t>The model is defined in terms of recognition rather than reasoning; it is described as having the capability of resolving coreferences and indirect references within context, in contrast to the heuristics that it replaces. Its inputs are delimited with clear inclusion and exclusion criteria about architectural components.</t>
  </si>
  <si>
    <t>The model is used as a context-sensitive recognizer, in explicit inclusion rules mode</t>
  </si>
  <si>
    <t>Structure of the output is a separate question from the task itself: the elaboration and the formatting steps have been split due to the frequent generation of malformatted JSON, with the model being prompted separately to do both think and serialize.</t>
  </si>
  <si>
    <t>Parsed reasoning and serialization out of the same prompt</t>
  </si>
  <si>
    <t>Section 4; Section 5.5</t>
  </si>
  <si>
    <t>The model takes the place of the architect, from start to finish: it analyses the current design, diagnoses problems with it, suggests modifications, re-formulates them into an actionable format, and the framework implements those. There is no human interference between one architecture and another produced through iterations.</t>
  </si>
  <si>
    <t>Model plays the role of the architect in perception, diagnosis and proposal and application.</t>
  </si>
  <si>
    <t>Section 1, Section 3.3</t>
  </si>
  <si>
    <t>However, the freedom from any human intervention is supported by humans at three critical points, which the authors do not consider limiting factors: first, the set of operations possible within the search space is created by the authors themselves, second, the initial workflow and validation criteria are specified and third, the list of tools is pre-defined. The model works within a framework created for it by the authors.</t>
  </si>
  <si>
    <t>Autonomy in a human-in-the-loop search space and seed workflow and rule set.</t>
  </si>
  <si>
    <t>Section 3.1, Section 3.2, Section 4.1</t>
  </si>
  <si>
    <t>It is done so intentionally, because the involvement of architects is guaranteed: the generated designs are examined in view of real needs by human architects, whose approval ends the iterations.</t>
  </si>
  <si>
    <t>If you have an architect as the reviewer, they will close each iteration.</t>
  </si>
  <si>
    <t>Abstract; Sections 4.4, 5</t>
  </si>
  <si>
    <t>Present model as a decision making tool instead of the decision maker</t>
  </si>
  <si>
    <t>Sections 1, 5</t>
  </si>
  <si>
    <t>The use of the model is intentionally left unclear: The idea is to develop an algorithm without using any model first and analyze if it needs to be replaced or modified by a language model for certain steps, while the algorithm serves as a comparison point.</t>
  </si>
  <si>
    <t>Undecided about replacing or improving pipeline steps, Model's role.</t>
  </si>
  <si>
    <t>Section IV-B, Strategy 2</t>
  </si>
  <si>
    <t>The architect retains decision-making authority at all times: the output is represented as insights and advice for the decision-maker, not as a decision made by the system.</t>
  </si>
  <si>
    <t>Feedback is output from an architect who is the decision maker.</t>
  </si>
  <si>
    <t>Sections IV-A RQ3, V</t>
  </si>
  <si>
    <t>Absence: There is no practical benefit reported, since nothing was constructed or implemented. The paper mentions four engineering problems that need to be solved in order for the system to become practically beneficial, which means that any benefits remain only anticipated but not seen yet.</t>
  </si>
  <si>
    <t>The system lies in its initial state (no benefit in practice).</t>
  </si>
  <si>
    <t>1.6 Reported benefits in practice</t>
  </si>
  <si>
    <t>Absence: There is no validated benefit reported. The authors classify their findings as preliminary and note that any conclusions regarding the architect’s productivity and the usefulness of the model can be reached only through further experimentation and scenario development.</t>
  </si>
  <si>
    <t>Suspected: a benefit has not yet been proven; results are considered preliminary</t>
  </si>
  <si>
    <t>Conclusion</t>
  </si>
  <si>
    <t>None is shown to outperform current methods in accuracy: cross-validation performance equals but fails to surpass the previous state-of-the-art, and in the unseen case study, it underperforms it. However, the authors still claim an advantage of the method in terms of its type rather than accuracy, which is that an obvious advantage of transfer learning lies in the ability to train a task on rather small amounts of data as long as the language model fits the input.</t>
  </si>
  <si>
    <t>No evidence of the accuracy advantage, but authors say they gain a benefit in terms of how efficiently the data is used</t>
  </si>
  <si>
    <t>Section 4; Section 5, p. 7</t>
  </si>
  <si>
    <t>Accuracy is offered as a practice benefit rather than a benchmark: 94 percent on MedQA, 88 on PubMedQA and 84 on MedBullets with 50 questions per dataset, with output quality claimed to improve by 14.2 percent and system consistency by 1.8 times, and a leave-one-agent-out ablation showing the individual contribution of each agent. None of it is clinical: the system is limited to decision support where the physician makes the decisions, and no clinical evaluation is provided.</t>
  </si>
  <si>
    <t>The number of gains in benchmark on three datasets; no clinical evaluation</t>
  </si>
  <si>
    <t>Abstract; Section VI, Tables 4 to 6</t>
  </si>
  <si>
    <t>The benefits are recurring through several patterns rather than all five: better-informed, on-topic suggestions (persona), timely risk detection (quality attributes, uncertain requirements) and increased stakeholder confidence or agreement (quality attributes, uncertain requirements).</t>
  </si>
  <si>
    <t>The recurring benefits are:The recurring benefits are:</t>
  </si>
  <si>
    <t>Section 3, Section 5, Section 7 Consequences</t>
  </si>
  <si>
    <t>According to the architects, the structure helped them keep in mind important aspects such as scalability, resilience and quality concerns.</t>
  </si>
  <si>
    <t>Structure helps to make sure that critical issues are not ignored.</t>
  </si>
  <si>
    <t>Section 5, Section 6</t>
  </si>
  <si>
    <t>The two types of agents created numerous valid patterns concerning either the microservices paradigm or object-oriented programming and provided more varied options and perspectives in its analysis than the sequential agent.</t>
  </si>
  <si>
    <t>Both setups generated correct patterns, tree search richer</t>
  </si>
  <si>
    <t>Section IV</t>
  </si>
  <si>
    <t>Natural language support both in the input and output is presented as the advantage over classical architecture tools, reducing the necessity of using formalized representations and technical background in the architects' work.</t>
  </si>
  <si>
    <t>The formal-representation barrier is lowered by natural language.</t>
  </si>
  <si>
    <t>Section I, Section IV</t>
  </si>
  <si>
    <t>Small models that fit into the capacity of a company are suggested as the solution to the above problem, with their quality being claimed to be close to that of large models once tuned properly.</t>
  </si>
  <si>
    <t>In anticipation of the mitigation, small models were offered locally that could be hosted.</t>
  </si>
  <si>
    <t>Section VI-C, Section VIII</t>
  </si>
  <si>
    <t>One of the possible applications suggested by the authors of the study is restoring the architecture of large open source systems without documentation; the per-concept accuracy of the results can be used as the guideline for checking the answers.</t>
  </si>
  <si>
    <t>Per-concept accuracy provided as a guide to what needs checking</t>
  </si>
  <si>
    <t>Section V-B</t>
  </si>
  <si>
    <t>The other thing that the tool provided that was not provided by the reference was additional use cases for managers, and more detailed and meaningful sequence diagrams, compared to those in the reference, including the inventory check sequence diagram which is not in the reference.</t>
  </si>
  <si>
    <t>Created diagrams correctly added material missing from reference</t>
  </si>
  <si>
    <t>During the exploratory testing done, it is clear that both approaches managed to identify some of the domain concepts within the requirements, although during the first run, there was a misinterpretation of the prompts by both models because instead of modeling the domain, the models modeled the system.</t>
  </si>
  <si>
    <t>Concepts Identified, Models Modelled the System, Not the Domain</t>
  </si>
  <si>
    <t>Section 4</t>
  </si>
  <si>
    <t>The generated options not only suggested more design patterns compared to what the students had suggested, but also the rationale given in support of using the design patterns was better.</t>
  </si>
  <si>
    <t>Patterns suggested - more than humans but not catalogued</t>
  </si>
  <si>
    <t>The test subjects noted that the generation of the alternatives enabled them to reduce the search space, bring out design patterns that they had not thought of before, and the separation of the design process into different levels of abstraction including tools.</t>
  </si>
  <si>
    <t>Alternatives reduced the design space and brought up previously unthought of patterns.</t>
  </si>
  <si>
    <t>Section IV-C</t>
  </si>
  <si>
    <t>Three of the four test subjects agreed that providing the generated alternatives beforehand would be helpful to lead them to the solution, while one test subject disagreed. Furthermore, three of the four test subjects agreed that one of the generated alternatives could potentially meet the requirements, while one disagreed. The paper does not indicate whether it is the same test subject who disagrees both times.</t>
  </si>
  <si>
    <t>Three out of four test subjects benefitted and were satisfied with the alternatives; one was against.</t>
  </si>
  <si>
    <t>The structured comparison of Table 1 between the framework and the manual planning as well as the fixed-algorithm optimization DSSs states that the framework possesses both flexibility and adaptability to the new context (features unique to the manual planning only), as well as scalability and computational efficiency of the algorithmic planning, in addition to the natural language generated by the LLMs, which were unavailable before.</t>
  </si>
  <si>
    <t>The Flexibility, Scalability and Explainability of Comparative table claims are combined.</t>
  </si>
  <si>
    <t>Section I, Table 1</t>
  </si>
  <si>
    <t>A human-baseline experiment showed that ten decision-makers who were unfamiliar with the research required an average of 19.8 attempts to manually adjust the parameters of a conventional DSS so that it met new natural-language requirements.</t>
  </si>
  <si>
    <t>The average number of manual tuning attempts required to achieve this human baseline is ~19.8 on average.</t>
  </si>
  <si>
    <t>Section IV-C, Figure 2</t>
  </si>
  <si>
    <t>Against the industrial baseline DeepWiki on eight large-scale production GitHub repositories with ground-truth architecture documentation, ArchAgent yielded significantly better results in terms of diagram F1 scores (mean 0.966, standard deviation 0.025) than DeepWiki (mean 0.860, standard deviation 0.067), a statistically significant paired-t-test difference (p=0.0036, effect size 1.62, confidence interval [0.045, 0.165]), where the greatest difference in a single repository was 0.21 F1.</t>
  </si>
  <si>
    <t>F1 is much higher than industrial baseline DeepWiki in 8 repositories</t>
  </si>
  <si>
    <t>Section 4.1, 'Results', Figure 2</t>
  </si>
  <si>
    <t>An ablation analysis, separating the effects of the cross-repository/inter-service dependency context revealed that it had a statistically significant positive impact on F1 performance for both models (+0.11 for Qwen3-32B (p=0.00087, effect size 0.68) and +0.07 for the DeepSeek-R1-distilled Llama model (p=0.023, effect size 0.44)), which the authors interpret as evidence of non-redundancy of dependency modeling for architecture recovery.</t>
  </si>
  <si>
    <t>Both tested models show considerable improvement in dependency context.</t>
  </si>
  <si>
    <t>Section 4.2, 'Results', Figure 3a</t>
  </si>
  <si>
    <t>The authors present a table of three levels of integration (LLM alone, LLM+Digital Twins, LLM+Digital Twins+Automation System) as a framework for considering the trade-offs involved in different dimensions (data access, modeling, interaction) towards progressively more independent and intelligent automation systems.</t>
  </si>
  <si>
    <t>This is a progressive path that is described as capability trade-offs in 3-stage Integration Levels table frames.</t>
  </si>
  <si>
    <t>Section VI-C, Table 1</t>
  </si>
  <si>
    <t>The stated benefits of using this approach pertain to the early lifecycle and not to the model: that the spec, plan and design documents will be highly consistent and thus will have very little manual drafting; that the whole project context will be preserved throughout the three phases in a way that code assistants cannot provide; and that the quality, completeness and reliability of the structure will improve along with speeded up timelines.</t>
  </si>
  <si>
    <t>Consistency benefits: keeping cross-phase context and minimizing drafting.</t>
  </si>
  <si>
    <t>Abstract, Sections III, V-C, X</t>
  </si>
  <si>
    <t>The benefits claimed by the paper are practical and precise: the results returned within seconds for each prompt; the architect’s inspection surface limited to a reasonable size so that only corner cases and anomalies receive attention; repeatable and scalable evaluation of all requirements against one another; actual conflicts found so that they may be discussed with stakeholders; and early detection, before development starts, of problems that might become evident only later. Improvement, according to the paper, was due to two controlled factors, more requirements and a better prompt.</t>
  </si>
  <si>
    <t>They are known by the name of benefits and these are considered as the following: speed, reduced surface for human inspection, and early detection.</t>
  </si>
  <si>
    <t>Sections V, V-A</t>
  </si>
  <si>
    <t>Benefits range across four areas and go in two directions. Time of development is reduced from nine days for humans to two days for the agent group. Maintanability is increased from 85 per cent to 97, test coverage from 78 per cent to 93, while security is increased from 50 to 92; implementation by agents has no critical vulnerabilities. The names of tools are provided — SonarQube and OWASP-based scanners operate in the pipeline , yet there is no explanation of how the three percentages in the table are defined and where the numbers come from.</t>
  </si>
  <si>
    <t>With the passage of time, maintainability, coverage and security all increase over baseline.</t>
  </si>
  <si>
    <t>Section V, Table IV, p. 6</t>
  </si>
  <si>
    <t>What is gained is a removal of a precondition rather than a score: while the previous best method was dependent on manually maintained models, the generated models allowed the previous best method to work just as well on documentation and code alone.</t>
  </si>
  <si>
    <t>Manual-model pre-condition that has been eliminated at similar measured performance.</t>
  </si>
  <si>
    <t>Abstract; Section 2.1; Section 6</t>
  </si>
  <si>
    <t>Fitness is relative to the purpose rather than being absolute: a smaller open model resulted in more suitable component names for the traceability task than a larger closed model on the same project, and the authors argue that component names most suitable for traceability are not suitable for tasks involving reverse engineering.</t>
  </si>
  <si>
    <t>Model quality stated in terms of its usefulness for the task, a small model does better than a large model</t>
  </si>
  <si>
    <t>Section 5.3.4; Section 5.5</t>
  </si>
  <si>
    <t>The benefit that is claimed is general rather than singular: the evolved process outperforms direct prompting, chain-of-thought prompting, and round-table prompting in terms of Top-1, Top-3, and Top-5 accuracy on two datasets using three different models, and with the greatest advantage demonstrated by the stronger models, where the Top-1 accuracy increased from 50.83 to 90.83 and from 40.00 to 95.83 on the second dataset.</t>
  </si>
  <si>
    <t>On all metrics, datasets and models, improvement of three baselines, the greatest on stronger models</t>
  </si>
  <si>
    <t>Section 4.2, Table 1</t>
  </si>
  <si>
    <t>Benefits promised include reduced cost, speed of analysis, reduced disputes and rework at the end of the development process, and a better fit between the resulting architecture and business goals and technical standards.</t>
  </si>
  <si>
    <t>Cost savings, speed, alignment and less late rework benefits claimed.</t>
  </si>
  <si>
    <t>Abstract; Sections 1, 2, 8</t>
  </si>
  <si>
    <t>Benefits promised include early detection of problems that can be fixed easily, reduced reliance on tester skill, and the ability to apply knowledge of security to an architect who lacks that knowledge.</t>
  </si>
  <si>
    <t>Savings: early discovery, reduced reliance on experts, architect capability</t>
  </si>
  <si>
    <t>Sections III, V</t>
  </si>
  <si>
    <t>A description of each pattern in an extended Coplien format is included with context, problem, forces, solution, rationale, statement template, example and consequences.</t>
  </si>
  <si>
    <t>Prompting technique as a reusable pattern form</t>
  </si>
  <si>
    <t>2.1 Prompting strategies: chain-of-thought, few-shot, role and self-refinement</t>
  </si>
  <si>
    <t>T2. Techniques for Optimization</t>
  </si>
  <si>
    <t>T2: optimization technique</t>
  </si>
  <si>
    <t>Out of five, three are identified as specializations of generic prompt patterns, with persona being specialized into software-architect persona, refinement of question being specialized into quality attribute questioning, and fact-check list being specialized into technical premise verification. The other two are offered as new, no specialization from any existing patterns.</t>
  </si>
  <si>
    <t>There are 3 of 5 patterns specialise generic prompt patterns</t>
  </si>
  <si>
    <t>Section 3, Section 5, Section 6, Appendix A</t>
  </si>
  <si>
    <t>Various orderings were attempted, and that deemed to generate the most relevant answers was chosen, namely: persona, technical premises, uncertain requirements, quality attributes, and project context.</t>
  </si>
  <si>
    <t>The ordering of patterns was tuned empirically to a fixed sequence of five steps.</t>
  </si>
  <si>
    <t>Section 8</t>
  </si>
  <si>
    <t>A decision flow decides on which pattern to use next based on whether premises, requirements, quality attributes and budget have been specified, with an evaluation-of-results gate at the end of each pattern and refinement before moving on.</t>
  </si>
  <si>
    <t>Conditional flow, evaluate and refine gate per step</t>
  </si>
  <si>
    <t>Section 8.1, Figure 2</t>
  </si>
  <si>
    <t>The Quality Attribute Question turns the traditional direction of prompting upside down; the model asks the architect questions, and it is asked not to make any architectural decisions until all its questions have been answered.</t>
  </si>
  <si>
    <t>Model-initiated elicitation is done before any design output.</t>
  </si>
  <si>
    <t>It is claimed that the five patterns have evolved out of practice by extending ideas from an established collection of prompts and patterns through the inclusion of certain steps taken from architectures’ design methodologies like ArchHypo.</t>
  </si>
  <si>
    <t>The patterns are based on the catalogue plus design patterns.</t>
  </si>
  <si>
    <t>One architect suggested a modification of the sequence to move quality-attribute questioning close to technical premises, explaining that non-functional requirements are very close in nature to technical premises.</t>
  </si>
  <si>
    <t>Practitioners do not ask for a pre-established set of follow-up interactions.</t>
  </si>
  <si>
    <t>Section 4.1, Section 4.2, Section 5</t>
  </si>
  <si>
    <t>The method uses two existing published agent frameworks (reasoning and acting with tools, and a tree-search version, where multiple such reasoning and acting sequences are organised and expanded via Monte Carlo tree search), modified with specific prompts and tools derived from the prompts used by the authors' assistant.</t>
  </si>
  <si>
    <t>The sequence is subject to reordering that has been suggested by the practitioner.</t>
  </si>
  <si>
    <t>Section 4.2, Section 5</t>
  </si>
  <si>
    <t>Reflection is modelled as textual self-critique stored in the memory of the agent and enabling further cycles of reasoning; the reflection prompt evaluates trajectory moves for correctness, completeness, and satisfaction of the requirement via LLM-as-a-judge approach.</t>
  </si>
  <si>
    <t>Two published agent frameworks with design specific prompts</t>
  </si>
  <si>
    <t>Section II, Section III</t>
  </si>
  <si>
    <t>The implementation of reflection is through a textual self-critique that is put in the agent’s memory, which can initiate additional reasoning cycles; the reflection prompt evaluates the trajectory steps in terms of their correctness, completeness, and degree of requirement satisfaction through LLM-as-a-judge.</t>
  </si>
  <si>
    <t>The LLM-as-a-judge self-critique is based on reflection by three criteria.</t>
  </si>
  <si>
    <t>Section II-A, Section III</t>
  </si>
  <si>
    <t>Comparison of three strategies in the increasing order of implementation difficulty: zero-shot prompting, few-shot prompting in-context, and fine-tuning, using distinct prompt templates for text completion and chat models.</t>
  </si>
  <si>
    <t>A comparison between zero-shot, few-shot, and fine-tuning.A comparison of zero-shot, few-shot and fine-tuning.</t>
  </si>
  <si>
    <t>Section II-C, Section IV-D</t>
  </si>
  <si>
    <t>For few-shot prompting, two decision records were manually selected as gold standard examples by the first author playing the role of an expert architect.</t>
  </si>
  <si>
    <t>Two examples, chosen by the authors, of gold data</t>
  </si>
  <si>
    <t>Section IV-D-2</t>
  </si>
  <si>
    <t>Different prompts variations were tested manually on the subset. The inclusion of the phrase mentioning the name of the record type helped all the models; however, the authors claim that the advantage was in following the markdown format and not in the decision itself; the inclusion of the record title did not help, but longer contexts helped making better decisions.</t>
  </si>
  <si>
    <t>Prompt wording led to better format adherence, but not necessarily better decision content</t>
  </si>
  <si>
    <t>Section IV-D-1, Section V-A</t>
  </si>
  <si>
    <t>Zero-shot questions only were posed without any examples or data to train on, purposefully imitating the way developers interact with these tools in real life; the participants crafted their own questions to create variety in phrasing and prevent prompt-based biases.</t>
  </si>
  <si>
    <t>Zero-shot Freely phrased, independently formulated questions</t>
  </si>
  <si>
    <t>Section II-2, Section VI-a</t>
  </si>
  <si>
    <t>The iterative process of prompt tuning includes generating an output, scoring it against the reference, adjusting the prompt and repeating until the score reaches a certain level of 0.6, while counting iterations per diagram (two for the use case diagram, one for each of the rest). There is no explanation provided for the value of the threshold.</t>
  </si>
  <si>
    <t>Rapid refinement until a given score is met</t>
  </si>
  <si>
    <t>Section VIII, Section X</t>
  </si>
  <si>
    <t>The gain that was achieved during the second iteration of the exploratory test was due to prompt engineering: rephrasing the question to focus on extracting the domain concepts and relations rather than generating PlantUML code.</t>
  </si>
  <si>
    <t>Prompt rewording made a significant improvement in output quality.</t>
  </si>
  <si>
    <t>For each of the five copilots, there exists a different parametrized prompt template, along with an instruction summary and named parameters, which are included in the paper.</t>
  </si>
  <si>
    <t>There are five different published parametrized prompt templates, each held by one copilot.All five copilots hold a different published parametrized prompt template.</t>
  </si>
  <si>
    <t>Section 3.3, Table 1</t>
  </si>
  <si>
    <t>According to the authors, their hypothesis regarding the mechanism behind the advantage of the retrieval technique is that it is not the retrieval process itself, but rather the tasks performed via the modular copilot pipeline.</t>
  </si>
  <si>
    <t>Advantage based on pipeline structure and reflection, not on retrieval alone.</t>
  </si>
  <si>
    <t>The prompting data provided in the paper relates to the previous research, whose models were tested in zero-shot, few-shot, and fine-tuned setups. The proposed knowledge management pipeline does not use any specific prompting, template, role, and refinement – none of those have been created yet.</t>
  </si>
  <si>
    <t>The only information that is restated is prompting information.</t>
  </si>
  <si>
    <t>Section I, Section V</t>
  </si>
  <si>
    <t>After a long period of trial and error, a set of five prompts in a fixed order was chosen since it seemed to give good results at the early stage of the experiment and was not changed for all fifty experiments in a new chat prompt.</t>
  </si>
  <si>
    <t>Fixed Sequence of Prompts which is tuned once and then repeated for all the experiments.</t>
  </si>
  <si>
    <t>The authors have clearly opted to employ zero-shot prompting rather than prompt tuning, considering the potential of the amount of efforts required to optimize prompts to be infinite, and referencing an idea from the literature regarding employing LLMs in zero-shot form, not infinite tuneable one.</t>
  </si>
  <si>
    <t>Explicitly selecting the zero-shot prompting over the open-ended prompt optimization</t>
  </si>
  <si>
    <t>Prompting is done in steps of separate instructions in a single conversation: tell the story, ask about requirements and constraints, ask for diagram script, give instructions with numbered pattern, tactic, and constraint to refine the prompt and ask for evaluation.</t>
  </si>
  <si>
    <t>Chained dialog: story, requirements, model script, and then successive refinements.</t>
  </si>
  <si>
    <t>Section 3, Figs. 4-6</t>
  </si>
  <si>
    <t>The way described to avoid variation in responses is an iterative dialogue with the model to improve its output, along with the architecture designer’s supervision.</t>
  </si>
  <si>
    <t>Architect oversight and iterative dialog is the solution to a diverse set of results.</t>
  </si>
  <si>
    <t>Section 5.1</t>
  </si>
  <si>
    <t>Absence: there is no form of prompting employed; there is neither chain-of-thought, nor few-shot, nor self-refinement prompting employed by the LLM, and no prompting whatsoever is provided at inference time. The input is passed straight to the classifier.</t>
  </si>
  <si>
    <t>Absence: Fine-tuning based classifier (No Prompting during Inference)</t>
  </si>
  <si>
    <t>Section 3, whole paper</t>
  </si>
  <si>
    <t>Three classes of metric-description prompts, growing progressively more complex, are applied (textual prompts (T-prompts), text-and-formula prompts (TF-prompts), and text, formula and pseudocode prompts (TFP-prompts)) to test how much structure a natural language description should have for an LLM to produce proper code for it.</t>
  </si>
  <si>
    <t>A set of three increasing prompt-structure categories (T / TF / TFP) for testing metric generation</t>
  </si>
  <si>
    <t>Section IV-A-1, Table 2</t>
  </si>
  <si>
    <t>The inclusion of a formula or pseudocode along with a metric description helped the model solve the total waiting time case which failed with purely textual prompts, yet the opposite happened as well – formulae or pseudocode complicated enough broke cases which could be solved using only plain text prompts.</t>
  </si>
  <si>
    <t>No dominant prompt structure, some help (formula), others hurt (pseudocode)</t>
  </si>
  <si>
    <t>Section IV-B-1, Table 3</t>
  </si>
  <si>
    <t>Absence: Prompt content is only linked to from within an external supplementary repository; there is nothing related to chain-of-thought, few-shot, role, or self-refinement approaches described, demonstrated or evaluated anywhere in the body of the paper.</t>
  </si>
  <si>
    <t>Absence: Prompts mentioned outside the text, no prompting-strategy detail used in text</t>
  </si>
  <si>
    <t>Section 3, footnote 1</t>
  </si>
  <si>
    <t>Zero-shot structuring: the model is expected to extract clinical entities and produce them as a JSON object adhering to a pre-defined schema; agents' tasks, capabilities and actions are defined using the CrewAI Agent, Crew, Process and Task modules instead of any manual prompt writing.</t>
  </si>
  <si>
    <t>Zero-shot schema-constrained extraction; agent tasks described by the role modules of a task framework;</t>
  </si>
  <si>
    <t>Section II-A, Section II-A-1</t>
  </si>
  <si>
    <t>Absence: no prompt content, no prompt templates, nor prompt-response pairs are demonstrated for any of the five agents. No discussion about chain-of-thought, few-shot approaches and self-refinement is provided, and no other visible artifact of the prompt exists except the JSON schema.</t>
  </si>
  <si>
    <t>Absence: NO prompt text or prompting strategy demonstrated for any of the 5 agents</t>
  </si>
  <si>
    <t>Section II-A, whole paper</t>
  </si>
  <si>
    <t>Both Chain-of-Thought prompting and ReAct prompting are presented as specific countermeasures against one type of hallucination (complexity mismatch), as well as extended reasoning, before committing to an output decision. In other words, the use of a particular prompt strategy becomes a direct consequence of diagnosing a particular type of failure, rather than a general best practice applicable to all cases.</t>
  </si>
  <si>
    <t>The following problems were identified as target problems for one particular failure mode: chain-of-Thought/ReAct</t>
  </si>
  <si>
    <t>Section IV-B-3(4)</t>
  </si>
  <si>
    <t>The only actual example of a prompt used in the paper is the user's prompt, and it is a poor one by design. The case study provides an input message that is informal, contains the descriptions of the actors involved, a loosely defined requirement, a cause that does not contribute to the task at hand, and just one security requirement.</t>
  </si>
  <si>
    <t>A client's unstructured request that is displayed exactly as it was received.An intentionally informal client request represented exactly as it was received.</t>
  </si>
  <si>
    <t>Section IX-A</t>
  </si>
  <si>
    <t>Domain-specific prompting appears to be the mechanism that keeps each agent within its bounded context, with the former mentioned explicitly twice. Additionally, no prompt, template, system message, role instruction or output format specification is specified for any of the four agents. Notably, no prompting approach is cited, no worked example given, and no decoding setting specified, such that the mechanism the architecture is based on is described only through its desired effects.</t>
  </si>
  <si>
    <t>Absence: No agent prompt or prompting technique is demonstrated, although the agent is stated to be using a prompt or prompting technique</t>
  </si>
  <si>
    <t>Sections V-B, VI; would have appeared in Section V-B</t>
  </si>
  <si>
    <t>Both prompts used operationally appear to be provided in full as appendices, which is unusual for the present corpus and allows for reproduction of the study independently in terms of the prompts used. Function identification prompt describes the input resource type, the expected output format with an example, the meaning of key and value elements, four disambiguation instructions, among which is an explicit prohibition from interpreting the objects passed between functions as subsystems, and the catch-all placeholder. The classification prompt describes the five requirement quality attributes that need to be rewritten, the category classification task, the type task, a confidence threshold regulating both, and the exact output schema with two worked examples.</t>
  </si>
  <si>
    <t>Both operative prompts written in full: output schemas, worked examples</t>
  </si>
  <si>
    <t>Appendices B and C</t>
  </si>
  <si>
    <t>Prompt refinement is considered a variable and the effect is calculated. Four refinements were made after the initial classification run including: classifying each requirement regardless of the other; adding a dummy category; explanation of the classification rationale; and the confidence level for each classification. Agreement between the classification and the reference manual increased from approximately seventy-one percent to approximately eighty-two percent during the course of refinement.</t>
  </si>
  <si>
    <t>Four named prompt changes as an experimental variable, to which agreement was measured after each</t>
  </si>
  <si>
    <t>Section IV-A-1</t>
  </si>
  <si>
    <t>Duplicate detection prompt is presented through three versions and it is the most obvious example of prompt refinement in this corpus, however, there are only two detection results provided. The simple instruction for marking duplicates is followed by the qualitative description of false positives and false negatives without a figure. After adding a single clause stating that similar requirements belonging to different functions are not duplicates, detection was achieved for three out of eight known duplicate pairs. Detection increased to seven out of eight known duplicate pairs after changing the single clause to three clauses, meaning that cross-functional similarity is complementarity, and the same-function similarity is duplication. The catch-all category requirement may be a system-level statement refining the function-specific one.</t>
  </si>
  <si>
    <t>A three version duplicate-detection prompt that shows two detection results.</t>
  </si>
  <si>
    <t>Section IV-A-3</t>
  </si>
  <si>
    <t>Context is created by version control repository files instead of being created within the prompt: there are four Markdown artefacts including coding standards (agent-code-review.md), instructions for planning (agent-plan.md), security standards (agent-security.md) and testing standards (agent-test.md) and according to the paper, an organisation can create such artefacts once and use them throughout the whole repository.</t>
  </si>
  <si>
    <t>The standards have been externalized on to four re-usable repository context files.</t>
  </si>
  <si>
    <t>Section IV; Table II</t>
  </si>
  <si>
    <t>An entire operational prompt is given verbatim and it tells the agent to follow the given governance artefacts, correspond to the provided design diagrams, write tests, and give the expected output which includes source code, configurations, Dockerfile, tests and API documentation.</t>
  </si>
  <si>
    <t>A full operative prompt with its required output, verbatim.</t>
  </si>
  <si>
    <t>Section IV (sample prompt)</t>
  </si>
  <si>
    <t>Prompt variations, ablation studies and sensitivity analyses are not conducted. According to the paper, identical prompts are used for all cohorts to make sure that the results are fair, so the impact of the prompt and context creation on the results cannot be identified separately, despite the fact that the quality of prompt is a potential threat.</t>
  </si>
  <si>
    <t>Absence: prompt not promptly ablated; prompt contribution to gains not isolated; a gain that is not prompt and not isolated is not a gain from the prompt</t>
  </si>
  <si>
    <t>Two-step prompting in chain-of-thought mode is used and all prompts are published verbatim; the first prompt requests elaboration on the provided documentation and identification of high-level components with no particular output format, while the second prompt forces the result into a list of camel-case name strings, with prefixes and suffixes removed.</t>
  </si>
  <si>
    <t>All four all-in-one two-step chain-of-thought prompts published verbatim.</t>
  </si>
  <si>
    <t>Section 3.2; Prompts 1-4</t>
  </si>
  <si>
    <t>This selection of output format is motivated by robustness of parsing instead of expressiveness: the simpler list format is easier to parse than the more complex structure as small formatting changes do not break it, while the more complex output format that the second approach requires is exactly why the second approach requires a JSON parsing prompt separately.</t>
  </si>
  <si>
    <t>Choosing the output format for parsing, ranging from less complex to more complex, depending on reliability.</t>
  </si>
  <si>
    <t>Section 5.5</t>
  </si>
  <si>
    <t>The complete entity recognition prompt along with its rule set is provided below; there are eight rules in total that define what qualifies as a component, along with some example domain terminology that is not considered as such, the criteria when the server or client are qualified as components, prohibition of inferring components from common terminology or action nouns and a rule to name a custom wrapper instead of a third party library.</t>
  </si>
  <si>
    <t>An unabbreviated rule-based entity-recognition prompt provided with negative instances.</t>
  </si>
  <si>
    <t>Appendix A; Appendix B</t>
  </si>
  <si>
    <t>This limitation stems from the fact that no prompt engineering takes place in this research and is acknowledged by the authors; specifically, prompts are not extensively revised or compared, and prompt selection is stated as the threat to construct validity for the results of the research.</t>
  </si>
  <si>
    <t>Absence: no variation or ablation on time; named by the authors as a validity threat;</t>
  </si>
  <si>
    <t>Section 5.6</t>
  </si>
  <si>
    <t>Prompt revision is a high-class architectural operation; in other words, prompt suggestions belong to the same class of operations as architectural suggestions, which constitute two classes of the output of the model, and they modify both system and human prompts defining node roles and tasks.</t>
  </si>
  <si>
    <t>Immediate revision – treated as one of the two co-equal classes of architectural modification.</t>
  </si>
  <si>
    <t>Templates enable making suggestions machine-actionable: a set of prompt templates describes the parameters needed for a certain node modification, and the model modifies each unstructured suggestion into that structure.</t>
  </si>
  <si>
    <t>Templates transform open-ended ideas into formalized, immediately usable changes</t>
  </si>
  <si>
    <t>Prompt modification emerges as the highest impact operation within the search space, its exclusion being significantly costlier in terms of Top-1 accuracy compared to the exclusion of tool nodes and much more costly than the exclusion of node deletion, thus outranking structural change in the value for the experiment.</t>
  </si>
  <si>
    <t>Timely change, that is, the highest value operation in advance of the structural change</t>
  </si>
  <si>
    <t>Absence: there is no prompting method at all. Nothing is mentioned concerning prompts, templates, role designation, worked example or any prompting loop. Our version of the chapter consists of 10 out of its 15 pages, which are numbered 335 to 349 but are lacking 339, 340, 346, 347 and 349, that is sections 4.2, 6 and 7 entirely plus the end of references. This absence is therefore stated concerning the pages we have access to and does not relate to the entire chapter.</t>
  </si>
  <si>
    <t>The absence of a prompting strategy described.</t>
  </si>
  <si>
    <t>Prompt engineering is listed among the two methods that form the hybrid strategy along with tuning with domain threat models. It is intended to bring the model to the target domain.</t>
  </si>
  <si>
    <t>Prompt engineering named as a guidance mechanism in the hybrid strategy</t>
  </si>
  <si>
    <t>Section IV-B, Strategy 3</t>
  </si>
  <si>
    <t>Absence: No prompt, template, role or example is provided anywhere. The name “prompt engineering” is used as the method of usage and not instantiation of anything.</t>
  </si>
  <si>
    <t>Absence: An absence of any kind of prompt is indicated.</t>
  </si>
  <si>
    <t>Absence: The grounding is done by including all project context, constraints and premises within the prompt text; no retrieval, repository, knowledge graph or external knowledge base architecture is used or mentioned.</t>
  </si>
  <si>
    <t>Absence: only in the context of the moment, no background to ground it in.</t>
  </si>
  <si>
    <t>2.2 Knowledge grounding: RAG, knowledge graphs and architecture repositories</t>
  </si>
  <si>
    <t>Absence: Once again, project context is provided by including it within the prompt. The architectural knowledge of the model is explained to be from its training data alone and nothing else.</t>
  </si>
  <si>
    <t>Absence: knowledge retrieved from training data</t>
  </si>
  <si>
    <t>Section 3.1, Section 5</t>
  </si>
  <si>
    <t>The authors assert that agent tools have to be grounded in architectural knowledge so that the recommendations have any worth at all and they plan to investigate the use of retrieval augmentation for generating tools and memory for the agent.</t>
  </si>
  <si>
    <t>Using an interlingual technique for grounding, but not yet executed; retrieval planned, not executed</t>
  </si>
  <si>
    <t>There is no retrieval involved. The authors point out that the poor performance compared to humans could be due to the limited knowledge the model has access to and recommend a retrieval augmented approach as a possible solution, as well as feeding in more decision logs, design documents, and code.</t>
  </si>
  <si>
    <t>Named retrieval as a remedy to the human level shortfall.</t>
  </si>
  <si>
    <t>Section VIII</t>
  </si>
  <si>
    <t>The knowledge source to be tested is the training dataset of the model itself. Prior to conducting the experiment, the authors examined whether the target system was present in the training dataset by asking GPT-3.5 questions about location of sources, class names, and entries from the issue-tracker. According to the authors, the validation step confirmed HDFS presence in the training dataset, but the sources, which are presumably a part of the training dataset according to the authors, are referred to as such despite the closed nature of GPT that makes it unclear what else could affect the results.</t>
  </si>
  <si>
    <t>Training-data coverage of the target system probed and inferred first</t>
  </si>
  <si>
    <t>Section II-A</t>
  </si>
  <si>
    <t>The following are the possible solutions to the aforementioned shortcomings of the model: Verification of the result of the model through version control and issue tracking repositories, associating traceability linkages between the answers and the data supporting them, and providing context and architectural models along with the answer.</t>
  </si>
  <si>
    <t>The proposed solution is repository grounding and traceability.Grounding and tracing in repositories proposed as repair.</t>
  </si>
  <si>
    <t>Absence: There is no retrieval, vector store, knowledge graph, and architecture repository. The only context that the model has is the one typed into the prompt based on the published specification.</t>
  </si>
  <si>
    <t>Absence: No justification other than prompt.</t>
  </si>
  <si>
    <t>Absence: There is no use of retrieval or any external knowledge source at all in the entire process, and the domain knowledge of the model comes from the general pretraining of the model.</t>
  </si>
  <si>
    <t>Absence: domain knowledge is based on pre-training, not retrieval</t>
  </si>
  <si>
    <t>Section 3.1</t>
  </si>
  <si>
    <t>Retrieval-augmented generation is applied to three out of the five copilots, with architectural pattern catalogues, including design patterns by Gamma et al. and microservice patterns by Richardson, chunked and embedded into vector space and retrieved via similarity search; if there are no retrieved vectors for the given prompt, the model call is not made at all and a default answer is generated instead.</t>
  </si>
  <si>
    <t>RAG over pattern catalogues, having a defined no-match fallback.</t>
  </si>
  <si>
    <t>Section 3, Section 3.3</t>
  </si>
  <si>
    <t>Two different repositories are maintained, both of which are utilized, but in a different way. Published pattern knowledge is retrieval-based with embeddings and similarity search used, and the model call being skipped if no information is retrieved. Information related to the system itself is provided as part of the prompt in the first task, and retrieved in the third task, in which the DecisionChecking copilot retrieves semantically similar previous decisions from the system repository in order to validate the candidate decision.</t>
  </si>
  <si>
    <t>Pattern knowledge and previous project decisions are retrieved; system context also is pasted</t>
  </si>
  <si>
    <t>Section 3, Section 3.3, Section 3.4</t>
  </si>
  <si>
    <t>The retrieval phase relies explicitly on the principle of retrieval-augmented generation: where a query by the user matches the repository of stored knowledge, an answer is generated from the query plus what was retrieved.</t>
  </si>
  <si>
    <t>A dedicated retrieval phase explicitly designed to be based on RAG principles.</t>
  </si>
  <si>
    <t>A multi-modal form of retrieval is recommended by the authors, who point out explicitly that retrieval-augmented generation is limited normally to text retrieval, and so the items that can be retrieved could include non-text items such as architecture diagrams.</t>
  </si>
  <si>
    <t>Multi-modal RAG expanded to retrieval beyond text.</t>
  </si>
  <si>
    <t>The external knowledge of the world includes sources far wider than the repository in the system, including not just named architecture-knowledge and ADR repositories but also scholarly papers, books, blogs, images, grey literature, podcast scripts and the language model.</t>
  </si>
  <si>
    <t>Weakly distributed named external sources suggested for world knowledge.A broad spectrum of named external sources suggested for world knowledge.</t>
  </si>
  <si>
    <t>Absence: there is no retrieval, no external knowledge base, nor any form of grounding whatsoever; every answer to a prompt is generated solely from the pre-trained model and the problem statement provided in the text of the prompt itself.</t>
  </si>
  <si>
    <t>Absence: pure zero-shot prompting, no retrieval or grounding mechanism</t>
  </si>
  <si>
    <t>Section I, Section IV-A, Section IV-B</t>
  </si>
  <si>
    <t>Absence: There is no retrieval, vector store, architecture repository or any external knowledge base of any kind is used or suggested in the paper; all the architectural knowledge is provided by the model itself, which receives project-specific information through the architecture story embedded in the prompt text.</t>
  </si>
  <si>
    <t>Absences: No retrieval or external architectural knowledge source</t>
  </si>
  <si>
    <t>Absence: No retrieval augmented generation, no knowledge graph, nor any external architecture repository is used. The knowledge comes via two sources only: the pre-trained uncased base model of BERT and the labeled dataset it is fine-tuned on.</t>
  </si>
  <si>
    <t>Absence: no retrieval or external knowledge grounding</t>
  </si>
  <si>
    <t>Section 3, Section 4</t>
  </si>
  <si>
    <t>Absence: neither of the modules is grounded in any retrieval-augmented generation, knowledge graph or external knowledge base; the DMG and MCDM modules can operate only on the supervisor’s own system prompts (metric/trade-off descriptions) and classical VRP heuristic plans.</t>
  </si>
  <si>
    <t>Absence: No retrieval, No external knowledge grounding.</t>
  </si>
  <si>
    <t>Section III-A, Section III-B</t>
  </si>
  <si>
    <t>Structural grounding without retrieval: structurally-grounding AST-derived reference graphs (file, class, function) along with explicit inter-repository links (API usage upstream/downstream, QPS statistics, repository documentation) are added to the model context, instead of performing retrieval from any external knowledge base, vector store, or document index.</t>
  </si>
  <si>
    <t>Structural (AST reference-graph) grounding used instead of retrieval-augmented generation</t>
  </si>
  <si>
    <t>Section 3, 'File-Level Summarization', Algorithm 1</t>
  </si>
  <si>
    <t>Domain-specific grounding without generalisation: Qdrant vector index is built from PubMed articles and symptom-disease dataset, chunked by 512 tokens with 64 token overlap (page-based fallback 500/80) with embedding into 768D vectors with a biomedical sentence-transformer that was pre-trained on PubMed. Source and text-type are preserved as additional metadata for filtering.</t>
  </si>
  <si>
    <t>Biomedical vector index that is created offline and supports source metadata for filtering.</t>
  </si>
  <si>
    <t>Section II-B-1</t>
  </si>
  <si>
    <t>In case of retrieval failure, staged fallback is used, not empty response: first, the similarity threshold is reduced, second, the query is linguistically simplified and re-embedded, and finally, the query is remade according to the semantic structure of the store itself as a set of semantic clusters. The medical term boosting increases the priority of high-priority terms in the embeddings.</t>
  </si>
  <si>
    <t>Three-level retrieval fallback plus term boosting (as opposed to failing on an inexact query)</t>
  </si>
  <si>
    <t>Section II-B-2, Figure 5</t>
  </si>
  <si>
    <t>The digital twin is defined as a single grounding method for the LLM of physical-world information: information modeling provides static/descriptive knowledge, while process modeling provides dynamic/procedural knowledge and, as per cited empirical research (Ruis et al.), LLMs use these two types of knowledge differently, which justifies such separation.</t>
  </si>
  <si>
    <t>Digital twin is divided into descriptive/procedural knowledge with a motivation from cited empirical evidence</t>
  </si>
  <si>
    <t>RAG is explicitly mentioned as a way to fight the 'insufficient model knowledge' type of hallucinations and reappears as a possible way of integration according to the paper's own test-driven development approach as one of targeted instruments, not an architectural element in every case study.</t>
  </si>
  <si>
    <t>RAG was not an on-demand feature, but a targeted solution for one type of failure mode.</t>
  </si>
  <si>
    <t>Section IV-B-3(1), Section VI-D-3</t>
  </si>
  <si>
    <t>There are three grounding methods that are supposed to be used. The planning agent is claimed to generate the timelines, resource allocation plans, and the risk matrices using the analysis of requirement structure and patterns learned from large amounts of historical data on projects. The orchestration framework is claimed to use external tools such as interfaces and databases in order to make it possible for agents to retrieve real-time data and check the constraints of a project. Finally, the persistent memory is claimed to make it possible for agents to exchange contextual information across tasks and sessions.</t>
  </si>
  <si>
    <t>Historical project data and access to external tools and cross-session memory, as grounding.</t>
  </si>
  <si>
    <t>Sections V-C, VII-C</t>
  </si>
  <si>
    <t>However, none of the three methods is implemented. There is no mention of any historical data set that is used as a basis for generating patterns, there is no mentioning of any specific external tool, interface or database, and there is no persistent memory system either. There is only one agent that was implemented, and it did not use anything of the above-mentioned grounding methods.</t>
  </si>
  <si>
    <t>Absence: no dataset, tool or memory store behind any of the grounding mechanisms</t>
  </si>
  <si>
    <t>Sections V-C, VII-C, IX; would have appeared in Section VII-C</t>
  </si>
  <si>
    <t>The grounding is a model in the formal sense rather than a collection of documents, and the paper asserts that it is important due to the same reasoning. The object-process modelling framework is considered ready for language-model processing due to its textual modality being strictly synchronised semantically with the graphical one and the interchange format being a highly accurate yet extremely complex representation of the modelling language which transformation into the processable format may lead to loss of accuracy and generation of ambiguities.</t>
  </si>
  <si>
    <t>A formal model as the grounding source, and a textual-graphical synchrony as the enabling property.</t>
  </si>
  <si>
    <t>Section I, Sections II-D, III-B</t>
  </si>
  <si>
    <t>All the grounding comes through the payload of the prompt only. Every single analysis specifies a resources file, which is parsed as the structured document when possible or provided as the plain text otherwise, along with the architecture list and reference dictionaries being included in the prompt. There is no vector store, retrieval step, embedding model, threshold of similarity or any knowledge base used anywhere in this architecture at all.</t>
  </si>
  <si>
    <t>Absence: no retrieval mechanism; grounding is through prompt-assembled resources alone</t>
  </si>
  <si>
    <t>Sections III-D, III-I; would have appeared in Section III-D</t>
  </si>
  <si>
    <t>The grounding is done by citing the artifacts from the repository directly as opposed to any form of retrieval; the files and diagrams are stored in the repository and are referenced by name in the prompt, which is what the paper states makes this agent cohort different from Copilot Chat based on prompts.</t>
  </si>
  <si>
    <t>Rather than retrieval, grounding by named in-repository artefacts.</t>
  </si>
  <si>
    <t>Section IV; Section V</t>
  </si>
  <si>
    <t>There is no retrieval component, vector store, embedding model, knowledge graph or architecture repository that is referred to at all, and the complete knowledge base is the files that are explicitly named in the prompt.</t>
  </si>
  <si>
    <t>Absence: no retrieval, vector store or knowledge graph of any kind</t>
  </si>
  <si>
    <t>Section III-B; Section IV</t>
  </si>
  <si>
    <t>The grounding is done by providing the target vocabulary; the names of the entities of the architecture model are appended to the prompt as positive examples, which informs the model about the type of entities it should search for.</t>
  </si>
  <si>
    <t>Model entity names provided in real time as positive examples</t>
  </si>
  <si>
    <t>Section 4; Figure 2</t>
  </si>
  <si>
    <t>Instead of selecting between the two, the Matching procedure uses both lexical and semantic clues by employing string similarity using Jaro-Winkler and Levenshtein together with cosine similarity over OpenAI text-embedding-3-large embeddings of both the documented entity and the model entities. If any of the scores goes over a threshold, a link is created between the two entities.</t>
  </si>
  <si>
    <t>String similarity+Embedding cosine similarity (for entity matching)</t>
  </si>
  <si>
    <t>Retrieval-augmented generation is not employed by any of the two methods. One of the baselines tested is the authors’ previous framework based on retrieval, which scores the lowest among the five without the need for an architecture model, achieving on average F1-score of .14 versus ArDoCode’s .37 across five projects and .06 versus .62 weighted. The average itself makes a difference – LiSSA beats ArDoCode in three out of five projects, while failing miserably in the remaining two, obtaining recall of .03 and .01 respectively. The paper does not even claim that it is the worst; it ranks ArDoCode and TransArC as the best-performing baselines, while stating that the retrieval-augmented approaches did not beat the state-of-the-art in case of architecture-model trace links.</t>
  </si>
  <si>
    <t>Absence: retrieval baseline scores are lowest, on average, in Absence</t>
  </si>
  <si>
    <t>Section 2.2; Section 5.2; Table 2</t>
  </si>
  <si>
    <t>A retrieval node becomes one of the nodes that the model can decide to incorporate into the architecture. The tool node consists of an image search engine which embeds an image query using a pre-trained vision-language encoder without further fine-tuning and performs a matching on a vector-based database of the images kept away from all the splits, returning the top matches along with the respective disease labels to serve as reference points for the model.</t>
  </si>
  <si>
    <t>Retrieval as an insertable node with a vector database of held out cases.</t>
  </si>
  <si>
    <t>Section 3.1, Section 4.1</t>
  </si>
  <si>
    <t>The grounding capabilities become flexible as opposed to being fixed, allowing a user to register their own tools via a configurable list of tools, thus extending the search space on which the architecture can evolve without altering the architecture itself.</t>
  </si>
  <si>
    <t>The tool list is adjustable, increasing the search space without changing the structure.</t>
  </si>
  <si>
    <t>Retrieval augmentation becomes the main grounding mechanism in this chapter and consists of two steps: retrieval and generation based on structured and unstructured data chunks embedded into a vector database.</t>
  </si>
  <si>
    <t>The grounding mechanism for retrieval is described as retrieval augmentation.The grounding mechanism for retrieval is retrieval augmentation.</t>
  </si>
  <si>
    <t>Section 4.4, Fig. 5</t>
  </si>
  <si>
    <t>The retrieval process is described down to specific algorithm names – according to the chapter, the approximate nearest neighbour and hierarchical navigable small world algorithms are employed for retrieval. This is a rather detailed description considering all other parts of the chapter, where no implementation details are provided in the pages we have.</t>
  </si>
  <si>
    <t>They are called approximate-nearest-neighbor retrieval algorithms.</t>
  </si>
  <si>
    <t>Knowledge base development is described as an ongoing process of improvement, as the recommendation is revised and endorsed by architects and becomes more accurate and up-to-date.</t>
  </si>
  <si>
    <t>A knowledge base that evolves with the input of the architect.</t>
  </si>
  <si>
    <t>Three publicly available security repositories are mentioned as sources of knowledge for the generation (weakness enumeration, attack pattern dictionary and vulnerabilities disclosure repository), with the latter being expanded by severity scores to enable prioritisation.</t>
  </si>
  <si>
    <t>Collecting attacks and vulnerabilities as knowledge base (public weakness)</t>
  </si>
  <si>
    <t>Section IV-B, Strategies 2 and RQ2</t>
  </si>
  <si>
    <t>The third strategy proposes narrowing that general knowledge with threat models specific to autonomous vehicles, on the stated reasoning that domain-independent collections would otherwise keep the model general and its answers broad.</t>
  </si>
  <si>
    <t>Domain threat models proposed to specialize the generic security knowledge.</t>
  </si>
  <si>
    <t>Absence: one general-purpose chat model, prompted. The paper says that their hope for success lies in the amount of microservices content in the training data, with no fine-tuning and no model adaptation or orchestration of several agents.</t>
  </si>
  <si>
    <t>Absence: No fine tuning, no model adaptation, no multiple agents.</t>
  </si>
  <si>
    <t>2.3 Fine-tuning, model adaptation and multi-agent orchestration</t>
  </si>
  <si>
    <t>Absence: the approach consists of a series of prompts to one general-purpose chat model. No fine-tuning, no parameter or adapter training, nor a second agent, role-played model, or orchestration layer is involved.</t>
  </si>
  <si>
    <t>Absence: no fine-tuning, no model adaptation, no multiple agents.</t>
  </si>
  <si>
    <t>The agent itself is defined as memory, tools, and a mechanism for decision-making that orchestrates model calls and tool execution through specialised prompts; two orchestration approaches are used and compared.</t>
  </si>
  <si>
    <t>The two compared agent strategies are orchestrated by tools.</t>
  </si>
  <si>
    <t>Five different models were fine-tuned on context-to-decision pairs, with one using text completion and four using encoder-decoder models. At the end of each epoch, the model was saved and that having the lowest validation loss was used in the inference process.</t>
  </si>
  <si>
    <t>Five models trained on pairs of context to decision.</t>
  </si>
  <si>
    <t>Section IV-D-3</t>
  </si>
  <si>
    <t>All the fine-tuned models performed better than their off-the-shelf versions except for the small encoder-decoder model which scored lower.</t>
  </si>
  <si>
    <t>The best improvement was achieved in the case of all but the smallest model for encoding and decoding.</t>
  </si>
  <si>
    <t>Section V-C, Section VI-C, Tables II &amp; IV</t>
  </si>
  <si>
    <t>The best fine-tuned model has approximately 248 million parameters and scores similar to that of a 175 billion parameter model that was prompted few-shot and also to the most powerful model when prompted zero-shot; however, fine-tuning could not exceed 400 million due to hardware limitations.</t>
  </si>
  <si>
    <t>Small, fine-tuned model gave similar performance as large models</t>
  </si>
  <si>
    <t>Section VI-C</t>
  </si>
  <si>
    <t>According to the authors, companies that have enough computational power can pretrain their model using the repository they have so that they have a model that incorporates all the knowledge about their system. The idea was not tried out yet.</t>
  </si>
  <si>
    <t>Suggested but not introduced, organization-specific pre-training.</t>
  </si>
  <si>
    <t>For future research, the researchers suggested training the model on publicly available software architectures similar to how models are trained on code, knowing the fact that usually software architecture is a confidential information for any company hence less training data is available.</t>
  </si>
  <si>
    <t>It is proposed to propose a model specific to architecture; it is noted that there is a lack of training data.</t>
  </si>
  <si>
    <t>Section XI-D</t>
  </si>
  <si>
    <t>Open-source models favored specifically to allow further fine-tuning open</t>
  </si>
  <si>
    <t>Task allocation between LLMs and deterministic algorithms is deliberate, with the former being responsible for tasks that require a deep grasp of the requirements, like breaking down the architecture into sub-architectures, and the latter carrying out structured tasks, such as obtaining the process view, which helps to prevent the shakiness and unpredictability of the results of current AI methods in situations when they are not necessary.</t>
  </si>
  <si>
    <t>Clearly separated tasks for LLM and classical algorithm.Clearly separated tasks between LLM and classical algorithm.</t>
  </si>
  <si>
    <t>The assistant comprises five individual copilots, each tasked with performing a specific task and communicating their outputs using tabs of a single tool created with Langchain, OpenAI GPT-3.5, Chroma, and Streamlit, without any fine-tuning.</t>
  </si>
  <si>
    <t>5 task-specific copilots that run in one tool; no fine tuning.</t>
  </si>
  <si>
    <t>The suggested extraction pipeline consciously integrates multiple AI methodologies, from language models to graph neural networks and abstract-syntax-tree parsers, along with already existing deterministic AKM methods, rather than using a language model only.</t>
  </si>
  <si>
    <t>Extraction fuses the capabilities of LLMs, graph neural networks, AST parsing and deterministic tools.</t>
  </si>
  <si>
    <t>Absence: no fine-tuning, no agent framework, no orchestration across models is involved; all fifty experiments involve a series of isolated prompts to a single, unmodified chat model.</t>
  </si>
  <si>
    <t>Absence: a simple model, no fine-tuning or agent orchestration.</t>
  </si>
  <si>
    <t>Absence: no fine-tuning, no model adaptation, no agent framework, no multi-model orchestration is involved; the whole procedure is a human-driven dialogue with a single, unmodified conversational model.</t>
  </si>
  <si>
    <t>Absence: one way of conversation without modification, without fine tuning and orchestration.</t>
  </si>
  <si>
    <t>Fine-tuning is done on a BERT-base uncased pre-trained model using only a linear classification head on the BERT output layer with a cross-entropy loss and the AdamW optimization algorithm (learning rate of 2e-5, batch size of 2, weight decay of 0.01, 10 training epochs), where hyperparameters were determined through empirical experiments and previous literature on text classification.</t>
  </si>
  <si>
    <t>BERT-base, with a linear classification head, fine-tuned using AdamW.</t>
  </si>
  <si>
    <t>Pre-processing of the code input data included removing stop-words, splitting compound identifiers written in camelCase, and truncating the class inputs above BERT's maximum length of 512 tokens either by cutting off directly or by first removing the method implementations.</t>
  </si>
  <si>
    <t>To prepare code for BERT, pre-processing pipeline (stop-word removal, identifier splitting, truncation) is performed.</t>
  </si>
  <si>
    <t>A confidence threshold post-processing of the classifier output data was used to improve precision with the optimal settings being a threshold value of 0.9 along with learning rate of 2e-05, batch size of 2, and 10 training epochs.</t>
  </si>
  <si>
    <t>The precision of the readings was increased with the addition of a confidence threshold (0.9 in the best configuration).</t>
  </si>
  <si>
    <t>Absence: None of fine-tuning, multi-agents, and model tuning takes place; a vanilla GPT-4o model (using LangChain library) does both the job of DMG and MCDM using only prompts.</t>
  </si>
  <si>
    <t>Absence: Without modifications, just with one model, no fine-tuning, no multi-agent framework.</t>
  </si>
  <si>
    <t>The pipeline comprises four distinct LLM-based agents in a row: File Summarizer (code searching and AST based reference indexing), Repo Manager (adaptive division into LLM-friendly portions), Readme Generator (readme generation using summaries and cross-repositories information), and Architect (merging the partial Mermaid diagrams together), where no fine-tuning of the base model happens at all stages.</t>
  </si>
  <si>
    <t>No fine tuning at any stage, four agent orchestrated pipeline.</t>
  </si>
  <si>
    <t>An adaptive division algorithm divides the repository into G=ceil(T/M) groups of token-lengths (T is the total tokens for the summary, M is the maximum number of tokens per input determined by the LLM's context window length) using DFS traversal algorithm with the empirically found 10% overlap between consecutive portions to preserve context between the portions.</t>
  </si>
  <si>
    <t>Adaptive, inter-group overlap (10%) enabled grouping for DFS-traversed data.</t>
  </si>
  <si>
    <t>Section 3, 'Adaptive Grouping', steps 1-4</t>
  </si>
  <si>
    <t>Orchestration is multi-agent and heterogeneous; agents are constructed in CrewAI through sequential process flows, coupled with feedback loops, and the authors explicitly state that there was no further training or fine-tuning of any models and that the latter were used out-of-the-box in inference mode, with updates through re-indexing of sources without weight changes.</t>
  </si>
  <si>
    <t>CrewAI sequential flows + feedback loops; no finetuning, no updates; just re-indexing.</t>
  </si>
  <si>
    <t>Section II, Section II-A</t>
  </si>
  <si>
    <t>Heterogeneity of the models is seen as a design choice; the models were selected for each agent based on their task fit — schema similarity and low latency for structuring, long-context RAG for hypothesis generation, dense-text summarization for literature review, synthesis capacity for fusion, and low-latency iteration for the optimiser. There are four model types used across the five agents, which include DeepSeek-R1, Gemini-2.0-Flash, Qwen2-72B and GPT-4o-mini, all of which are used out-of-the-box without any fine-tuning.</t>
  </si>
  <si>
    <t>Per-agent model assignment, based on the fit of the tasks, but without a selection experiment reported</t>
  </si>
  <si>
    <t>Fine-tuning is offered as a solution to two separate kinds of hallucinations - insufficient model knowledge (fine-tune with domain-specific data) and misalignment between the model and task/user preference (pick the right models and fine-tune them to align better with the domain and the task), while Case Study B takes this idea one step further by suggesting that the system itself can use its operational event logs to create structured datasets that 'further support the supervised fine-tuning of LLM models.'</t>
  </si>
  <si>
    <t>Named for two failure modes, fine-tuning closes a deployment data to fine-tuning loop.</t>
  </si>
  <si>
    <t>Section IV-B-3(1,2), Section V-B</t>
  </si>
  <si>
    <t>Task decomposition together with a multi-agent architecture is suggested as a solution to a fourth kind of hallucinations, that is complexity mismatch, based on the idea that the computational complexity of the multi-agent system should be proportional to the complexity of the original task.</t>
  </si>
  <si>
    <t>Multi-agent task decomposition as the main solution for handling complexity mismatch hallucination</t>
  </si>
  <si>
    <t>Section IV-B-2, Section IV-B-3(4)</t>
  </si>
  <si>
    <t>Execution orchestration is one of the technical aspects that receive much coverage in the paper. Execution can occur using one of three models – sequential execution, whereby the execution of the phase only starts after the completion of the preceding phase, hierarchical/manager-worker model of execution where a managing agent supervises the process of execution by specialists, and flow-based model of execution providing conditional branch, repetition and event-based execution. Other than sequential messaging the framework allows for autonomous delegation, whereby the executing agent delegates execution of the subtask to a more competent peer, with standardized inter-agent communication protocol transporting context between them.</t>
  </si>
  <si>
    <t>Three execution strategies plus autonomous peer delegation as the orchestration model</t>
  </si>
  <si>
    <t>Sections V-B, VII-A, VII-B</t>
  </si>
  <si>
    <t>The surrounding system architecture consists of a client-server system, where the client-side provides constraints and monitors the process of generation of outputs by setting further constraints on what the system produces in the form of documents, while the server side takes care of inter-agent communication and coordination of the task. The latter can be seen as an asynchronous back-end. The former is presented in the form of a browser application.</t>
  </si>
  <si>
    <t>A back-end and observation interface that are decoupled with state, coordination and human refinement.</t>
  </si>
  <si>
    <t>Sections V-D, VI-E</t>
  </si>
  <si>
    <t>No model is fine-tuned, adapted or trained. Model agnosticism is argued for as an architectural property, on the grounds that developers could assign the most suitable proprietary or open model to each agent according to cost, performance or task, but the demonstrated run uses one commercial model for the one agent exercised, and the per-agent assignment the argument turns on is never carried out or measured.</t>
  </si>
  <si>
    <t>No model adaptation; no model assignment suggested by the per-agent model assignment is ever made.</t>
  </si>
  <si>
    <t>Sections VII-D, IX; would have appeared in Section IX</t>
  </si>
  <si>
    <t>Batching is regarded as a first-class control rather than an implementation detail. Batches for large sets of requirements are created and the paper contends that this allows for improved speed, accuracy, and consistency without biasing classification by prior knowledge, and it gives the trade-off it is making, which is the context provided by batching because the model pays attention to each token in the input while processing each element. The paper states that it systematically varied the batch size between one and forty and that the trade-off is response time and token limits against stability of the response.</t>
  </si>
  <si>
    <t>The tuned control: Batch size, the mechanism: cross-item contextualization.</t>
  </si>
  <si>
    <t>Sections III-D, V-C</t>
  </si>
  <si>
    <t>The implementation is a configuration-driven task runner, not a monolith script, with the engineering described in concrete terms: each task definition specifies the input file, the identifier and data columns, the expected result columns, the instructions file, the resources file, the output directory, the chunk size, the item cap, and flags on whether to run and analyze each task; the runner combines default values with the task settings, checks them for validity, constructs prompts based on instructions, resources and data, stamps outputs with the date, and reattaches parsed results to their inputs. The protocol is designed such that all steps except initialization may be skipped, with the delta option skipping generation of existing outputs.</t>
  </si>
  <si>
    <t>A task runner that is resumable, configuration-driven, and outputs are re-used for every step.</t>
  </si>
  <si>
    <t>Sections III-B, III-I</t>
  </si>
  <si>
    <t>No model is fine-tuned, adapted or trained, and only one commercially available model family is used consistently. Comparative study across several vendors is mentioned as part of future work together with the suggestion of using previously obtained expert-validation output to provide corrective input for the model to fix errors made earlier, which is described as intended learning loop.</t>
  </si>
  <si>
    <t>Absence: One vendor model, no adaptation, feedback loop suggested but not done</t>
  </si>
  <si>
    <t>Sections III-D, V-C; would have appeared in Section III-D</t>
  </si>
  <si>
    <t>Three models on the cutting edge are used in equal agent role in conjunction with harness, requirements, infrastructure and test suite being constant (Claude Opus 4.6, Claude Sonnet 4.6 and GPT-5.4), thus, becoming the variable factor among three agent groups.</t>
  </si>
  <si>
    <t>Images of 3 models in the same agentic orientation, while the harness is kept constant.</t>
  </si>
  <si>
    <t>Section V; Table IV</t>
  </si>
  <si>
    <t>Feedback-guided iterative improvement process allows for agents to fix the problem identified in the validation output prior to submission and the speed of such process is reported as a separate measure.</t>
  </si>
  <si>
    <t>Self correction loop against the output of the validation (iterative process), reported per model</t>
  </si>
  <si>
    <t>Section III-B; Fig. 2; Section V; Table IV</t>
  </si>
  <si>
    <t>No fine-tuning, adapters or adaptation of any kind is done; all three models are used as-is with GitHub Copilot-based agents. The model is named to minor version, however, no temperature, sampling or decoding parameters, no API snapshot date and no agent configuration parameters are provided for any group.</t>
  </si>
  <si>
    <t>Absence: No model adaptation, and No decoding or agent-configuration settings reported</t>
  </si>
  <si>
    <t>Section III-C; Section V</t>
  </si>
  <si>
    <t>The set of models is extremely wide and intentionally crosses the line between open and closed: there are eight models to begin with, five of which are from a commercial source, three are running locally, and three more recent models were added to the updated benchmark set, all based on the same set of fixed prompts.</t>
  </si>
  <si>
    <t>On this topic, 11 models – both commercial and locally deployed open-source solutions – were explored.</t>
  </si>
  <si>
    <t>Section 5.1; Section 5.4.1; Tables 2, 4, 5, 7, 8</t>
  </si>
  <si>
    <t>Both techniques are combined in a pipeline and tested in all possible combinations: entity extraction on its own, entity matching on its own, both techniques combined with the heuristic recovery tool, and both combined.</t>
  </si>
  <si>
    <t>Individual pipeline stages evaluated and each combination evaluated to isolate contributions.</t>
  </si>
  <si>
    <t>Section 4; Section 5.4.3; Table 9</t>
  </si>
  <si>
    <t>There is no fine-tuning or any kind of adaptation of the models, no adapters were trained either. All models were used out of the box with the only input being the set of fixed prompts.</t>
  </si>
  <si>
    <t>Absence: No fine tuning/adaptation (all the models are used off the shelf)</t>
  </si>
  <si>
    <t>The architecture itself is constructed based on the extension of an existing agent graph library with custom nodes, thus relying on the orchestration infrastructure rather than introducing a new one.</t>
  </si>
  <si>
    <t>Developed on top of an existing agent-graph orchestration library that includes custom node types.</t>
  </si>
  <si>
    <t>Models from three vendors are being compared within the same environment (two models from one vendor at two levels of capabilities and one model from the other vendor), and the value of the framework is measured for each model to distinguish between the architecture and the model contributions.</t>
  </si>
  <si>
    <t>Separating architecture from model capability with three models swapped in the same position.</t>
  </si>
  <si>
    <t>Section 4.1, Table 1</t>
  </si>
  <si>
    <t>Absence: no tuning, no adaptation training, no any type of model adaptation whatsoever. Every model is being used straight out of the box via its API, with only the architecture and prompt changing from iteration to iteration.</t>
  </si>
  <si>
    <t>Absence: Architecture and its prompts change, no model adaptation.</t>
  </si>
  <si>
    <t>Adaptation is proposed via reinforcement learning based on human feedback, so as to optimize architectural recommendation according to the preference provided by architects, scaling better than manual tuning.</t>
  </si>
  <si>
    <t>RLHF as the adaptation mechanism.</t>
  </si>
  <si>
    <t>Sections 4.3, 5</t>
  </si>
  <si>
    <t>Absence: no orchestration for multiple agents, and no adaptation of the model(s) that was conducted: there is only one model mentioned, whose name is unknown, and the fine-tuning procedure is proposed but not conducted. The version of this chapter we have is a scanned copy of 10 pages out of 15 pages in print: pages 339, 340, 346, 347 and 349 are missing, which corresponds to section 4.2 and the entirety of sections 6 and 7, plus the tail of the reference list. The absence is noted on the basis of what we have and does not refer to the full chapter.</t>
  </si>
  <si>
    <t>Absence: A multi-agent orchestration is not performed, nor is any adaptation made.</t>
  </si>
  <si>
    <t>Tuning is proposed rather than conducted: the hybrid approach is described as a model being tuned by domain threat models and prompt engineering, without differentiating fine-tuning and in-context conditioning, and without mentioning a model name.</t>
  </si>
  <si>
    <t>Tuning without domain threat models that are not accompanied by a mechanism.</t>
  </si>
  <si>
    <t>Absence: No orchestration of agents and no adaptive process: no model is mentioned to be specified, loaded, prompted, and trained in the paper.</t>
  </si>
  <si>
    <t>Absence: No model run, No orchestration</t>
  </si>
  <si>
    <t>It was used in two actual enterprise cases (banking and pharmaceutical firm having more than 3000 stores) and one invented startup case, cited as examples of applications of the method.</t>
  </si>
  <si>
    <t>Two industrial scenarios and one fictional scenario.</t>
  </si>
  <si>
    <t>3.1 Evaluation designs: benchmarks, case studies, expert judgement, experiments</t>
  </si>
  <si>
    <t>T3. Techniques for Evaluation</t>
  </si>
  <si>
    <t>T3: evaluation technique</t>
  </si>
  <si>
    <t>The proof of utility is provided in the form of practitioners' appreciation included in the Known Uses part of each pattern, without a control group and no comparison with prompting of unstructured nature.</t>
  </si>
  <si>
    <t>The baseline comparison is not available and the feedback from Qualitative Practitioners is not quantitative.</t>
  </si>
  <si>
    <t>Known Uses, Section 3-Section 7</t>
  </si>
  <si>
    <t>Evaluation recreates the context of an existing architectural decision, applies the sequence of prompts to this recreated context, and interviews the person who made this decision, using both case study and retrospective study approaches.</t>
  </si>
  <si>
    <t>A re-enactment of a past decision, but not historical, which is based on actual real events.</t>
  </si>
  <si>
    <t>The process consists of five steps (recruitment of firms, selection and documentation of the target decision, execution of the sequence, reporting the results and interviewing, followed by qualitative analysis), and the tool for the interviews is provided as a list of questions per pattern and the whole sequence.</t>
  </si>
  <si>
    <t>The study protocol is explicit, an interview instrument has been published.</t>
  </si>
  <si>
    <t>Section 3.1, Section 3.2, Table 1</t>
  </si>
  <si>
    <t>Convenience sampling has been applied due to confidentiality issues, and there have been involved two Brazilian companies with one architect interviewed in each.</t>
  </si>
  <si>
    <t>The two companies and two architects served as a convenience sample.</t>
  </si>
  <si>
    <t>The authors claim that the number of participants and cases used for evaluation weakens the validity of the approach, and also the prompts have been developed by a researcher, not by the practitioner.</t>
  </si>
  <si>
    <t>Small n; prompts created by a researcher, NOT a practitioner</t>
  </si>
  <si>
    <t>Section 5 Limitations</t>
  </si>
  <si>
    <t>The case study used for evaluation is published previously and describes a bike-mobility application with a list of thirteen functional requirements and certain quality attributes; however, the latter was added to the requirements.</t>
  </si>
  <si>
    <t>Used a published case study that included the following 13 requirements:</t>
  </si>
  <si>
    <t>The researchers have noted their evaluation to be preliminary and have pointed out the necessity of performing real-life experiments and metric measurements to prove the reliability of their approaches and their utility. They are working on validating their models against architectural data sources and testing human users.</t>
  </si>
  <si>
    <t>Evaluation is done and initial; human-user testing is ongoing.</t>
  </si>
  <si>
    <t>Section IV, Section VII</t>
  </si>
  <si>
    <t>The paper starts with a Goal-Question-Metric statement and three research questions, one per approach. The zero-shot and few-shot prompt generation were performed using eighteen models which belong to two families, having from several million parameters to the largest proprietary models with tens of millions of parameters, including locally hostable and API-based models. Five smaller models (GPT2, T5-small, T5-base, Flan-T5-small, Flan-T5-base) are used for fine-tuning, thus, the three approaches cannot be compared over one common set of models.</t>
  </si>
  <si>
    <t>GQM-framed experiment: eighteen models were prompted, five were fine-tuned</t>
  </si>
  <si>
    <t>Section IV; Tables I to IV, pp. 7 to 8</t>
  </si>
  <si>
    <t>The dataset was collected through web search for the record type and selection of the top twenty results, then the authors have selected five open-source repositories, which used the standard template, and obtained ninety-five records with the use of regular expression and manual extraction of the context and decision field.</t>
  </si>
  <si>
    <t>The records are from five public repositories, with 95 records in total.</t>
  </si>
  <si>
    <t>Section IV-C-1</t>
  </si>
  <si>
    <t>For the fine-tuning process, eighty per cent of the data was used for training while twenty per cent was used for testing since the validation and testing data is the same since there was not much data available as pointed out by the authors as a limitation.</t>
  </si>
  <si>
    <t>Validation set and test set are the same, recognized as a drawback.</t>
  </si>
  <si>
    <t>Section VII-B</t>
  </si>
  <si>
    <t>The automatic evaluation was further augmented with the manual inspection of a sample of generated samples and the threats to validity have been considered from the perspectives of internal, construct and external validity.</t>
  </si>
  <si>
    <t>All metrics are automatic supplemented by manual review, threats analyzed;</t>
  </si>
  <si>
    <t>Section V, Section VII</t>
  </si>
  <si>
    <t>It is a case study that follows all the guidelines of a case study; it has only one embedded case which consists of one large open-source system with the software engineers extracting the knowledge out of the systems as the unit of analysis.</t>
  </si>
  <si>
    <t>Single-embedded case study using engineers as the units of analysis.</t>
  </si>
  <si>
    <t>The participants were fourteen software engineers who had at least bachelor's degree qualification with industrial experience of one to five years in software development and one year in software architecture, on average; the experiment was conducted within a master's course of a European university.</t>
  </si>
  <si>
    <t>Fourteen participants who reported their experience profiles.</t>
  </si>
  <si>
    <t>Ground truth was prepared prior to any questions asked: a set of 403 previously classified issues related to software architecture was pre-selected based on the presence of documentations which resulted in selection of 46 architectural documents; seven sub-systems were chosen and analyzed by six groups considering documents, the current source code, and discussions of the issues using a structure analysis tool and a tactics detection tool with confirmation of each concept by the first author.</t>
  </si>
  <si>
    <t>Ground truth created from an issues, documents, code and discussions.</t>
  </si>
  <si>
    <t>Section II-1</t>
  </si>
  <si>
    <t>A total of 236 questions were asked (81 on components and connectors, 87 on quality attribute solution, and 68 on rationale), and the accuracy was analyzed by an independent evaluator who was not part of building the ground truth, after which the results were reviewed by the first author, who had each false positive verified against the system's internal information sources.</t>
  </si>
  <si>
    <t>The questions were accurate and scored by an independent researcher (236 questions).</t>
  </si>
  <si>
    <t>Section II-2, Section II-3, Table I</t>
  </si>
  <si>
    <t>The assessment is based on a single reference document (a software requirements specification for a book e-commerce system developed at university in 2007) from which only four diagrams are compared, with one tool and one evaluator.</t>
  </si>
  <si>
    <t>Four diagrams and one single rater are required to be able to use a single reference document.</t>
  </si>
  <si>
    <t>Section VII, Table I, Section X</t>
  </si>
  <si>
    <t>Absence: Threats to validity are not described, no second evaluator was used, no reproduction of any generation took place, and the sequence diagram reference is not included in the article due to lack of space, so the one comparison in which the tool scored better cannot be verified by the reader.</t>
  </si>
  <si>
    <t>Absence: No validation, no second rater, no repetition</t>
  </si>
  <si>
    <t>Section X-C, whole paper</t>
  </si>
  <si>
    <t>Two studies are designed for the whole process: requirements re-engineering from known reference architectures and assessment of generated architectures in comparison with reference one and also with expert-designed baseline architecture, and field study within real industry project applying interviews before and after usage of the proposed technology with Technology Acceptance Model.</t>
  </si>
  <si>
    <t>Two full-pipeline studies to be planned: reference-architecture and industrial field study</t>
  </si>
  <si>
    <t>Section 5.1, Section 5.2</t>
  </si>
  <si>
    <t>According to the authors, their tool is still experimental, and the paper does not conduct any systematic comparison of prompting approaches and user study, but initial characterization of generated records and effects of the pipeline on it.</t>
  </si>
  <si>
    <t>Clearly defined as a preliminary characterization and not a systematic study.</t>
  </si>
  <si>
    <t>One target system was used (it was student project on migration from monolith to microservices, created by six participants as senior, cognitive, and junior architect), and all of its requirements were applied to the pipeline with two approaches (retrieval and zero-shot) in batch, resulting in sixteen records altogether, and five of them were manually checked against students' own records with authors' expertise.</t>
  </si>
  <si>
    <t>One system generated 16 records whereas, the other system generated 5 records which were manually reviewed and inspected by the authors themselves.</t>
  </si>
  <si>
    <t>Section 3.2, Section 4</t>
  </si>
  <si>
    <t>Under the header of initial validation, the authors refer to their previous exploratory study, rather than an evaluation of the system presented in the paper. None of the design, participants, protocol and baseline for the extraction, fusion, verification and retrieval are provided.</t>
  </si>
  <si>
    <t>The earlier study is the one which is reported for validation, and not an evaluation of the proposal.</t>
  </si>
  <si>
    <t>Section V</t>
  </si>
  <si>
    <t>In this study, two components have been combined: first, fifty zero-shot generation experiments across five real projects that were manually analyzed and discussed with four original project authors as the participants in the experiment, and second, a survey conducted among fifteen practitioners at fifteen different companies to address research questions related to adoption in the industry and to independently validate the experiment results.</t>
  </si>
  <si>
    <t>Two-part design: designed 50 generation experiments and validated with a 15-company survey.</t>
  </si>
  <si>
    <t>Survey respondents had various levels of seniority and were employed in different positions in the company (developer, team lead, architect, project manager, delivery director, CTO and CEO) at companies employing between less than 50 and over 5,000 people located in five European countries with 13 out of 15 having over six years of professional experience.</t>
  </si>
  <si>
    <t>The surveys included responses from people with experience in five different countries, representing all industry sizes and experience levels.</t>
  </si>
  <si>
    <t>However, according to the authors themselves, a limitation of their own research is the fact that the number of projects and test subjects is quite limited, and therefore, this can reduce the validity of the obtained results, especially regarding the validation of the experimental findings through survey.</t>
  </si>
  <si>
    <t>The small sample size will not allow authors to claim the credibility of their findings when validating.</t>
  </si>
  <si>
    <t>According to the authors, the research methodology comprises three stages: developing the story about architecture, allowing for collaboration in architecting and doing empirical validations. However, the third stage is explicitly indicated by the authors to be done in future and to go beyond the scope of the current research.</t>
  </si>
  <si>
    <t>Three-phase method with empirical validation explicitly (out of scope)</t>
  </si>
  <si>
    <t>Section 2.2, Figure 2</t>
  </si>
  <si>
    <t>According to the authors, the evaluation is done via a single case study of campus bike-sharing application used as a scenario-based example, where one architect took part with no other participants, baseline and comparison condition. The single case with moderate complexity together with architecting complexity and software/human expertise class is mentioned by the authors as a factor constraining generalization.</t>
  </si>
  <si>
    <t>This is a single case study, a single architect, no participants, baseline or comparison.</t>
  </si>
  <si>
    <t>Section 3, Section 5.2</t>
  </si>
  <si>
    <t>The evaluations involve 10-fold cross-validation on the same dataset re-used from one previous study (Mirakhorli et al.), and a replication of the case study of that study using the case study of Apache Hadoop HDFS. Results are compared directly with those of seven published classifiers on the identical datasets.</t>
  </si>
  <si>
    <t>Cross validation and case study replication, compared to seven previous classifiers</t>
  </si>
  <si>
    <t>Section 4, Tables 1-2</t>
  </si>
  <si>
    <t>Friedman non-parametric test was used for comparing the performance of the classifiers involved, excluding the obviously weaker classifier SVM. No statistically significant differences were observed between the cross-validation performances of the classifiers.</t>
  </si>
  <si>
    <t>There is no significant difference between compared classifiers by Friedman test.</t>
  </si>
  <si>
    <t>Six test criteria (C1-C6) define the evaluations as follows: correctness of dynamic metric generation; correctness of multi-criteria plan selection; robustness to ill-defined metric prompts; robustness to ill-defined trade-off prompts; computational efficiency on a broad spectrum of numbers of alternative plans (m = 10 - 1000); and interpretability of decision rationale.</t>
  </si>
  <si>
    <t>The whole evaluation is structured by six explicit test criteria (C1-C6)</t>
  </si>
  <si>
    <t>Section IV, list of C1-C6</t>
  </si>
  <si>
    <t>Both metric and trade-off prompts were scaled in number by paraphrasing a limited number of seed prompts using an LLM, yielding 30 versions per type of prompt. Another LLM was utilized to degrade the clarity of prompts (informal/unclear/ambiguous, and three levels of degradation).</t>
  </si>
  <si>
    <t>LLM-generated prompt variants and LLM-generated systematic prompt degradation</t>
  </si>
  <si>
    <t>Section IV-B-1, Section IV-B-3, Section IV-B-4</t>
  </si>
  <si>
    <t>Two quantifiable human evaluation experiments were performed using the same pool of 30 carefully selected senior software engineers (who have at least 5 years of experience and independently maintain a complex repository): counterbalanced within-subjects experiment comparing our DeepWiki to the baseline, using 8 industrial repositories, and controlling order effects using two groups with opposite order and mandatory pauses, and an ablation experiment where each engineer provided his or her own industrial repository for evaluation.</t>
  </si>
  <si>
    <t>Two controlled studies conducted with 30 senior engineers who were pre-screened for the study; a counterbalanced design;</t>
  </si>
  <si>
    <t xml:space="preserve">The protocol for evaluation required participants to judge how well the diagram corresponds with the reference architecture documents using three distinct categories (layers, nodes, and edges) and determining whether every single generated entity was correct or not, and adding all those elements not included in the generation process. </t>
  </si>
  <si>
    <t>Given an explicit layer/nodes/edges comparison protocol, it returns TP/FP/FN then precision/recall/F1</t>
  </si>
  <si>
    <t>Section 4.1, 'Setup'</t>
  </si>
  <si>
    <t xml:space="preserve"> The authors have collected and provided a new benchmark consisting of eight large-scale GitHub repositories of production-grade (from 1k to 22k source code files, written in Go, Java, C/C++, Python, and YAML languages) along with their existing architecture documents that serve as ground truth data due to lack of datasets like this in the literature.</t>
  </si>
  <si>
    <t>New open-sourced benchmark for 8 repository with public ground-truth documentation for architecture</t>
  </si>
  <si>
    <t>Section 4.1, 'Dataset'</t>
  </si>
  <si>
    <t>It is clear from the structure of the benchmark that its purpose is comparability. It consists of three biomedical datasets of multiple choice post-graduate knowledge, research abstract inference, and free text cases with the same number of questions (50) selected in order to make the numbers comparable with multi-agent systems in the table.</t>
  </si>
  <si>
    <t>The three sets of data are collected at a matched sample size of 50 questions, and are comparable to those in previous systems.</t>
  </si>
  <si>
    <t>Section III, Table 3</t>
  </si>
  <si>
    <t>The isolation of each agent's performance is achieved by removing one agent at a time and performing the same 20 MedQA questions again, which gives 60.0 per cent with no Fusion agent, 65.0 with no RAG Analyzer, 70.0 with neither the Evidence-Based Scanner nor Optimizer, and 80.0 with neither the Clarifier nor term boosting. This is the most clear-cut indication of the benefit of multi-agent decomposition in the whole corpus.</t>
  </si>
  <si>
    <t>Leave-one-agent-out ablation measures the contribution of each agent to the accuracy</t>
  </si>
  <si>
    <t>Section III, Table 7</t>
  </si>
  <si>
    <t>There are three prototype case studies provided, each showing one of the three design paradigms in laboratory conditions with different implementation stacks and demonstration videos, yet none of them provides any quantified benchmarking, accuracy numbers, or performance comparison to a baseline, the evaluation is demonstrative (is the mechanism working according to the design?) rather than metric (how good is it?).</t>
  </si>
  <si>
    <t>Three case studies exist in the laboratory environment (but are not quantitatively benchmarked)</t>
  </si>
  <si>
    <t>Section V, Section V-A, Section V-B, Section V-C</t>
  </si>
  <si>
    <t>A task-centric, test-driven approach to development and evaluation is proposed as a general guideline for the projects: define representative tasks and test cases first, then use automated benchmarking via 'LLM-as-a-judge' approach and iteratively refine the pipeline according to the benchmarking results, suggested as the paper's own evaluation process rather than a quantitative assessment of the three case studies.</t>
  </si>
  <si>
    <t>The test driven development methodology was suggested, but not directly used quantitatively in the case studies.</t>
  </si>
  <si>
    <t>Section VI-D</t>
  </si>
  <si>
    <t>What was done is described clearly and is more specific than implied by the abstract. Component level validation performed one of the four agents (requirement agent) on one unstructured prompt only, taking the reasoning engine of one commercial model within the orchestration framework, while the interface simulated client interaction. This was accompanied by the review of five generated specifications for hallucination and qualitative review conducted by a panel of students and software developers. The section is appropriately named as proof of concept.</t>
  </si>
  <si>
    <t>One agent exercised on one prompt, and then a five document audit and a qualitative assessment.</t>
  </si>
  <si>
    <t>Section IX</t>
  </si>
  <si>
    <t>The evaluation design is composed of two quite distinct stages and both are explained in advance. The exploration phase consisted of analyzing forty-two requirements to see how the model behaves and what is going on in the input-output relation, and the paper openly admits that the results would be limited, while the phase itself is meant to improve the process. Then came the exploitation phase, where one hundred and ten requirements were analyzed with the use of previous findings and considered in terms of sufficiency, duplication and contradiction, respectively. Requirements were intentionally written in a messy manner.</t>
  </si>
  <si>
    <t>A two-phase process of calibrate and test, based on intentionally rough input from the stakeholders</t>
  </si>
  <si>
    <t>There is a human reference standard for every reported measure, which sets the current evaluation apart from most others in the literature. Every requirement in the exploration dataset has been manually categorized under a safety-critical function prior to the run of the model, which means that agreement with the human judgment is measured as well; the results of the duplication and contradiction analysis have been reported relative to known numbers of pairs of eight and nine, independent from the tool output.</t>
  </si>
  <si>
    <t>For each measure, manual prior classification and known defect-pair as reference.</t>
  </si>
  <si>
    <t>Sections IV-A-1, IV-A-3, IV-A-4</t>
  </si>
  <si>
    <t>The basis of evidence consists of only one system, one requirement set and one model. There is no second case study, no comparison against a non-generative approach like the embedding and classification method reviewed in the related work, no second human and agreement statistic for the human reference, and no report of repetition statistics for the main figures. This single-case nature of the study is stated in the paper, which mentions the need for future work on multi-system testing.</t>
  </si>
  <si>
    <t>Absence: one case, one model, Absence baseline, Absence annotator agreement measure</t>
  </si>
  <si>
    <t>Sections IV, V-C; would have appeared in Section IV</t>
  </si>
  <si>
    <t>This evaluation uses five-cohort controlled comparison (one human-only baseline, one Copilot Chat-assisted cohort, and three separate agent-generated implementations) where the paper claims that identical infrastructure, repositories, requirements, prompts and test suites were used in all cohorts.</t>
  </si>
  <si>
    <t>Five cohort controlled comparison to human baseline (same inputs)</t>
  </si>
  <si>
    <t>Section III-A; Section III-C; Section V</t>
  </si>
  <si>
    <t>Every cohort represents a single implementation. No replication, no variation, no confidence interval, and no statistical test is applied anywhere; thus, any differences observed between models and between cohorts rely only on one execution each.</t>
  </si>
  <si>
    <t>Absence: one implementation per cohort; no repetition, variance or significance test</t>
  </si>
  <si>
    <t>Section III-C; Section V; Table IV</t>
  </si>
  <si>
    <t>The evaluation is conducted using a known public benchmark, not a custom-made one: five open-source software projects with different size and domain, artefacts, gold standard and reused dataset and metrics from the compared methodology.</t>
  </si>
  <si>
    <t>A known public standard adopted from the comparison approach to be compared with it</t>
  </si>
  <si>
    <t>Section 5.1; Table 1</t>
  </si>
  <si>
    <t>Six baselines are used for comparisons, some of which require manual modeling and others which do not, and the comparisons are made using the proper baseline for each claim: the manual-modeling baseline for the comparable-performance claim and the best-performing no-modeling baseline for the improvement claim.</t>
  </si>
  <si>
    <t>Six baselines - comparison matched to the claim being made</t>
  </si>
  <si>
    <t>Section 5.2; Tables 2, 9</t>
  </si>
  <si>
    <t>Significance testing is done in lieu of claims of significance, and results are shown in two ways: the one-tailed Wilcoxon signed-rank test proves the approach significantly better than all baselines requiring no manual modeling, and that it neither significantly exceeds nor falls below the performance of the manual-modeling approach, with non-significant p-values given for both cases.</t>
  </si>
  <si>
    <t>Wilcoxon signed-rank tests have been reported (two of which were not significant in either direction)</t>
  </si>
  <si>
    <t>Section 5.3.1; Table 3</t>
  </si>
  <si>
    <t>The approach to non-determinism is repetition rather than just one execution; entity matching is run five times per model and the mean and standard deviation results for each project are presented.</t>
  </si>
  <si>
    <t>Runs per configuration means with per project standard deviations reported</t>
  </si>
  <si>
    <t>Section 5.4.2; Table 8; Table 9</t>
  </si>
  <si>
    <t>In terms of design, the experiment is well executed: two dermatological datasets divided into training, validation, and testing sets with the architecture evolving on training data, validated on validation data after each batch, frozen after reaching convergence on validation accuracy and finally evaluated on a test set.</t>
  </si>
  <si>
    <t>Convergence – Freeze the architecture of the system, then train/validate/test discipline!</t>
  </si>
  <si>
    <t>Section 4.1, Section 3.3</t>
  </si>
  <si>
    <t>However, not one, but two orthogonal ablation studies are performed: the former ablates the effect of an operation on the performance, while the latter shows monotonically increasing performance on node, node + structural and all levels.</t>
  </si>
  <si>
    <t>Per operation removal, cumulative build-up of the search space (2 orthogonal ablations)</t>
  </si>
  <si>
    <t>Section 4.3, Table 3, Table 4</t>
  </si>
  <si>
    <t>Absence: absence of variance, absence of repetitions, and absence of statistical tests where they would be most welcome. The temperature is set to 1.0, supposedly encouraging diversity of reasoning strategies as mentioned by the authors, while a single seed of randomness is used throughout, making each figure in results table a single sample from a deliberately stochastic process.</t>
  </si>
  <si>
    <t>No Absence: single seed at temperature 1.0, no repeats or variance was seen despite deliberate stochasticity.</t>
  </si>
  <si>
    <t>Absence: no evaluation design. There is no data set, participants, base line, case study, tasks or measurements procedures in the allotted space; the section on testing talks of methods that can be used for the purposes of testing, not of an actual evaluation that has been conducted. The chapter of which we have a copy has been scanned from 10 out of 15 pages of the printed version, pages 335 to 349, but pages 339, 340, 346, 347 and 349 have been omitted, which includes parts of section 4.2, and sections 6 and 7, and the end of the bibliography section. The following is thus noted of the pages we have access to, and not of the entire chapter.</t>
  </si>
  <si>
    <t>Absence: No evaluation design provided in pages available.</t>
  </si>
  <si>
    <t>Section 5; whole chapter</t>
  </si>
  <si>
    <t>The claimed evaluation methodology consists of a case study in the autonomous vehicle field regarding vulnerability generation, prioritization and feedback, using accuracy, precision, recall and effectiveness of vulnerability detection and mitigation as metrics.</t>
  </si>
  <si>
    <t>The evaluation of the case-study is planned and incorporates named performance indicators.</t>
  </si>
  <si>
    <t>Second role of the non-model algorithm is to serve as the control for the model based algorithm to be compared with, so that the paper provides its own control.</t>
  </si>
  <si>
    <t>The non-model algorithm that the student has designed on their own is used as the comparison baseline.</t>
  </si>
  <si>
    <t>Absence: Nothing has been studied. No data set, no architectural model, no participant, no measurement and no results have ever been reported; the paper is a design and states it explicitly.</t>
  </si>
  <si>
    <t>Absence: not done any evaluation; it is a research plan paper</t>
  </si>
  <si>
    <t>Choice of the final sequence of patterns depends on the relevance of the responses obtained in the specific order; relevance has not been specified, there are no metrics, rubrics or procedures described for it.</t>
  </si>
  <si>
    <t>Subjective relevance based on no well-defined metric.</t>
  </si>
  <si>
    <t>3.2 Metrics and quality criteria used to judge generated architectures</t>
  </si>
  <si>
    <t>The main measure of success is whether the response from the model matched the decision made, and if the response was useful according to the opinion of the architect.</t>
  </si>
  <si>
    <t>Aligning with the implemented decision as the criterion</t>
  </si>
  <si>
    <t>Section 3, Table 1</t>
  </si>
  <si>
    <t>The criterion is the extent of matching or overlapping of the patterns created by the agents and those created in the original architecture of the case study; the results are shown in a table listing pattern names according to requirements, without providing any measure of the degree of overlap or the criteria for making the judgment.</t>
  </si>
  <si>
    <t>Recall a published reference design, without a numerical measure.</t>
  </si>
  <si>
    <t>Section IV, Table I</t>
  </si>
  <si>
    <t>There are four automatic text-generation metrics employed (unigram overlap, translation quality metric, ordered translation metric, and embedding similarity metric), with the last mentioned being the main one since it considers semantic instead of lexical similarity, and correlates well with human assessment.</t>
  </si>
  <si>
    <t>Four auto-metrics; embedding similarity as prime</t>
  </si>
  <si>
    <t>Section IV-E</t>
  </si>
  <si>
    <t>The selection of metrics is cited as one of the threats in the study, owing to the lack of a solution to the challenge of evaluation of text generation, together with the house style of writing records.</t>
  </si>
  <si>
    <t>The threats of metric validity and style variance were identified.</t>
  </si>
  <si>
    <t>Section VII-A</t>
  </si>
  <si>
    <t>Answers are scored as true positives, false positives, and false negatives relative to the ground truth and precision, recall, and F1 scores are computed for each knowledge concept, in addition to micro-averages and statistical significance test among concepts.</t>
  </si>
  <si>
    <t>Precision, Recall &amp; F1 against manual ground-truth</t>
  </si>
  <si>
    <t>Section II-3, Section III</t>
  </si>
  <si>
    <t>Apart from accuracy, the answers were also rated on two different five point scales with clearly stated anchors (one rating was for quality and other for trustworthiness), with a justification for each rating, done in writing. The justifications were analyzed by two independent reviewers through qualitative content analysis. Both the averages fall somewhere close to the center of the scale.</t>
  </si>
  <si>
    <t>Human quality and trustworthiness is measured on a scale with clearly defined anchors</t>
  </si>
  <si>
    <t>Section II-2, Section II-4, Section IV, Table V</t>
  </si>
  <si>
    <t>The similarity score between the two diagrams, considering them as graphs, is based on a weighted sum of node-matching ratio and edge-matching ratio, each divided by the larger graph of the two, with weight of 0.5 each for node and edge by default, taken from UML similarity literature.</t>
  </si>
  <si>
    <t>Create a graph-based node and edge similarity to a reference diagram.</t>
  </si>
  <si>
    <t>Absence: there is no procedure described for determining at which point the created nodes/edges can be considered to match the reference node/edge, and the decision was made by the single author.</t>
  </si>
  <si>
    <t>The absence will be made up if no matching procedure is stated.</t>
  </si>
  <si>
    <t>Section IX, Section X</t>
  </si>
  <si>
    <t>Choosing among the candidate automatic evaluation approaches has been planned within the research itself: the authors plan to compare the aspects evaluated by each approach, and select a set of those which cover a full range of architectural aspects, considering the possibility of comprehensive and accurate automatic evaluation as an open question.</t>
  </si>
  <si>
    <t>Evaluation techniques to be compared – coverage is left open;Feasibility is left open;</t>
  </si>
  <si>
    <t>Absence: there is no quantitative measure used, there is no score rubric, nor any inter-rater agreement procedure; the comparison to the student data is qualitative, and the authors note in a footnote that those records have not been considered to represent the ground truth, but rather the reference solution.</t>
  </si>
  <si>
    <t>Absence: no metric or rubric; comparison is qualitative, and there is a clear lack of ground truth.</t>
  </si>
  <si>
    <t>Section 4, footnote 3</t>
  </si>
  <si>
    <t>The measures are ROUGE-1, BLEU, METEOR and BERT Score, measured on the generated decision text in the restated study. No measure, cutoff score or quality standard is suggested for any aspect of the system described in the paper.</t>
  </si>
  <si>
    <t>The metrics reported are restated metrics used in the study</t>
  </si>
  <si>
    <t>Section V, Figure 4</t>
  </si>
  <si>
    <t>Criteria for success in the experiment involved the generation of any response at all by the model to a given prompt, regardless of the quality of the response; success was further divided into visual (diagram) output and textual output success, with the latter being more frequent.</t>
  </si>
  <si>
    <t>Success defined by any output, not output quality; text did better than visual output;</t>
  </si>
  <si>
    <t>Section IV-C, Section IV-D, Figure 2</t>
  </si>
  <si>
    <t>Absence: no numerical measure, scoring procedure or procedure for conducting human ratings of the generated architecture is described or reported in the paper; the process flow diagram refers to an evaluation measure as part of the evaluation process, but no measure is mentioned anywhere in the paper and the evaluation results are in narrative form.</t>
  </si>
  <si>
    <t>Absence: There is an evaluation-metric element in the process figure but no evaluation-metric metric is defined.</t>
  </si>
  <si>
    <t>Section 3.4, Figure 3, Figure 6</t>
  </si>
  <si>
    <t>Tactics are evaluated using precision, recall and F1-score for each tactic and averaged over all tactics (using the same metrics as those used by the seven baselines approaches) to facilitate direct comparison using identical data without resorting to a novel metric invented by the authors themselves.</t>
  </si>
  <si>
    <t>Evaluation of precision/recall/F1 metrics are available for making a direct baseline comparison.</t>
  </si>
  <si>
    <t>Accuracy is measured in terms of the proportion of generated code or plan snippets that are validated or meet the expected trade-off (Tables 3, 5-7), along with the average number of self-debugging trials required to achieve this goal per result, as well as token consumption and computing time required to generate each result (Table 8).</t>
  </si>
  <si>
    <t>These are all reported as separate metrics, including accuracy, attempts-to-success, token usage and latency.</t>
  </si>
  <si>
    <t>Tables 3, 5-8</t>
  </si>
  <si>
    <t>Along with the usual triplet of precision-recall-F1 used in DeepWiki experiments, the ablation study provides one additional measure specific to this particular experiment (Business Restoration Degree (r), which takes values from 0 to 100 in increments of 10, as rated by the maintainer of each repository and normalized to 0-1) and combines them into one weighted score (F1_weighted = r.F1).</t>
  </si>
  <si>
    <t>Study-specific 'Business Restoration Degree' metric was combined with F1 and used to calculate a weighted score</t>
  </si>
  <si>
    <t>Section 4.2, 'Procedure'</t>
  </si>
  <si>
    <t>The metrics used are defined and not taken for granted: micro-averaged precision, recall and F1 metrics along with accuracy are provided, noting that due to the way one versus all strategy is employed in this approach, they are equal to accuracy by definition, while specificity is needed to account for rejection of non-gold choices, and free-text answers are compared to gold answer using cosine similarity with 0.80 cut-off provided beforehand.</t>
  </si>
  <si>
    <t>The definitions of the metrics are provided with their construction limits recognized and there is a free text threshold.</t>
  </si>
  <si>
    <t>Section III, Table 5</t>
  </si>
  <si>
    <t>Absence: there is no statistical test of any kind reported anywhere in the paper, while the results of evaluation are presented in the conclusion as showing statistically significant performance gain compared to state-of-the-art approaches. There is no mention of test, statistic or confidence intervals, and while there are 50 questions per dataset, 94 per cent result compared to 92 per cent of no-agent approach means only one question difference.</t>
  </si>
  <si>
    <t>Absence: No statistical test was performed, but statistical significance is reported</t>
  </si>
  <si>
    <t>Section V versus Section III, Table 4</t>
  </si>
  <si>
    <t>No accuracy, precision, F1 or any other quantitive performance measure is offered in the paper for any of the three case studies; the Return on Intelligence value used by the paper's author is explicitly qualitative ('the trends of the curves do not represent exact quantitative values'), which makes this one of the few papers in the corpus where the primary measure used is explicitly non-numerical according to the author's statement.</t>
  </si>
  <si>
    <t>No quantitative data mentioned anywhere; central evaluative concept is definitely not numerical</t>
  </si>
  <si>
    <t>Section VI-B, Figure 10 caption</t>
  </si>
  <si>
    <t>Two measures are offered in the paper, and both deal with the one artifact tested: hallucinations occurring in twenty percent of the five generated specifications' drafts, and a clarity rating of eight out of ten provided by the participant group. The first is quite a rare feature for the papers in the corpus (an error rate reported by the authors themselves concerning their own artifact), while the second is an attitude-based readability measure.</t>
  </si>
  <si>
    <t>No quality parameters other than a self-reported defect rate and a single rating of clarity of attitude is reported.</t>
  </si>
  <si>
    <t>Sections IX-C, IX-D</t>
  </si>
  <si>
    <t>There is no way to determine if the created artifact is correct, except for one case when the created artifact belongs to a single agent. There is no way to evaluate the completeness of the specification in regards to the request, feasibility of work breakdown, correctness of an estimated duration, appropriateness of a technology stack or correctness of normalization of a created schema despite the fact that normalization is the governing principle. The statement on output compliance with industry engineering standards states no standards and does not conduct any conformance test. The exception is the requirement agent where five generated specification documents were evaluated with the hallucination rate of about twenty percent.</t>
  </si>
  <si>
    <t>Absence: correctness or conformance measure, for no artefact other than the one of an agent's error-rate audit</t>
  </si>
  <si>
    <t>Sections VI-C, IX-B, IX-C; would have appeared in Section IX</t>
  </si>
  <si>
    <t>Success criteria are stated with numeric thresholds, and stated in the text before the results are presented, which almost nothing else in this corpus does. Five are given: subsystem identification above ninety percent accuracy; requirements classification above eighty percent; duplicate identification above eighty percent; contradiction identification above eighty percent; and classification stability above eighty percent consistent accuracy across multiple runs. Stating the bar makes the subsequent numbers interpretable as pass or fail rather than as description. Their position in the text does not establish when they were fixed relative to the experiments, and the paper makes no preregistration claim.</t>
  </si>
  <si>
    <t>Five numeric success criteria as criteria prior to results</t>
  </si>
  <si>
    <t>Three measures have been noted in relation to these criteria. Classification accuracy in relation to the manual reference shifted from around seventy-one percent to eighty-two percent after refinements. Detection of duplicates shifted from three of eight pairs to seven of eight pairs. Detection of contradictions reached seven of nine pairs known and thus is presented as 77.8 percent accuracy by the authors; this is recall, the proportion of contradictions detected, while one more non-contradictory pair was incorrectly detected, which makes the precision seven of eight. Accuracy cannot be calculated using the information in the paper as there is no true negative figure.</t>
  </si>
  <si>
    <t>It is possible to present three measured outcomes as fractions of the count of known pairs.</t>
  </si>
  <si>
    <t>Section V, pp. 9 to 10</t>
  </si>
  <si>
    <t>Five metrics were provided for every group (development time in days, maintainability, test coverage, security and self-correction rates) together with an artefact comparison comprising of four rows (lines of code, number of Java classes, major design changes and human effort). The last row has no unit attached in the table.</t>
  </si>
  <si>
    <t>Five per-cohort metrics and four row artefact-count comparison.</t>
  </si>
  <si>
    <t>Section III-C; Table IV; Table V</t>
  </si>
  <si>
    <t>Metrics are associated with specific industry tools at fixed versions: SonarQube 10.4.1 Community Edition for coding metrics, and SAST and OWASP-based scanning for security validation, carried out uniformly across all cohorts.</t>
  </si>
  <si>
    <t>Named and version-pinned industry metrics with metrics.Industry instruments named and version-pinned with metrics.</t>
  </si>
  <si>
    <t>Section III-C; Section IV; Section V</t>
  </si>
  <si>
    <t>None of the three percentage metrics is specified. No scale or formula for calculating the security score, maintainability percentage or self-correction rate is provided, so that neither can the three percentages be calculated or compared to any external standard. The number of vulnerabilities is cited as an evaluation metric but is not reported anywhere.</t>
  </si>
  <si>
    <t>Absence: The three headline percentage measures are undefined and uncalculable.</t>
  </si>
  <si>
    <t>Section III-C; Table IV</t>
  </si>
  <si>
    <t>The metrics are specified for this evaluation task rather than mentioned by name: precision, recall and F1 are specified as formulas and then defined, with true positives being recovered links found in the gold standard, false positives being recovered links not in the gold standard, and false negatives being gold standard links not recovered by the approach.</t>
  </si>
  <si>
    <t>Precision, recall and F1 instantiated with task-specific definitions of each outcome</t>
  </si>
  <si>
    <t>Two kinds of averaging are presented side by side with explanation: simple averaging yielding expected performance per project, and averaging weighted by the number of expected links yielding expected performance per link. Projects included in this benchmark vary by two orders of magnitude in the number of links, thus the two serve two different purposes.</t>
  </si>
  <si>
    <t>Reported averages should be macro and link-weighted, and the distinction made if justified.</t>
  </si>
  <si>
    <t>Section 5.1; all result tables</t>
  </si>
  <si>
    <t>Magnitude of the results is evaluated not subjectively, but relative to an external taxonomy: the performance achieved is characterized as excellent relative to the published system of evaluation of candidate link generation, establishing the significance of the number independent of the authors’ opinion.</t>
  </si>
  <si>
    <t>Grade the results according to an externally published classification scheme (scale of results).</t>
  </si>
  <si>
    <t>Section 5.3.1</t>
  </si>
  <si>
    <t>In addition to standard accuracy measures like Top-1, Top-3 and Top-5 accuracy, the authors utilize majority voting consensus as a proxy for robustness, presented per disease category and not aggregated.</t>
  </si>
  <si>
    <t>A stability measure (consensus-over-repeated-samples) was added as well as Top-k accuracy</t>
  </si>
  <si>
    <t>Section 4.1, Section 4.2, Figure 5</t>
  </si>
  <si>
    <t>Absence: No metric assesses the clinical validity. Validity means agreement with a data-set label; no clinician evaluates an evolved system or its decisions; no measure of consequences of an erroneous decision is used; and the ranking criteria consider fifth place of a correct answer as a success in a situation when such an approach cannot be considered objective.</t>
  </si>
  <si>
    <t>Absence: only label agreement (no clinical review of workflows or outputs)</t>
  </si>
  <si>
    <t>Section 4.1, whole paper</t>
  </si>
  <si>
    <t>The quality criteria offered are the criteria of the trade-off analysis technique: quality-attribute scenarios, trade-off points and sensitivities, risks and non-risks, and correspondence to business drivers.</t>
  </si>
  <si>
    <t>Proposed criteria taken from the trade-off analysis method</t>
  </si>
  <si>
    <t>Section 5, Fig. 6</t>
  </si>
  <si>
    <t>Absence: no metric is described, calculated and reported. The sole numerical figure of the chapter is the unattributed forty per cent, and no algorithm for measuring it is provided. Our copy of this chapter is a scanned excerpt of 10 out of 15 printed pages, 335 to 349: pages 339, 340, 346, 347 and 349 are missing, and this is part of section 4.2, entire sections 6 and 7, and the end of the reference list. Thus, this absence refers to pages at our disposal, but not necessarily the entire chapter.</t>
  </si>
  <si>
    <t>Absence: No metric defined or computed</t>
  </si>
  <si>
    <t>Sections 5, 8</t>
  </si>
  <si>
    <t>The criterion proposed for assessing the quality of architecture is the complexity of the attack surface, while test case priorities should be determined based on criteria such as severity, probability of occurrence, cost of fixing, and other factors determined from the vulnerability history and its severity scores.</t>
  </si>
  <si>
    <t>The proposed criteria are based on Attack-surface Complexity and Attack-surface Severity.</t>
  </si>
  <si>
    <t>Section IV-B, RQ2 and RQ3</t>
  </si>
  <si>
    <t>A particular measure of measurement gap is given as motivation: according to the authors' understanding, there exists no way of calculating the prioritisation factors at the model level, and that is the reason why the historical data is used instead.</t>
  </si>
  <si>
    <t>Stated gap: These factors can be computed at the model level using an appropriate formal method.</t>
  </si>
  <si>
    <t>Section IV-B, RQ2</t>
  </si>
  <si>
    <t>The prompt conversations conducted by the author are presented as open links, both for individual patterns and three scenarios, and therefore, the actual interaction process can be seen.</t>
  </si>
  <si>
    <t>Prompt transcripts are the artefacts published as a prompt transcript.</t>
  </si>
  <si>
    <t>3.3 Cost, latency and reproducibility of the reported setups</t>
  </si>
  <si>
    <t>footnotes 1-8</t>
  </si>
  <si>
    <t>Absence: The model is specified only as ChatGPT or GPT without specifying the version, temperature, date of access or repeatability behavior, and therefore, the interaction process can be seen but not reproduced.</t>
  </si>
  <si>
    <t>Absence: Model version and settings not reported.</t>
  </si>
  <si>
    <t>GPT-4o is the name of the model, while the study period is defined as October 2023 to March 2024, which is an advancement from the companion paper.</t>
  </si>
  <si>
    <t>Model type indicated and study period given</t>
  </si>
  <si>
    <t>Both URLs for prompt and transcripts in the two published patterns are the same URLs that have been published in the companion pattern paper; therefore, the artefacts are not unique.</t>
  </si>
  <si>
    <t>These will be sent to the companion paper.</t>
  </si>
  <si>
    <t>footnotes 1-2</t>
  </si>
  <si>
    <t>The underlying model is named as GPT-4o-mini, the framework is defined, and a public companion repository is also presented containing the artefacts used in the case study.</t>
  </si>
  <si>
    <t>There are three modelled resources: model, framework and public artefact repository.Three modelled resources: model, framework and public artefact repository.</t>
  </si>
  <si>
    <t>Section III, footnote 1</t>
  </si>
  <si>
    <t>The tree-search agent occasionally generated duplicate patterns; the authors mentioned that this caused increased inference work for the model.</t>
  </si>
  <si>
    <t>Duplicate Outputs increase inference cost</t>
  </si>
  <si>
    <t>Absence: there is no mention of how many runs there were, the temperature, cost of the token, latency or repeat-run behavior, so the consistency of runs cannot be judged from the paper.</t>
  </si>
  <si>
    <t>Absence: No run counts, cost and latency reported</t>
  </si>
  <si>
    <t>Section III, Section IV</t>
  </si>
  <si>
    <t>Scripts and results of the experiment are provided as part of the project, licensed open source precisely to enable validation and replication, and every model is listed together with its size, context length, and whether it can be run locally.</t>
  </si>
  <si>
    <t>Scripts and results will be provided for further independent replication.</t>
  </si>
  <si>
    <t>Section I, Section IV-E, Table I</t>
  </si>
  <si>
    <t>Since the records are lengthy and the models have different maximum context length, any information outside of a particular model's context was discarded, which means that the number of test examples varies by model, ranging from seventy-eight to ninety-five for the zero-shot condition.</t>
  </si>
  <si>
    <t>Sample counts vary with each model, as they have been filtered using context windows.</t>
  </si>
  <si>
    <t>Section IV-C-2, Table II</t>
  </si>
  <si>
    <t>The price-related argument (that since a cheaper model prompts few-shot matches a more expensive model prompts zero-shot) is based on ratios between sizes and prices that are not proven within the paper: it mentions multipliers of ten times and seven thousand times, but in its own Table I, the model's size is listed as just 'T+'.</t>
  </si>
  <si>
    <t>Cost comparison is based on an unknown proprietary model size.</t>
  </si>
  <si>
    <t>Section VI-B, Section VI-C, Table I</t>
  </si>
  <si>
    <t>Questionnaires, answers, participant evaluations, background information about participants, and the created ground truth are all available in an archived supplementary package with a persistent identifier.</t>
  </si>
  <si>
    <t>Complete study package (Persistent Identifier)</t>
  </si>
  <si>
    <t>Section II, reference [20]</t>
  </si>
  <si>
    <t>Only one model and one size were examined in the study, and the authors consider it a threat to the external validity of the research, along with the study of one software system.</t>
  </si>
  <si>
    <t>The name threats has been given to both single model and single system.</t>
  </si>
  <si>
    <t>Section VI-c</t>
  </si>
  <si>
    <t>Prompts, diagram markup, and the similarities scores are available in a public repository provided by the authors in the paper.</t>
  </si>
  <si>
    <t>Published prompts and markup generated by the system in a public repository</t>
  </si>
  <si>
    <t>Section X, reference [20]</t>
  </si>
  <si>
    <t>Absence: neither the version of the tool, the date of its usage, nor the specific model are mentioned, although the paper itself claims that this particular tool allows choosing the model.</t>
  </si>
  <si>
    <t>Absence: tool version and underlying model unreported</t>
  </si>
  <si>
    <t>The specific methodology of exploratory analysis is provided on the public repository.</t>
  </si>
  <si>
    <t>Exploratory-analysis procedure that has been published in a public repository.</t>
  </si>
  <si>
    <t>Section 4, footnote 1</t>
  </si>
  <si>
    <t>Absence: There are no details about costs, latency, model version pinning, or repeated run information for either of the models used in the exploratory analysis.</t>
  </si>
  <si>
    <t>Absence: None cost, latency not reported, version-pinning detail not reported</t>
  </si>
  <si>
    <t xml:space="preserve">The code and data associated with the tool is fully available through an open source repository, along with a deployment of the assistant to use on the web.
</t>
  </si>
  <si>
    <t>Source, data and a live deployed instance of the tool are all published</t>
  </si>
  <si>
    <t>Section 5, Data Availability Statement</t>
  </si>
  <si>
    <t>Absence: There is no mention of cost, latency or token usage figures for any of the calls in the five copilots pipeline.</t>
  </si>
  <si>
    <t>Killed by OSPF neighbor neighbor_down: no cost or latency reported for the neighbor or sibling</t>
  </si>
  <si>
    <t>Section 3.3, Section 4</t>
  </si>
  <si>
    <t>Absence: None of the proposed methods of extraction, fusion, verification and retrieval have been implemented, and therefore there are no details about their costs, latency or repeatability, the only publicly available artifact being the repository code of the referenced reused study in 2.4.</t>
  </si>
  <si>
    <t>Absence: no cost or latency information for the proposed system, which has not been built.</t>
  </si>
  <si>
    <t>Section V, footnote 1</t>
  </si>
  <si>
    <t>All the prompts, requirements, output data, discussion comments and survey results are available in a public repository.</t>
  </si>
  <si>
    <t>Collection of all experimental and survey materials released and published in a public repository.</t>
  </si>
  <si>
    <t>Justification for choosing one of the two available versions of the model is made explicit in the paper on the basis of reproducibility and not implicitly left as an assumption.</t>
  </si>
  <si>
    <t>Model-version choice is explicitly given for the sake of reproducibility.</t>
  </si>
  <si>
    <t>An architectural replication package containing the architectural story in detail along with the additional dialogue between the architect and the model has been cited and referenced in the paper several times; however, the citation is to an anonymized double-blind review repository authored anonymously.</t>
  </si>
  <si>
    <t>This comes with a note that the replication package has been published but via an anonymized review link.</t>
  </si>
  <si>
    <t>Section 3.1, Section 3.3, reference [2]</t>
  </si>
  <si>
    <t>Absence: The model is named only and is not dated, the version used or any other settings have not been mentioned. There are no details provided regarding the cost or latency of the model usage.</t>
  </si>
  <si>
    <t>In absence mode the model version, settings, run counts, cost or latency are not reported.</t>
  </si>
  <si>
    <t>whole paper, Section 5.1</t>
  </si>
  <si>
    <t>The cross-validation experiments include a fixed random seed and the code and results produced by the authors are provided in an open source repository with the explicit intent to enable reproducibility; the datasets used are already publicly available in the study this work is built upon. No computational cost, training cost, or inference latency statistics are provided in any part of the paper.</t>
  </si>
  <si>
    <t>Reproducibility from fixed seed and public repo, no cost/latency figures reported.</t>
  </si>
  <si>
    <t>Section 5, reference [18]</t>
  </si>
  <si>
    <t>Computational cost and time to compute token usage are clearly provided separately for code generation, validation, and MCDM plan selection at varying problem sizes (m = 10 to 1000 alternative plans) and both exhibit scale while staying under single-digit-to-15-second latency up to the maximum problem size tested, among the very few that provide any computational cost data in this review.</t>
  </si>
  <si>
    <t>Explicit token/latency numbers for problem sizes, not seen in this review corpus.</t>
  </si>
  <si>
    <t>Table 8, Section IV-B-5</t>
  </si>
  <si>
    <t>Absence: No computational cost or inference latency statistics are provided anywhere in the paper for the process performed by ArchAgent; only context window limits are mentioned as part of the motivation behind the design and never as empirical evaluation of the system.</t>
  </si>
  <si>
    <t>Absence: not supplied cost or latency information of the evaluated pipeline.</t>
  </si>
  <si>
    <t>Cost is broken down into individual components: 1 second each for the RAG request and vector search, 10 seconds for the agent process, insignificant communication between agents, and 45 seconds for every crawled web page, totaling 2-3 minutes for one iteration and 3-4 minutes per 2-3 iterations. The authors highlight the web access and iterative optimization steps rather than the communication among agents as the main sources of the cost and provide specific consumer hardware details.</t>
  </si>
  <si>
    <t>Per component latency reported, Web being the biggest cost.</t>
  </si>
  <si>
    <t>Absence: there is no replication package provided. The authors provide neither code, nor repository, nor the prompt text nor the agent setup and mention only names of the models used without version pinning or the date of access; the only information provided in one small table is the set of parameters (similarity criterion, embedding dimensions, chunk sizes, confidence threshold, iteration limit).</t>
  </si>
  <si>
    <t>The absence of a code, prompt, configuration or repository.</t>
  </si>
  <si>
    <t>Section II, Section III, Table 2</t>
  </si>
  <si>
    <t>The 'Return on Intelligence' principle clearly addresses LLM integration cost as front-loaded human effort during development phase in exchange for effort reduction during operational phase, and clearly specifies when this exchange is unfavorable (simple, repetitive, low intelligence requirement tasks), which is an uncommon case within the literature of this study where a specific situation where the LLM-based approach is not economically justified is specified instead of only mentioning successful cases.</t>
  </si>
  <si>
    <t>Specifics a set of conditions under which the use of LLM approach is not cost effective.</t>
  </si>
  <si>
    <t>Section VI-B</t>
  </si>
  <si>
    <t>Cost is considered a structural risk factor and not just a result. The paper suggests that the number of interactions between agents increases significantly with growing project complexity, resulting in increased computational cost, inference latency and cloud compute cost as well, and mentions outright that for companies with insufficient infrastructure, the multi-agent orchestration process becomes financially unviable unless optimized or distilled. Model invocation repetition is mentioned again in the risk factors section.</t>
  </si>
  <si>
    <t>Multi-agent orchestration is identified as being financially unrealistic at scale, if unoptimised.</t>
  </si>
  <si>
    <t>Sections IV-B, VIII-C</t>
  </si>
  <si>
    <t>Not one word about cost, latency, token, throughput or any hardware performance metric appears, though both cost and latency are explicitly listed as the two main factors in scaling risks in two different sections. Nothing is mentioned about the cost of the illustrated run, the latency, the number of calls, and changes in these metrics as the project size grows. No code, prompt, output and auditing data is released whatsoever.</t>
  </si>
  <si>
    <t>Absence: No cost, latency/throughput number even though the scaling risk is cost.</t>
  </si>
  <si>
    <t>Sections IV-B, VIII-C, IX; would have appeared in Section IX</t>
  </si>
  <si>
    <t>Latency is stated qualitatively and serves as a design constraint in the paper. Results were returned within seconds after each prompt according to the authors, and batch size is shown to be in direct relation to latency and token limits, so batch sizes ranging from 1 to 40 were considered. Delta mode, which does not require regenerating the outputs that already exist, and not requiring the architecture to be read again and re-decomposition are all explicitly justified as saving time and resources.</t>
  </si>
  <si>
    <t>Ignore the latency, use of batching and reuse of output as the levers</t>
  </si>
  <si>
    <t>Sections III-B, V, V-C</t>
  </si>
  <si>
    <t>No cost information is provided, and the configuration is specified incompletely. No version, date or number of tokens is mentioned for the commercial model, nor is there any mention of cost, call count or the actual time taken in seconds for any run, no hardware specification, and no release of the requirement sets, the model file and the reports. In contrast, some generation and processing specifications have been given: a temperature of zero, a chunk size of ten in the specified configuration, batch sizes varied between one and forty in dozens of runs, and a confidence cut-off of eighty percent in the prompt below which the requirement is categorized as miscellaneous.</t>
  </si>
  <si>
    <t>Absence: no cost, no model version, no timing table, partial artefact released;Absence: no cost, no model version, no timing table, some artefact released;</t>
  </si>
  <si>
    <t>Sections III-D, III-I, V; Appendix prompt listing; would have appeared in Section IV</t>
  </si>
  <si>
    <t>Environment is bound to specific versions (Spring Boot 3.2.5, PostgreSQL 15.6, Redis 7.2.4, Kubernetes 1.28.3 and SonarQube 10.4.1 Community Edition), meaning more strict version management than that of the majority of the other papers from this corpus on the issue.</t>
  </si>
  <si>
    <t>Relying on five versions of components in infrastructure.</t>
  </si>
  <si>
    <t>Efforts have been provided in two measures rather than just one – days of elapsed development effort per group and a measure of human effort separately, thus separating the claims about automation efforts from the claim about elapsed time efforts. Table V provides values of human effort at 36, 20 and 8 without specifying units; an improvement of 57 per cent has been specified, however, which is mathematically inconsistent with the figures provided: 36 to 8 is 77.8 per cent and 20 to 8 is 60. The 78 per cent reduction in human effort mentioned in prose corresponds to 36 to 8.</t>
  </si>
  <si>
    <t>Time elapsed + human effort (no units)</t>
  </si>
  <si>
    <t>Section V, Table V, p. 6</t>
  </si>
  <si>
    <t>Neither token count, API cost, inference latency nor compute costs have been provided for the three models used in the experiment. No source code, prompt file, output artifacts or scanning reports have been provided, meaning that no cost and no other output of the experiment has been made available to independent scrutiny.</t>
  </si>
  <si>
    <t>Absence: none of the cost or latency numbers are provided, and no artefacts are released.</t>
  </si>
  <si>
    <t>The two replication packages are deposited with persistent identifiers, and their contents are listed: code, baselines, evaluation data, prompts, LLM responses and results, concerning both the previous conference submission and this extension thereof.</t>
  </si>
  <si>
    <t>Two citable replications of the following: Code, Prompts, Raw responses and Results</t>
  </si>
  <si>
    <t>Section 1; Data Availability Statement; references [20], [21]</t>
  </si>
  <si>
    <t>Reproducibility is considered to concern the selection of models as well as artefacts: locally installed open-source models are considered together with API models, and it is mentioned that data leakage cannot be ruled out for the latter models, as the training data of the closed models is not known, providing at least one reason for the former models.</t>
  </si>
  <si>
    <t>Partly as a reaction to closed-model training data which cannot be verified locally, locally deployable models evaluated.</t>
  </si>
  <si>
    <t>Cost, token count, runtime or latency is not provided for any of the eleven models, including the locally installed models, for which the hardware considerations are the practical justification for using them.</t>
  </si>
  <si>
    <t>Absence: None; the absence of any cost or token or runtime figures for any model.</t>
  </si>
  <si>
    <t>Resource cost is provided in a table, instead of being omitted, with details about node count, branch count, wall-clock time, and total token consumption in both evolution phase and tested workflow, something most of the references do not provide in their papers.</t>
  </si>
  <si>
    <t>Total number of nodes and branches, total number of time and token in evolution and final workflow</t>
  </si>
  <si>
    <t>Section 4.2, Table 2</t>
  </si>
  <si>
    <t>Cost accounting is limited to a degree but does exist: in Table 2 the evolution phase and test phase are put side-by-side: 210 seconds and 361 thousand tokens for training through evolution versus 621 seconds and 349 thousand tokens for testing, along with node and branch numbers for both. What is omitted is any cost breakdown into operations performed, the number of candidate architectures created, the number of tokens used on errors analysis compared to suggestions generation, or anything like that, nor is any code, evolved workflow, or prompt provided.</t>
  </si>
  <si>
    <t>Phase-level time and tokens reported; the search cost is not broken down</t>
  </si>
  <si>
    <t>Section 4.2, Table 2, p. 8</t>
  </si>
  <si>
    <t>Cost is justified not from the computation perspective but from the project economic one: manually designed architectures are described as resource-costly and time-consuming, and the automated process as cost-effective and fast.</t>
  </si>
  <si>
    <t>Cost is a project economics argument, not compute, latency.</t>
  </si>
  <si>
    <t>Abstract; Sections 1, 3</t>
  </si>
  <si>
    <t>Absence: no latency, token, hardware or monetary figures, and nothing which would allow for reproduction of the setup: no vector store, no corpus and no configuration is mentioned, nor a model name for the model used. However, a model name appears once in the feedback-loop illustration, which shows a training pipeline from a publication rather than describing the setup in the current work. Our copy of the chapter is a scanned version of 10 out of 15 pages of the printed version of the chapter, pages 335 to 349, namely 339, 340, 346, 347 and 349 are absent, which means sections 4.2 and all of 6 and 7, plus the end of the reference list.</t>
  </si>
  <si>
    <t>Absence: no cost, latency or reproducible setup</t>
  </si>
  <si>
    <t>whole chapter</t>
  </si>
  <si>
    <t>Cost is claimed entirely from the perspective of the practice being replaced: manual attack scenario derivation is the costly and expert process, and automation the solution that will eliminate that cost.</t>
  </si>
  <si>
    <t>Cost expressed as the cost when attacking with a manual derivation of the attack scenarios.</t>
  </si>
  <si>
    <t>Sections III P3, V</t>
  </si>
  <si>
    <t>Absence: No cost, latency, model, tooling or configuration associated with the proposed method is considered at all, and thus the economic feasibility of implementing that method against the manual method it replaces cannot be determined.</t>
  </si>
  <si>
    <t>Absence: No cost or configuration for proposed approach.</t>
  </si>
  <si>
    <t>Absence: No model is specified and no cost, latency, or configuration value is provided anywhere in the entire paper, or indeed anywhere in the three case studies. The generative model is described as an LLM agent consistently in the paper, but no model, version, provider, temperature, context setting, token count, cost, or call count appears anywhere in the paper, nor in the three case studies. The single piece of cost-related information provided in the paper is explicitly qualitative and not quantitative, the caption noting that the trendlines shown do not provide actual quantitative values.</t>
  </si>
  <si>
    <t>Absence: No model named and no cost, latency or reproducibility figure is found anywhere.</t>
  </si>
  <si>
    <t>Sections IV-B, V, VI-B, Figure 10 caption; would have appeared in Section V</t>
  </si>
  <si>
    <t>The contribution lies in a chain of prompting with conditional branches and an evaluation gate following each prompt, instead of a single prompt.</t>
  </si>
  <si>
    <t>Multi-step conditional chain is an alternative to single-prompt use.</t>
  </si>
  <si>
    <t>4.1 From single-prompt assistance towards agentic and multi-agent architecting</t>
  </si>
  <si>
    <t>T4. Emerging Trends</t>
  </si>
  <si>
    <t>No signal</t>
  </si>
  <si>
    <t>Section 8, Section 8.1</t>
  </si>
  <si>
    <t>T4: emerging trend</t>
  </si>
  <si>
    <t>The two architects independently request that the fixed sequence be changed to an interactive dialogue with further questions and the authors agree in their future work with respect to this, suggesting a departure from the idea of a fixed prompt sequence.</t>
  </si>
  <si>
    <t>Fixed sequence moved in direction of interactive dialogue</t>
  </si>
  <si>
    <t>Explicit</t>
  </si>
  <si>
    <t>The framework used by the authors is that current architectural work is based on fixed-model prompting and is lagging behind code agents, and that architectural tools need to be transformed into design agents which will have autonomy and tool usage, multiple agents working together to address different needs being mentioned as the next step.</t>
  </si>
  <si>
    <t>Stand alone prompting replaced by design agents</t>
  </si>
  <si>
    <t>Section I, Section V, Section VI</t>
  </si>
  <si>
    <t>Absence:  A single assistant takes care of prompts in an editor. There is no mention of any agent, orchestration or delegation.</t>
  </si>
  <si>
    <t>Absence: An absence of agency, multi-agency direction</t>
  </si>
  <si>
    <t>Absence: the study invokes one model through an API. There is no mention of an agent, tool use, delegation or orchestration in either the study or the directions the authors lay out.</t>
  </si>
  <si>
    <t>Absence: No control or agency by one or more agents</t>
  </si>
  <si>
    <t>Absence: all configurations consist of a single model invocation per record. There is no mention of an agent, tool use, orchestration or delegation in either the study or the directions the authors indicate their work is heading toward.</t>
  </si>
  <si>
    <t>Absence: No agentic or multi-agent direction</t>
  </si>
  <si>
    <t>It is proposed that the proposed process explicitly alternates automatic generation and manual refinement over three stages (the domain model, architecture candidates and final selection) instead of generating an architecture from one invocation.</t>
  </si>
  <si>
    <t>Three stages of explicitly interleaved generation and human refinement.</t>
  </si>
  <si>
    <t>The pipeline consists of a four-step protocol with task-specialized copilots, optionally with a question-and-answer task, conducted by a senior architect who can intervene at certain points to provide input or refine output. This is a set process instead of agents which can plan and delegate, and the authors describe the tool as experimental and not heading toward autonomy.</t>
  </si>
  <si>
    <t>A human intervention points-based fixed task pipeline, not Autonomous agents</t>
  </si>
  <si>
    <t>Section 3.1, Section 3.3</t>
  </si>
  <si>
    <t>Unlike the generative approach taken by the existing systems, the suggested system is built around the concept of two chained processes - extraction and retrieval, with the former broken down into four separate sub-processes executed by different components.</t>
  </si>
  <si>
    <t>The whole system was carefully broken into sequential multi-step process.The overall system was carefully divided into cascaded multi-step processes.</t>
  </si>
  <si>
    <t>Section IV, Figure 1, Figure 2</t>
  </si>
  <si>
    <t>Absence: In both controlled experiments and the survey there is no mention of agents, orchestration or delegation; none of those is included in the list of future expectations asked about in a research aimed at recording the existing practices and expectations for the future.</t>
  </si>
  <si>
    <t>Absence: no agentic or multiple agentic direction</t>
  </si>
  <si>
    <t>The collaboration suggested by the authors is based on three separate processes of architecting (analysis, synthesis and evaluation), which have been borrowed from the architecting process, developed on the basis of five industrial approaches, and performed as separate steps of one single dialogue, rather than a generative request.</t>
  </si>
  <si>
    <t>A process was broken down to three sequential architecting activities.</t>
  </si>
  <si>
    <t>Section 2.1, Section 2.2, Figure 2, Figure 3</t>
  </si>
  <si>
    <t>According to the authors, within the domain of software architecting the application of AI technologies in general and development bots in particular has been reduced only to answering questions or providing recommendations concerning erosion and maintenance of architectures, and there is no research studying the application of these bots in the architecting process.</t>
  </si>
  <si>
    <t>The authors mention that current bots are limited to the question and answer/Recommendation area.</t>
  </si>
  <si>
    <t>Absence: in terms of the approach, a single fine-tuned classifier is applied just one time per artefact of code; there is no agent framework, no tool orchestration, and no multi-agent/multi-stage architecture throughout the entire pipeline, contrasting with the multi-step and multi-agent architectures employed elsewhere in the corpus.</t>
  </si>
  <si>
    <t>Absence: single shot classifier (no agentic/multi-step architecture)</t>
  </si>
  <si>
    <t>Absence: neither agent framework nor multi-agent architecture is used; both modules are single LLM calls (the latter followed by validation call) orchestrated in a conventional manner without any agent framework.</t>
  </si>
  <si>
    <t>This solution requires a conventional code to call the single/dual LLM and does not involve an agent framework.</t>
  </si>
  <si>
    <t>Section III, Section IV-A</t>
  </si>
  <si>
    <t>The framework positions itself as a 'hybrid agent framework' including four distinct agents powered by LLMs and chained into a pipeline (File Summarizer, Repo Manager, Readme Generator, Architect), each visually distinct in the architecture diagram of the paper from the deterministic 'Tool' and raw 'Data' components being coordinated by the agents.</t>
  </si>
  <si>
    <t>Visual representation of explicit multi-agent pipeline, where the agents are visually different from the tools and data.</t>
  </si>
  <si>
    <t>Abstract, Section 3, Figure 1 legend</t>
  </si>
  <si>
    <t>The paper supports the multi-agent turn explicitly and includes its table, presenting single-model architectures as restricted by the nature of static modules and content-based inference, and stating that the specialisation should be accompanied by the freshness of evidence, factual grounding, and decision calibration.</t>
  </si>
  <si>
    <t>Multi-agent specialisation as a means to reliability, in contrast to single-model baselines</t>
  </si>
  <si>
    <t>Multi-agent design is advocated as a universal method of handling task complexity throughout the paper; the task is broken down into sub-tasks and specialized agents are given responsibility for performing them, while each of the three case studies implements a distinct role decomposition, such as a Manager-Operator hierarchy, a Manager-Operator-Summarizer triad and a four role sequence of Observation, Reasoning, Decision-Making and Summarization which runs repeatedly through the simulation (see 1.5). The clear principle of multi-agent design advocated by the authors is that not all sub-tasks require agents to perform them; calculation, information access, path-finding and specialized coding are performed by software systems invoked by agents, since these functions are better executed this way.</t>
  </si>
  <si>
    <t>Three decompositions of roles in each case study; clear principle that not all sub-tasks require an agent.</t>
  </si>
  <si>
    <t>Section IV-B; Sections V-A, V-B, V-C</t>
  </si>
  <si>
    <t>As an explanation for the move towards multi-agents, the ceiling of the single model is cited, where according to the paper, the general incapability of the single model to cope with the entire lifecycle has been responsible for the move from the single model to the agentic models, where specialised agents are deployed in an ecosystem controlled by a supervising agent.</t>
  </si>
  <si>
    <t>Single-model insufficiency as an explicit reason for role-specialised agents' decomposition.</t>
  </si>
  <si>
    <t>Sections I, V-B</t>
  </si>
  <si>
    <t>The proposed solution is set against coding assistants rather than against agent-based systems. As per the paper, assistants changed the implementation stage, whereas they do not have any understanding of the earlier stages, and they work on one file or snippet at a time. Thus, the target area of the contribution is the pre-coding problem, where the context of the entire project should be kept from the stage of specification through the plan and architecture. It is argued with the help of automation imbalance, where deployment and testing have been automated, while requirement and design are barely automated.</t>
  </si>
  <si>
    <t>The rest of the early life cycle that file-scoped assistants can't get to.</t>
  </si>
  <si>
    <t>Sections I, III</t>
  </si>
  <si>
    <t>Unlike the other sources in the corpus, which are part of the agentic turn, this source opposes the trend. There is no agent here, no delegation, no autonomy and no orchestration approach: there is an established protocol of six processes, where a human architect uses a Python task runner to make methodical calls to a questioned model service. The reasoning for this is that results should be verifiable, reproducible and certifiable in the safety and mission critical applications and generative models are inherently unable to do so.</t>
  </si>
  <si>
    <t>A human-operated protocol designed and selected in preference to agency, because of certifiability requirements</t>
  </si>
  <si>
    <t>Sections I, III-B, III-I</t>
  </si>
  <si>
    <t>The paper is definitely on the agentic turn track and provides definitions to the concept: agentic AI systems are autonomous agents who plan, generate and validate software artifacts, multi-agent workflow is their joint implementation for specialized purposes and agent-based approach is the generic one.</t>
  </si>
  <si>
    <t>Agentic AI and multi-agent workflow/agent-based approach explicitly defined</t>
  </si>
  <si>
    <t>The idea of agency goes beyond just writing the code, as agents run the validation pipeline via GitHub Actions: performing testing, quality checks and security scans, as opposed to giving artefacts to humans to run.</t>
  </si>
  <si>
    <t>The concept of agent authority was not limited to CI/CD generation, but was also applied to CI/CD execution.</t>
  </si>
  <si>
    <t>Abstract; Section I; Section III-C</t>
  </si>
  <si>
    <t>The system is a pipeline in stages, where the model calls are preceded and followed by deterministic processing, where extraction leads to entity recognition, leading to line mapping and similarity matching, leading to heuristic link recovery, and where the contribution of each stage is individually measured.</t>
  </si>
  <si>
    <t>A modelling approach of staged pipeline between deterministic processing steps.</t>
  </si>
  <si>
    <t>Section 1; Section 4; Section 5.5</t>
  </si>
  <si>
    <t>No agency exists anywhere in the process. No model plans, chooses a tool, corrects itself or works with another model; the exact order of steps is pre-defined by the authors and does not change from one project to another.</t>
  </si>
  <si>
    <t>Absence: failure to plan, use tools, to self-revise or to inter-model within the model.</t>
  </si>
  <si>
    <t>Here we have the most explicit example of agentic trajectory becoming reflexive in the form of a multi-agent system that is not only composed of agents but is something a model is designed to create as the authors appeal to neural architecture search and claim that only automated agent architecture design will enable these systems to adapt to environmental changes.</t>
  </si>
  <si>
    <t>Architecture design automatically done by multi-agent design itself, explicitly analogized to architecture search.</t>
  </si>
  <si>
    <t>Section 1, Abstract</t>
  </si>
  <si>
    <t>The claimed problem is the rigidity of manually developed agent systems: current multi-agent approaches are presented as static architectures created by domain experts, which work well under certain conditions but are difficult to alter in case of progress in technique or appearance of new data types, as well as necessitate development anew for each particular task.</t>
  </si>
  <si>
    <t>The work should exist only to remove a hand-crafted static agent workflow named as the “bottleneck.”</t>
  </si>
  <si>
    <t>Section 1, Section 2.1</t>
  </si>
  <si>
    <t>It becomes apparent that this work is part of a noticeable trend towards self-improving agent systems as the authors mention self-evolving collaboration networks, automatic generation of agents, and graph searches on execution paths as direct neighbors of the subject of this corpus.</t>
  </si>
  <si>
    <t>Located in a dynamic line of evolving and automatically created agent systems</t>
  </si>
  <si>
    <t>Section 2.2</t>
  </si>
  <si>
    <t>Absence: no agency or multi-agent architecting. In this proposal, one single assistant aids the human-driven process without the presence of an autonomous agent, without the use of tools and without delegation between agents. Our version of this chapter consists of a scan of 10 pages out of the 15 pages that make up this chapter, numbered 335 through 349; we do not have pages 339, 340, 346, 347 and 349, which make up part of section 4.2, all of sections 6 and 7 and the end of the reference list. The absence in question is thus documented on the pages at our disposal and does not constitute an absence for the entire chapter.</t>
  </si>
  <si>
    <t>Absence: No agentic or multi-agent architecting</t>
  </si>
  <si>
    <t>Absence: no agency or multi-agent: one single generation step is proposed within a fixed pipeline.</t>
  </si>
  <si>
    <t>Abandonment and lack of an agentic or multi-agent architecting.</t>
  </si>
  <si>
    <t>Absence: generation of class and sequence diagrams is referenced in the related work as being done by other people using generative AI. In this study, no model or artefact, nor any transformation is created.</t>
  </si>
  <si>
    <t>Absence: No model driven engineering and no formal artefact.</t>
  </si>
  <si>
    <t>4.2 Integration with model-driven engineering and formal artefact generation</t>
  </si>
  <si>
    <t>whole paper, Section 2</t>
  </si>
  <si>
    <t>Absence: there is nothing linking the method to model-driven engineering. No UML, metamodel, transformation or machine readable design artefacts are created or consumed; all inputs and outputs in the paper are prose.</t>
  </si>
  <si>
    <t>Absence: No Modelling engineering, No Formal artefact</t>
  </si>
  <si>
    <t>The future work states that it involves the development of the tree-search algorithm for capturing the design activities, inputs and outputs of the known design methods, for example, Attribute-Driven Design, as well as the integration of the agent-based tooling with architecture search engines and solvers.</t>
  </si>
  <si>
    <t>The integration with existing design methods and solvers is planned.</t>
  </si>
  <si>
    <t>This one step toward model driven material is described as future work: future work will involve sourcing context from other decision logs, architectural knowledge artefacts like design diagrams, and the source code. There is no model driven creation or consumption in this particular study.</t>
  </si>
  <si>
    <t>Absence: no agency or multi-agent: a single generation step is suggested for a fixed pipeline.</t>
  </si>
  <si>
    <t>According to the authors, the process involves combining model generated information with source-code information, where processes involved are completely different, and using architectural models and diagrams in order to demonstrate how a strategy is actually implemented in code, thus taking the generative output as one source of information into a well-established source code analysis process.</t>
  </si>
  <si>
    <t>Model output as one input to existing analysis tooling.</t>
  </si>
  <si>
    <t>Output is purposely sought in standard textual diagram languages so that the end product is directly plugged into an existing modelling and diagram generation workflow.</t>
  </si>
  <si>
    <t>The output generated for the existing modelling toolchains.</t>
  </si>
  <si>
    <t>Section VII, Section VIII</t>
  </si>
  <si>
    <t>Known architectural representation formalisms such as the 4+1 view model and Palladio Component Model are mentioned explicitly as the intended target representations because they allow quantifiable evaluation and transformation between the representations, instead of producing free text.</t>
  </si>
  <si>
    <t>Established formalisms targeted to enable quantitative evaluation and conversion</t>
  </si>
  <si>
    <t>The produced records are intended for the known MADR (Markdown Architectural Decision Record) template instead of free text output.</t>
  </si>
  <si>
    <t>The following is a copy of the established MADR template.The following is a copy of the MADR template that has been established.</t>
  </si>
  <si>
    <t>The extracted knowledge is intended for known architectural representations, such as UML diagrams and decision records in text format, and the validity of this knowledge should be validated by the verifier using formal methods, instead of producing free text.</t>
  </si>
  <si>
    <t>Established representations for the target applications and verification can be based on formal methods.</t>
  </si>
  <si>
    <t>The output is deliberately contextualized within the system, container and components aspects of the well-known C4 model, as opposed to the architecture description that can be in free text.</t>
  </si>
  <si>
    <t>The output is based on the defined C4 view model.</t>
  </si>
  <si>
    <t>Section IV-A, Section IV-B</t>
  </si>
  <si>
    <t>The generated artefacts are deliberately presented in formalisms other than plain text: The generation of the UML class and component diagrams in form of diagram markup script with architecture description languages presented as the alternative, where the architecture description is rooted in a well-known international architecture description standard, and the evaluation method is chosen based on scenarios. UML is argued with respect to documentation, usability, variety of diagrams, tools and wide adoption.</t>
  </si>
  <si>
    <t>Give deliberately designed output for set modelling and evaluation formalisms.</t>
  </si>
  <si>
    <t>Section 2.1, Section 2.2, Section 3.3</t>
  </si>
  <si>
    <t>The model-driven approach input occurs only once, in the form of a suggested enhancement rather than a means of implementation: converting code into text using methods like code2seq is mentioned as one potential solution to improve the approach, keeping in mind that inaccurate transformations may affect the result negatively due to fault propagation. No models, metamodels, or other formal artefacts are generated or consumed during this process.</t>
  </si>
  <si>
    <t>Proposed model driven pre-processing as an improvement, stating risk</t>
  </si>
  <si>
    <t>Section 5, p. 6</t>
  </si>
  <si>
    <t>Absence: there is no formal language for describing an architecture, nor is there a model-driven engineering artefact, or an architectural formalism aimed at. The output of the DMG module is evaluation code which is executable, rather than a modelling artefact.</t>
  </si>
  <si>
    <t>Absence: No formal modelling artefact aimed at –</t>
  </si>
  <si>
    <t>Section III-A</t>
  </si>
  <si>
    <t>The generated diagrams are generated in the Mermaid flowchart grammar, in order to allow for automatic combination of the partially generated diagrams by group, into one whole system diagram.</t>
  </si>
  <si>
    <t>Process output specializing on Mermaid grammar, for mechanical merging of partial diagrams.</t>
  </si>
  <si>
    <t>The first component in the pipeline is geared towards obtaining a formal artifact: normalization of clinical text, entities extraction, relations extraction, and mapping of all identified concepts to codes in international ontologies, such as SNOMED CT or ICD-10 and then emitting it as JSON data in schema form. It is the formal artifact that is exchanged between components of the pipeline.</t>
  </si>
  <si>
    <t>Structured output as an inter-agent interface is coded by ontology and follows a schema.</t>
  </si>
  <si>
    <t>Digital twins in Case Study A have been implemented by using Asset Administration Shell (AAS), which is an existing formal standard for industrial assets. In Case Study B, digital twins have been implemented using OPC UA and ROS, which are existing industrial communication protocols. Hence, the proposed LLM architecture extends upon existing formal industry standards and middleware.</t>
  </si>
  <si>
    <t>Developed on proven formal industrial standards, not in their place (AAS, OPC UA, ROS)</t>
  </si>
  <si>
    <t>Section V-A, Section V-B</t>
  </si>
  <si>
    <t>The pipeline consists of an increasing set of artefacts in the level of formalisation, each machine-readable for the following step. The free text of the stakeholders is semantically parsed, entities recognised and intent classified to produce structured, machine-readable data; which is then made into a specification, carried from agent to agent in a structured interchange format; the specification and the plan are turned into design documents; and the design agent not only creates design documents but also machine-readable representations of the architecture diagrams aimed at driving the automated production of component visualisations and their interrelation, finally producing the documents in office format.</t>
  </si>
  <si>
    <t>A formalization chain of free text, structured interchange and code ready diagram descriptions</t>
  </si>
  <si>
    <t>Sections V-A, VI-A, VI-C, VI-E, Fig. 1</t>
  </si>
  <si>
    <t>The integration with model-driven engineering is the structural contribution of the paper, and not assumed. It states the general problem of the need of making model-based engineering primarily graphical, the use of diagrammatical notations to capture the structure, behaviour, flow and logic with formal syntax, and the necessity to translate it to alphanumeric representation prior to being able to process it in a language model at all, and from it chooses the modelling language on the basis of its textual notation in semantic synchronization with the diagrammatic one.</t>
  </si>
  <si>
    <t>Modelling-language choice driven by model-driven integration represented as a representation problem.</t>
  </si>
  <si>
    <t>An ontology for the domain is developed and made public as the conceptual basis, and it makes a substantive commitment, as opposed to a definitional one. In addition to classifying requirements into safety requirements and then specializing the safety requirements as either functional or probabilistic, it defines a subsystem to be safety critical if it is able to own safety requirements, and maintains that functional subsystems can be safety critical, as well as specialized safety subsystems. The result, according to the paper, is clear: “This places safety as a functional attribute of the architecture, and not an external perspective, which allows safety requirements to be owned by functional parts of the architecture.”</t>
  </si>
  <si>
    <t>An ontology to make safety properties of functional architecture, not separate view</t>
  </si>
  <si>
    <t>Section III-A, Figure 2</t>
  </si>
  <si>
    <t>This framework is self-descriptive in terms of the same formalism used to consume data. The entire meta-model is provided in terms of a textual object-process specification, which defines the objects, the processes, and the requires and yields relationship amongst them; initialisation, which yields the requirements list and the model client; classification, which requires the requirements list and the subsystem list; contradiction and duplication detection, which require the classification report and their individual instruction sets; and coverage gap analysis, which requires the subsystem list and the classification report.</t>
  </si>
  <si>
    <t>The framework is described using the same formal notation as the systems that are being analyzed.</t>
  </si>
  <si>
    <t>Section III-B, Appendix A, Figure 3</t>
  </si>
  <si>
    <t>The design models are created and subsequently consumed: class, entity, and sequence diagrams are extracted from the requirements and stored as Markdown and then used as constraints for the code implementation, resulting in generate-then-conform-to approach for design artifacts.</t>
  </si>
  <si>
    <t>Design diagrams created which were then bound into a design input to code generation.</t>
  </si>
  <si>
    <t>Section IV (sample prompt and Fig. 4 discussion)</t>
  </si>
  <si>
    <t>The artifacts are Markdown text and not some formal language. There is no metamodel, no schema, no transformation, none of the diagrams are machine-verifiable, and there is no verification of the conformity of the generated code to the generated diagrams whatsoever.</t>
  </si>
  <si>
    <t>Absence: no metamodel, informal Markdown with no checkable semantics</t>
  </si>
  <si>
    <t>The artifact being generated is a model in the model-driven sense and consumed as such: component names are a simple architectural model which is used by the downstream model-driven tool instead of a manually-created one.</t>
  </si>
  <si>
    <t>The generated component names are used as a model fed to a model-based tool-chain.</t>
  </si>
  <si>
    <t>Section 3; Section 3.3</t>
  </si>
  <si>
    <t>The adequacy of the generated model is argued on the grounds of model theory rather than likeness: the authors resort to general model theory saying that a model's purpose decides what should be included into it, using model theory to justify why a model that performs poorly as a description performs well in solving the task it was designed for.</t>
  </si>
  <si>
    <t>Model adequacy from purpose via general model theory instead of fidelity</t>
  </si>
  <si>
    <t>The architecture is a formal artifact all the way through: workflows are represented as graphs whose nodes are typed (basic nodes bear role prompt, task prompt and a description, tool nodes bear tool bindings) and edges define the execution order, giving rise to a model that has attributes of nodes explicitly declared to work with rather than loose text.</t>
  </si>
  <si>
    <t>Architecture as a typed attributed graph having defined node schemas.</t>
  </si>
  <si>
    <t>Section 3.1, Figure 2</t>
  </si>
  <si>
    <t>Absence: the formalization ends up with just the shape of a graph. There is no metamodel, no semantics for what a node means except for its prompt text and no verification that the evolved workflow solves any specific problem; all that the integrity checks guarantee is that the graph is executable.</t>
  </si>
  <si>
    <t>Absence: Shape of graph formalized, no semantics, no correctness verification</t>
  </si>
  <si>
    <t>The model is based on a structured approach for design as opposed to a free approach; the sequence of steps and the input/output artifacts in this approach define the structure that the model should have.</t>
  </si>
  <si>
    <t>The design method was broken down into segments of the artefact, and automated.A staged artefact driven design method was automated.</t>
  </si>
  <si>
    <t>Absence: lack of any specific artifact as the product of this modelling process: no notation, description language, diagramming notation or coding result is cited as the form that would result from the generation of the architecture. We have a copy of this chapter in the form of a scanned 10 out of 15 pages (335 to 349) of this chapter, but pages 339, 340, 346, 347 and 349 are missing: this is a partial chapter and our absence concerns only those pages we have.</t>
  </si>
  <si>
    <t>Absence: Output should be absent; no formal artefact or notation specified.</t>
  </si>
  <si>
    <t>It is model-driven by design since an architectural model is its input and the idea that any language capturing structure and behaviour can be used implies that the contribution lies in model-driven engineering rather than alongside it.</t>
  </si>
  <si>
    <t>In the whole approach, the formal architectural models are required as input.</t>
  </si>
  <si>
    <t>Threat-modelling artifacts, attack trees in particular, are put forward as the intermediate formalization between the architectural model and the generated test cases.</t>
  </si>
  <si>
    <t>The attack trees suggested as the intermediate formal artefact</t>
  </si>
  <si>
    <t>Section IV-B, Strategy 1</t>
  </si>
  <si>
    <t>It is claimed that a combination of AI and human judgment in required where the architect needs to confirm the technical assumption in order to make a decision.</t>
  </si>
  <si>
    <t>Architect's role shifts towards validating model output</t>
  </si>
  <si>
    <t>4.3 Human-AI collaboration and the changing role of the architect</t>
  </si>
  <si>
    <t>The interaction between the architect and the model was defined as iterative refinement, increasing the knowledge of the architect about trade-offs involved.</t>
  </si>
  <si>
    <t>An iteration that is expressed as a building architect understanding</t>
  </si>
  <si>
    <t>The very experiment design places the architect into the role of evaluator – for each generated pattern, the architect should determine whether it would have been valuable, what coincides with the actual decision, and what is disagreed upon.</t>
  </si>
  <si>
    <t>The Model output is evaluated by the Architect as the evaluator.</t>
  </si>
  <si>
    <t>Section 3.2, Table 1</t>
  </si>
  <si>
    <t>After having transitioned to an agent that does not depend on human commands anymore, the authors are going to provide for a few opportunities for human input to make sure the agent operates on its own until it asks the designer for clarification.</t>
  </si>
  <si>
    <t>Autonomy first then human intervention points added back</t>
  </si>
  <si>
    <t>Section I, Section VI</t>
  </si>
  <si>
    <t>The suggested use is to help document and formulate decisions, the architect being kept in the loop since no complete decisions can be made without her.</t>
  </si>
  <si>
    <t>Assistance with documentation, architect retained in the loop</t>
  </si>
  <si>
    <t>Section VI-A</t>
  </si>
  <si>
    <t>Some of the future research work that is planned is conducting experiments in vivo with architects on their actual projects to see whether automatic record keeping would be used in practice.</t>
  </si>
  <si>
    <t>In vivo studies with practicing architects planned</t>
  </si>
  <si>
    <t>The reported conclusion is that the quality of answers is only moderate and the need for engineering validation is there, and the per-concept results of this particular study point out to where this validation should happen.</t>
  </si>
  <si>
    <t>The concept of the obligation to verify was shifted from a blanket obligation to verifying concepts.</t>
  </si>
  <si>
    <t>Section IV, Section V-B</t>
  </si>
  <si>
    <t>In this approach, the human contribution consists of classifying the requirements, crafting and developing the prompts, and scoring the output with respect to the reference. The paper describes these steps impersonally and does not introduce the architect into those processes, so the difference lies in the focus of the effort rather than the identity of the person performing the task.</t>
  </si>
  <si>
    <t>Human-side work is moved to categorizing, prompting and scoring.</t>
  </si>
  <si>
    <t>The architect should examine and develop the domain model and use case scenarios by means of further prompts, and similarly develop the architecture options or ask for more such options to be crafted at each stage except for the final one.</t>
  </si>
  <si>
    <t>Architect fine tunes output through prompts throughout the process until the final selection</t>
  </si>
  <si>
    <t>Section 3.1, Section 3.4</t>
  </si>
  <si>
    <t>The whole process of architectural design described in the paper is described using the Mind1-Mind2 approach to architectural reflection, with the human playing the Mind1 part and the copilots performing the Mind2 task, with the human being able to interrupt the process and rewrite the result at each step.</t>
  </si>
  <si>
    <t>The human-AI roles are clearly defined on the basis of an existing reflection model</t>
  </si>
  <si>
    <t>"The authors believe that these assistants may become valuable extensions of the architects' capabilities to explore large design spaces by automating certain decision making and documentation procedures without replacing their judgment," the paper declares.</t>
  </si>
  <si>
    <t>Highlighted as an extension of exploration ability, rather than an elimination of judgment</t>
  </si>
  <si>
    <t>Ease of use is highlighted among just four design requirements, prompted directly by the claim that current architectural knowledge management systems are underused due to the manual work they require from architects.</t>
  </si>
  <si>
    <t>Manual tools are not used, so usability is raised to a key requirement.</t>
  </si>
  <si>
    <t>Generating various responses depending on who asks about the same underlying knowledge depending on whether the questioner is an architect, developer, beginner, tester or project manager becomes necessary in order for this knowledge to be relevant and actionable for the questioner."</t>
  </si>
  <si>
    <t>Different knowledge presented the same way, based on the role of the human asking.</t>
  </si>
  <si>
    <t>According to the authors, if implemented in engineering practice, the role of the architect changes from generating design solutions based on first principles to iterative experimentation and evaluation of the alternatives generated, while visualization allows the architect to go deeper into those solutions that seem promising.</t>
  </si>
  <si>
    <t>The role of architect – filtering generated alternatives instead of 'deciding from scratch'.</t>
  </si>
  <si>
    <t>The danger in this process mentioned by the authors is that architects might start accepting proposed solutions without critical thinking due to less effort needed and less responsibility assumed, and the authors say that this would negatively affect the quality of the resulting system and the capability of the architect to innovate.</t>
  </si>
  <si>
    <t>Lack of critical acceptance of suggestions which are alleged to be harmful to quality and to the architects own innovative thinking.</t>
  </si>
  <si>
    <t>The related work section mentions a position expressed in cited literature regarding software engineering solutions needing to preserve the intelligence equilibrium that would unify and balance machine intelligence and human intelligence in processes, patterns, and tools, and the authors adopt this position in their paper.</t>
  </si>
  <si>
    <t>The ability of machines to become intelligent enough to match human intellect, Intelligence equilibrium</t>
  </si>
  <si>
    <t>Architecture design is said to be undertaken through one of three methods; automatic generation of requirements by the model, manual generation of requirements by the architect, or ongoing dialogue between the two to alter or refine requirements, thus making the level of human involvement a deliberate part of the process.</t>
  </si>
  <si>
    <t>Three different approaches to the requirement articulation are introduced, ranging from humans to humans.</t>
  </si>
  <si>
    <t>Absence: no human is brought into the loop, nor is any change in the work of the architect discussed. The lone architect makes an appearance in the bibliography only once.</t>
  </si>
  <si>
    <t>The architect’s role and close collaboration with humans remain the same: absence.The architect's role and close collaboration with humans remain unchanged – absence.</t>
  </si>
  <si>
    <t>The human 'system supervisor' is the author of the natural language instructions which drive the operation of both modules (metrics system prompts, trade-off system prompts); the LLM does the work of reconfiguring and justification – this division of roles is explicit and keeps the human in charge of the specification of intentions and not of coding or parameter tuning – quite a departure from the traditional human-DSS adjustment shown in the human baseline 19.8 example.</t>
  </si>
  <si>
    <t>Human is no longer required to tune the parameters, but instead can specify intent in natural language.</t>
  </si>
  <si>
    <t>Section III-A, Section III-B, Section IV-C</t>
  </si>
  <si>
    <t>The human role in both evaluations is entirely limited to that of an evaluator or rater of the already produced diagram (30 senior engineers rating outputs based on ground truth documentation or knowledge from their own repository) and not that of a co-designer who interacts with and modifies the produced architecture; no iterative refinement loop of human and model is mentioned in the paper.</t>
  </si>
  <si>
    <t>Human role is evaluative/rating – no inter-active co-design/co-refinement loop described</t>
  </si>
  <si>
    <t>The relationship between the system and the clinician is specified as one of partnership, not substitution: the system is presented as one that helps the physician through his cognitive schema of synthesis of the complex presentation and linking of the symptoms to the evidence base, with the purpose of reducing the risk of diagnostic error through cognitive overload.</t>
  </si>
  <si>
    <t>Framed as a partner that helps to reduce cognitive overload, and the clinician then making the decision.</t>
  </si>
  <si>
    <t>Section IV, Section V</t>
  </si>
  <si>
    <t>Auditability is proposed as the cornerstone of such partnership: each generation is augmented by the source documents used, possible sources of variability and a calibrated level of confidence, every interaction is logged, and the long-term goal is assistance that not only gives the solution but explains its derivation.</t>
  </si>
  <si>
    <t>All runs have sources, variation and confidence with auditable logs for clinician review.</t>
  </si>
  <si>
    <t>Section II-A-5, Section III</t>
  </si>
  <si>
    <t>One aspect of the UI design which appears again and again in the paper is that a chatbot front-end allows for the execution of tasks and checking of the system's status using natural language and the final results require 'proper user validation' (Figure 6). In other words, the human is not only the recipient of the results produced by the system but an integral part of the process of task solving.</t>
  </si>
  <si>
    <t>Human validation is an essential component of every cycle of task-solving, not a validation check.</t>
  </si>
  <si>
    <t>Section IV-B-1, Section IV-B-4, Figure 6</t>
  </si>
  <si>
    <t>It is described in the paper as a necessary rather than preferred condition, and the reason is clear. The hallucinations in the audit were found and fixed by humans. According to the paper, it is necessary to include human validation into the system in order to allow experts to check and adjust generated outputs so that they can move to further stages of the process, and human validation will remain necessary until the validation loop becomes automated.</t>
  </si>
  <si>
    <t>Human validation is placed as being required at this time since automated check is not yet available</t>
  </si>
  <si>
    <t>Sections IV-C, VIII-D, IX-C</t>
  </si>
  <si>
    <t>This interface is used for supervision and not just as an input device. Stakeholders impose conditions like budget and technology preferences before the process starts, watch the results of the agents in the middle of the process as they are produced, and fine-tune the output of the system, and this is claimed to be the very reason why the system is adaptive and offers quality assurance and increases speed simultaneously.</t>
  </si>
  <si>
    <t>Setting constraints, observing intermediate results and refining them as the supervision surface.</t>
  </si>
  <si>
    <t>The division of labor is explicitly stated as a position in the paper, and not implied. It asserts that, because of the safety constraints being concerned with catastrophic events and human lives, human evaluation of the result is highly recommended; that the process facilitates, saves time, and helps the systems architect; and that it does not seek to replace the human in the loop. It further admits that contradiction detection will be done by the architect himself, and mentions this among its limitations, not strengths.</t>
  </si>
  <si>
    <t>Human review was argued as necessary on consequence grounds with residual dependence conceded as a limitation.</t>
  </si>
  <si>
    <t>Sections V-C</t>
  </si>
  <si>
    <t>It is being proposed that the human contribution should be in the form of corrective feedback, not just oversight: the expert-verified classification of prior runs would be fed back to the model so that it could learn from its errors and apply the corrections in later runs and instances. Human validation is portrayed as valuable insofar as being feedback on previously proposed classifications.</t>
  </si>
  <si>
    <t>Expert validation as feedback to correct the model in subsequent runs.</t>
  </si>
  <si>
    <t>Section V-C</t>
  </si>
  <si>
    <t>The tripartite cohort approach means that the human element is an independent variable: human only, human via chat, and autonomous agent execution, with human input measured at 36, 20, and 8 units that are not stated in the table.</t>
  </si>
  <si>
    <t>Human involvement varied as the independent variable and quantified per cohort</t>
  </si>
  <si>
    <t>Section III-A; Section V; Table V</t>
  </si>
  <si>
    <t>Even in the most automated cohort, there is still a role for the human: the conclusion still includes human oversight for governance in architecture, validation of business needs and compliance in enterprise environments, which is a governance function rather than a production one.</t>
  </si>
  <si>
    <t>Architect reframed to be a more governance-based, requirements/Compliance focused role.</t>
  </si>
  <si>
    <t>This human effort is explicitly identified: manual building of the intermediate architecture model is time consuming and the lack of this effort is the reason why the best previous approach could not be used widely, therefore, exactly this artefact automation increases usability.</t>
  </si>
  <si>
    <t>The actual manual object that is blocking the adoption is identified and automated off the scene.</t>
  </si>
  <si>
    <t>Abstract; Section 1; Section 2.1</t>
  </si>
  <si>
    <t>Absence: no evaluation of real practitioners and no evaluation of whether an architect would consider or correct the results of the framework. There is no user study, no evaluation of experts about the quality of generated models and no in-the-loop evaluation; the gold standard plays the role of a human in all presented figures. The human is involved in this work in other way: the benchmark was manually improved, the coreferences were added and false positives were eliminated and the differences between the models created based on documentation and code were analyzed manually for two smaller projects.</t>
  </si>
  <si>
    <t>Absence: No Practitioner Study, No Acceptance/Repair Evaluation</t>
  </si>
  <si>
    <t>Section 5; Sections 5.3.4 and 5.4.1, pp. 15 to 18</t>
  </si>
  <si>
    <t>The human who is being substituted here is not the end user but the architect: the main assumption of the paper is that developers should now create customized workflow manually in each case and the aim of this framework is to get rid of this expert design process completely.</t>
  </si>
  <si>
    <t>It is not the practitioner using the system that is removed but the workflow designer.</t>
  </si>
  <si>
    <t>Absence: the lack of a clinician or an expert assessing something represents an obvious omission in the context of a medical paper. There is neither an inspection of the existing diagnostic workflow by a clinician nor a determination of the clinical validity of the specialist functions created by the model, nor a user study of any sort. Instead, the authors themselves work with the data set by eliminating 100 images from one of the data sets since the model rejected some of the images and some of the links were invalid, yet there is no use of human evaluation of the results.</t>
  </si>
  <si>
    <t>Absence: Where the clinician and/or expert are missing in any medical diagnostic system.</t>
  </si>
  <si>
    <t>Section 4.1; whole paper</t>
  </si>
  <si>
    <t>The new role of the architect becomes a process of continuous validation, where one examines each design iteration, participates in improving the model, and still represents the side judging its alignment with the real world.</t>
  </si>
  <si>
    <t>Validator and feedback source to the architect, as a continuous process.</t>
  </si>
  <si>
    <t>Stakeholder feedback is presented as the costly and mistake-prone component of the current workflow, and the advantage of the approach becomes a continuous reception of that feedback.</t>
  </si>
  <si>
    <t>Seeking out continuous feedback absorption as the practice change</t>
  </si>
  <si>
    <t>Sections 3, 4.3</t>
  </si>
  <si>
    <t>Role Change: The role change is formulated as the problem itself; architects make security-relevant decisions without feedback, and the research is presented as providing the architects with necessary security skills and knowledge via tooling, not through the expertise they lack.</t>
  </si>
  <si>
    <t>Architect adapted to be a security decision-maker and tooled.</t>
  </si>
  <si>
    <t>Sections III P4, V</t>
  </si>
  <si>
    <t>Role Change: Penetration tester’s role is reformulated the same way; pre-generated test cases for the design phase are suggested as the point of departure, excluding the most experience-based element of the work.</t>
  </si>
  <si>
    <t>Tester's knowledge was transferred to the design phase, in the most expert manner.</t>
  </si>
  <si>
    <t>Sections IV-A RQ1, V</t>
  </si>
  <si>
    <t>Absence: The entire methodology works either before or during the design process, initiated by a human architect in a chat interface; runtime aspects, such as re-architecting and self-adaptation, are not considered.</t>
  </si>
  <si>
    <t>Absence: Design-time and Human-driven all the way.</t>
  </si>
  <si>
    <t>4.4 Movement from design-time assistance towards runtime and continuous architecting</t>
  </si>
  <si>
    <t>Absence: The evaluation takes place retrospectively, concerning already made and implemented decisions. There is no runtime operation and adaptation is not mentioned at all.</t>
  </si>
  <si>
    <t>The absence of a class at the time of design and/or during the absence period.</t>
  </si>
  <si>
    <t>Absence: The methodology explores design options prior to implementation; there is no runtime operation and no adaptation loop.</t>
  </si>
  <si>
    <t>Absence: Design-time exploration only - (Have fun for a quick, simplified design)</t>
  </si>
  <si>
    <t>The Related Work section points to a line of work where LLMs are used to generate context-specific strategies for self-adaptive systems, referred to as Donakanti et al. S3 is not doing this.</t>
  </si>
  <si>
    <t>A first corpus signpost to LLMs for self-adaptive systems</t>
  </si>
  <si>
    <t>Section V, reference [17]</t>
  </si>
  <si>
    <t>Absence: generation takes place while a decision is being logged or made; nothing is active during execution and adaptation is not mentioned.</t>
  </si>
  <si>
    <t>Absence: Design and documentation time only:</t>
  </si>
  <si>
    <t>Absence: this research is concerned with analyzing an existing system by asking questions; nothing is active during execution and adaptation is not mentioned.</t>
  </si>
  <si>
    <t>Absence: not at runtime, but comprehension of all the built system</t>
  </si>
  <si>
    <t>Absence: the approach generates design-time artifacts based on a requirements document; nothing is active during execution and adaptation is not mentioned.</t>
  </si>
  <si>
    <t>Absence: Only produce diagrams at design-time</t>
  </si>
  <si>
    <t>Absence: the approach supports an evolving architecture as project requirements change, generating new candidates which are as similar as possible to the current architecture unless a quality requirement justifies the extra effort.</t>
  </si>
  <si>
    <t>Absence: evolution during design not during runtime</t>
  </si>
  <si>
    <t>Section 3.5</t>
  </si>
  <si>
    <t>Absence: the tool helps in making a decision and recording the same in the case of the requirement mentioned in the paper; there is no mention of any runtime or execution-time behavior of the technology.</t>
  </si>
  <si>
    <t>Absence: No design-time decision support</t>
  </si>
  <si>
    <t>Absence: architectural knowledge is described as distributed among source code, documentation, and runtime logs, which means that runtime logs have been named as one of the sources of knowledge.</t>
  </si>
  <si>
    <t>Absence: runtime logs that are only used as a documentation source and not as a source for adaptation.</t>
  </si>
  <si>
    <t>Absence: this technology is used in continuous engineering and it is mentioned that the intention to monitor the technology's capability to perform architectural jobs continuously is there as the models evolve.</t>
  </si>
  <si>
    <t>Absence: Runtime self-adaptation is not engineering and technology tracking language – it is continuous engineering and technology tracking language</t>
  </si>
  <si>
    <t>Section IV-D, Section VI</t>
  </si>
  <si>
    <t>Absence: all the processes are carried out even before the implementation process takes place, as these processes are led by an architect through the chat interface.</t>
  </si>
  <si>
    <t>Absence: No runtime or adaptive mechanism, just design time collaborative architecting.</t>
  </si>
  <si>
    <t>whole paper, reference [8]</t>
  </si>
  <si>
    <t>Absence: the mechanism works completely offline using static, pre-existing source code to extract tactics post-factum, there is no runtime component and no adaptive nor self-adaptive mechanisms are mentioned in any part of the paper.</t>
  </si>
  <si>
    <t>Absence: Static, off-line code analysis, No runtime mechanism</t>
  </si>
  <si>
    <t>This mechanism acts at runtime on a decision-making system that is already in operation, a prototype DSS being tested on an experimental testbed – the DMG and MCDM modules redefine the metrics used by the DSS and its selection of the plans as a result of a supervisor’s input, without having to change the system design and redeploy the system, which the authors present as minimizing system redesign efforts. The mechanism reconfigures decision-making logic and not the software architecture. Two other articles in the literature base act at runtime on different objects – S15 adapts its retrieval approach over its own analysis results, and S16 re-plans a process on a live physical system.</t>
  </si>
  <si>
    <t>Prototype DSS on testbed for runtime reconfiguration of running system's decision logic.</t>
  </si>
  <si>
    <t>Sections IV and V</t>
  </si>
  <si>
    <t>The authors outline future development of the proposed framework in the direction of autonomous agential configurations, capable of proactively supporting decision-making based on contextual awareness, thus advancing from human-directed reconfiguration to runtime autonomy.</t>
  </si>
  <si>
    <t>Future direction of movement: from human reconfiguration to more autonomy at runtime</t>
  </si>
  <si>
    <t>Section V, final paragraph</t>
  </si>
  <si>
    <t>Absence: the whole pipeline is run off-line, at design time, based on a static image of a source code repository; nothing happens during system execution, no monitoring, deployment, and adaptation process is described anywhere in the paper.</t>
  </si>
  <si>
    <t>Absence: not present, recovery in design time only, no runtime mechanism.</t>
  </si>
  <si>
    <t>The system monitors its output and reacts: the Optimizer analyzes and scores the results, and if confidence is less than 0.65, it recognizes untrusted data, rearranges query parameters by changing keywords and expanding or shrinking queries, generates feedback for the retrieval agents, and starts again until confidence is above the threshold or three iterations happen, usually converging in two or three iterations.</t>
  </si>
  <si>
    <t>Below threshold, re-org query and re-run, called a self-monitoring feedback loop.</t>
  </si>
  <si>
    <t>Section II-A-5, Section II-D, Table 2</t>
  </si>
  <si>
    <t>The effect of the loop is shown rather than stated: disabling the Optimizer lowers the accuracy from the level mentioned in the paper to 70.0 percent, and iteration improves the accuracy but yields smaller improvements beyond the third iteration, according to the authors because feedback starts giving the same advice.</t>
  </si>
  <si>
    <t>Loop's contribution: by ablation &amp; by iteration curve; adaptation: parametric, not structural.</t>
  </si>
  <si>
    <t>Section III, Tables 6-7</t>
  </si>
  <si>
    <t>Runtime replanning is an example of a first-rate architectural approach under the planning-based approach design paradigm: the state of the system is merely about the present state of plan execution, and when any mismatches or failures occur (e.g., a certain action fails), the LLM proposes a new plan that is an actual monitor-detect-replan loop, executed upon a running physical process, not a one-time generation followed by a fixed execution.</t>
  </si>
  <si>
    <t>Real-time process monitoring, detection, re-planning cycle on physical process running on the computer.</t>
  </si>
  <si>
    <t>Section IV-A-2 (Type 3), Section V-A</t>
  </si>
  <si>
    <t>Event-driven design paradigm (Case Study B) works permanently upon live data: a special 'Data Observer' module constantly observes live field-level signals and turns them into semantically enhanced text events on-the-fly, and then LLM agents consume those events, as soon as they are generated, and reason upon them in response to runtime events, rather than periodically or once during design.</t>
  </si>
  <si>
    <t>Reasoning activated at runtime (continuous Data Observer component)</t>
  </si>
  <si>
    <t>Future work moves in a direction of persistence rather than capability. Long-term memory will enable projects to keep a history and organisational knowledge over time; integration with development systems will enable collaborative work in real time; and reasons behind architectural choices will make it easier to understand what is going on and avoid black box evaluation. Two more specific agents are mentioned: a vulnerability scanner and a schema tuner.</t>
  </si>
  <si>
    <t>The solution proposed is to keep the project in memory and to integrate the platforms.The answer that is proposed is the persistence of the project in memory and the integration of the platforms.</t>
  </si>
  <si>
    <t>Section X</t>
  </si>
  <si>
    <t>The pipeline consists of a single pass starting from requirements, then moving to planning, to design, and to a download of artefacts, without ever receiving any input coming from a running system or from its implementation, testing, or operation – nothing ever comes back into the pipeline or modifies artefacts created in previous phases without human intervention. The structure of the agent system remains the same all along.</t>
  </si>
  <si>
    <t>Absence: a pipeline in design-time that flows data in one direction only, without feedback in runtime and no self-adaptation capability</t>
  </si>
  <si>
    <t>Sections V, VI, Fig. 2; would have appeared in Section V-D</t>
  </si>
  <si>
    <t>Re-running is built-in, but at the design-time phase only. The architecture analysis is performed each time the framework is executed because the architecture could change, thus new subsystems and functionalities will always be covered; the framework is claimed to be systematic, repeatable and scalable, while the paper reports that multiple iterations of runs helped to get better results due to not only increasing requirement sets but also better prompting. The loop ends through the architect acting upon the reports and running again.</t>
  </si>
  <si>
    <t>As the architecture changes, it will be repeated again and again, with the human closing the loop between runs.</t>
  </si>
  <si>
    <t>Sections III-B, V-A</t>
  </si>
  <si>
    <t>Nothing works at runtime. The analyzed system is an autonomous drone, but the framework is never executed during the drone's work, neither observing nor controlling its flights and producing any adaptations; it is applied to the documentation and the design model, before the actual system appears. Nothing about the framework itself is auto-adjusted too, including batch size, prompts, thresholds and enabled steps, everything is configured by the architect manually.</t>
  </si>
  <si>
    <t>Absence: Design-time analysis, no coupling to the system being analyzed at runtime.</t>
  </si>
  <si>
    <t>Sections III, IV; would have appeared in Sections III or IV</t>
  </si>
  <si>
    <t>Feedback loop: the artefact created by the process is closed in on through a validation loop whose output returns to the agent until validation is passed, and the performance of each of the models in that is measured and reported.</t>
  </si>
  <si>
    <t>Closed correction loop over the artefact, measured per model</t>
  </si>
  <si>
    <t>Section III-B; Fig. 2; Section V</t>
  </si>
  <si>
    <t>Absence: there is nothing seen in practice which is fed back into the process as a trigger for changing the architecture. The system does get to deployment and is capable of observing itself – it is built, scanned and validated, and deployed in a Kubernetes cluster, where there is also logging and monitoring built in providing observability of the behavior, failures and vulnerabilities in the services being run. What is missing here is the feedback path: no metrics from the telemetry, incidents or operation are ever returned to the agent and the feedback loop closes on a pre-deployment artefact.</t>
  </si>
  <si>
    <t>Absence: no architectural adaptation triggered by a telemetry, but deployment and observability are described</t>
  </si>
  <si>
    <t>Section IV, p. 4; Section V</t>
  </si>
  <si>
    <t>The stated aim of traceability is maintenance and evolution, not design – links will be traced backwards in order for a developer to trace the cause of a failure back from code to responsible sections of the documentation describing the architecture, of an existing and evolving system.</t>
  </si>
  <si>
    <t>Traceability for maintenance and cause stating on a developing system</t>
  </si>
  <si>
    <t>Nothing happens in the system when it runs. The artifacts include only documentation, models, and source code; there is no measurement done during execution of the system, no dynamic linking takes place, and nothing about the architecture is affected by any model.</t>
  </si>
  <si>
    <t>Absence: whole artefact-time, no runtime observation/ adaptation.</t>
  </si>
  <si>
    <t>Section 3; Section 5</t>
  </si>
  <si>
    <t>This is an adaptive loop around an architecture, the most comprehensive one present within the corpus. The system runs, aggregates the results of node processing, classifies failures according to root cause, analyzes its own architecture, generates its structural and prompt recommendations, filters and reformulates them, validates the structural ones, implements them, and redeploys the new version of the workflow.</t>
  </si>
  <si>
    <t>In-place executed close to architecture, with full execute-observe-diagnose-plan-validate-apply-loop.</t>
  </si>
  <si>
    <t>The difference introduced by the loop is structural, not just parametric, in that during the course of the iterations, the workflow gets a node that can retrieve the right parameters, a validation node, three specialized parallel nodes, a consensus condition, and a reasoning loop which kicks in when there is a lack of consensus. Adaptation in this case is reconfiguration of the components and connectors, and that is how this process is distinct from tuning prompts.</t>
  </si>
  <si>
    <t>Adaptation is not just for parameters or prompts, it is for components and connectors!</t>
  </si>
  <si>
    <t>Termination Condition: There is a termination condition which depends upon the behavior of the model, in the sense that iteration goes on until there is convergence on the validation set accuracy of the evolved workflow.</t>
  </si>
  <si>
    <t>Loop ends when validation accuracy is found to be converging, rather than a set number of iterations.</t>
  </si>
  <si>
    <t>Section 3.3, Section 4.2</t>
  </si>
  <si>
    <t>Absence: The loop is run only at design time, followed by which evolution stops. There is evolution of the workflow on the training set and when there is convergence of validation, the workflow freezes and that is used for the test data set. Nothing evolves after deployment, and no method for restarting evolution on encountering changes in clinical practice or input distribution is given.</t>
  </si>
  <si>
    <t>Absence: Architecture that has not evolved while not online; cannot adapt after deployment</t>
  </si>
  <si>
    <t>It is said that continuous adaptation applies to the recommender rather than the system itself: reinforcement learning supposedly allows for improving the architectural recommendations over time in various projects.</t>
  </si>
  <si>
    <t>The recommender was continuously adapted across projects.</t>
  </si>
  <si>
    <t>Absence: Nothing works at run-time and nothing in the deployed system is adaptable. What gets better over iterations is the recommendation of the model while designing the system; no monitor, no trigger, no deployed software or architecture reconfiguration is specified here. We have a scanned copy of the chapter that consists of only 10 out of 15 pages of its printing, 335 to 349: pages 339, 340, 346, 347 and 349 are missing, so it is a partial section 4.2, all of sections 6 and 7 and the end of the reference list.</t>
  </si>
  <si>
    <t>Absence: No runtime adaptation and no architectural adaptation</t>
  </si>
  <si>
    <t>Absence: deliberate design-time, and notably so: the only value provided by the paper is shifting a process that is currently carried out post-deployment to earlier in the lifecycle, meaning there is no runtime component involved here whatsoever.</t>
  </si>
  <si>
    <t>Absence: intentionally designed, no running;Absence: By design, not designed to run;</t>
  </si>
  <si>
    <t>Abstract; Sections I, III</t>
  </si>
  <si>
    <t>"Trustworthiness of model results" was treated as something which can be achieved by a systematic validation of premises involved in modeling instead of being presumed. Increased trust in the validated models was included among possible outcomes of such a validation.</t>
  </si>
  <si>
    <t>In explicit validation, trust is earned after being explicitly awarded by a trusted authority.</t>
  </si>
  <si>
    <t>4.5 Trust, governance and responsible adoption in industrial settings</t>
  </si>
  <si>
    <t>One of the participants in the conversation suggested vendor neutrality as a prerequisite and claimed that recommending certain cloud vendors but leaving out others is incompatible with comprehensive and impartial advice.</t>
  </si>
  <si>
    <t>The ability to be vendor neutral as a trust requirement arose.The need to be vendor neutral as a trust requirement was raised.</t>
  </si>
  <si>
    <t>It was argued that reliable and valuable recommendations should be grounded in the experiments and metrics as well as in knowledge about architecture in question.</t>
  </si>
  <si>
    <t>Grounding and real world validation of reliability.</t>
  </si>
  <si>
    <t>The privacy, intellectual security and legal risks associated with sharing information with a third party for project analysis are highlighted as challenges to adoption, and the solution in the governance space is provided by in-house hosting of small models fine-tuned within the organization.</t>
  </si>
  <si>
    <t>The concept of data sovereignty as a condition of adoption.The idea of data sovereignty as an adoption requirement.</t>
  </si>
  <si>
    <t>Section VI-A, Section VI-C, Section VIII</t>
  </si>
  <si>
    <t>Trustworthiness is considered a construct on its own, independent of accuracy and quality, and has its own scale.</t>
  </si>
  <si>
    <t>The trustworthiness of a system's output, as opposed to the accuracy.</t>
  </si>
  <si>
    <t>Section II-2, Section IV</t>
  </si>
  <si>
    <t>Since distrust was based largely on lack of arguments and lack of provenance, the proposed solution to build trust is traceability of every single answer back to evidence within the project's repositories, not improved fluency.</t>
  </si>
  <si>
    <t>Trust not fluency, proposed, but it's provenance.</t>
  </si>
  <si>
    <t>Section IV, Section V-A</t>
  </si>
  <si>
    <t>Confidentiality becomes one of the structural problems because the organizations keep the architecture confidential, which means that the training of the architecture-dependent model will have limited public data.</t>
  </si>
  <si>
    <t>Public training data is limited by architecture confidentiality.</t>
  </si>
  <si>
    <t>The authenticity and safety of generated material become another topic for discussion because these issues were brought up in connection with generated code.</t>
  </si>
  <si>
    <t>The status of "unresolved" for Authenticity and security is known to be a weakness.</t>
  </si>
  <si>
    <t>The containment of AI within the known formalisms and keeping humans in control of every decision gate becomes a response to the unpredictability of the existing AI tools as pointed out by the authors.</t>
  </si>
  <si>
    <t>Human gates and formalisms that have been set up as a reaction to unpredictable.</t>
  </si>
  <si>
    <t>Section 1, Section 3.2</t>
  </si>
  <si>
    <t>The base for comparison is explicitly acknowledged and not taken for granted: In a footnote it is stated that the records of the students were not ground truth but just the reference solution, and it is additionally mentioned in the background section that the involvement of humans is needed in order to avoid hallucinations.</t>
  </si>
  <si>
    <t>CM explicitly qualified and human oversight named as required</t>
  </si>
  <si>
    <t>Section 2, Section 4, footnote 3</t>
  </si>
  <si>
    <t>There is a suggestion of Oracle Verifier, potentially using formal methods, in order to ensure the correctness of generated knowledge, and not rely on human judgement whether it is correct.</t>
  </si>
  <si>
    <t>Proposed structural validity check, not solely based on human judgement.</t>
  </si>
  <si>
    <t>Lack of successful use in industry of existing architecture knowledge management tools, although they have been known for decades as a serious problem, is presented as the reason why usability is a first-class concern.</t>
  </si>
  <si>
    <t>Adoption history as a reason for usability being a first class requirement</t>
  </si>
  <si>
    <t>Of the ten participants in the survey that have already implemented AI into their software engineering processes, the most frequently mentioned challenge was poor quality of the generated output, with copyright violations and leaking of intellectual property and competitiveness being the second and third challenges respectively.</t>
  </si>
  <si>
    <t>The top reported current adoption challenges are low output quality, copyright and IP leakage.</t>
  </si>
  <si>
    <t>Section V-B, Table II</t>
  </si>
  <si>
    <t>As far as future challenges are concerned, over fifty percent of all fifteen participants anticipate problems with copyright violations, non-reproducibility of results, and lack of understanding of how the system works.</t>
  </si>
  <si>
    <t>More than half are still anticipating copyright concerns to continue, as well as non-reproducibility and lost system understanding.</t>
  </si>
  <si>
    <t>Section V-B, Table IV</t>
  </si>
  <si>
    <t>Participants that haven’t yet implemented AI in any of their software engineering processes named a variety of challenges including proprietary code leakage, quality of the solution relying on unknown training data and need for costly verification, degradation of engineers’ skills, and lack of time to test the technology itself.</t>
  </si>
  <si>
    <t>Non-adopters report a broad range of stated concerns, which do not overlap significantly.</t>
  </si>
  <si>
    <t>Rather than a generic warning, a specific governance risk is mentioned: a component that has been generated in order to sense user location can result in leakage of location privacy of the users and in generation of software that fails to conform to regulation requirements, along with copyright infringement and intellectual property infringement, with the importance of the role played by the architect highlighted in ensuring that the generated architecture adheres to ethics and intellectual property standards.</t>
  </si>
  <si>
    <t>A generated component that is marked as a concrete privacy and regulatory exposure.</t>
  </si>
  <si>
    <t>Ethics, governance, and productivity are identified as socio-technical dimensions where feedback from software engineering teams is to be obtained in the proposed extension, and the conclusion highlights that variability in artifacts, in types of ethical considerations, in degree of support for human decisions and supervision, and in legal and socio-technical concerns must all be taken into consideration while integrating the technology into architecture-centric software engineering.</t>
  </si>
  <si>
    <t>Ethics, governance and productivity were selected as the socio-technical agenda to be surveyed.</t>
  </si>
  <si>
    <t>Section 2.2, Figure 2, Section 6</t>
  </si>
  <si>
    <t>Absences: No consideration is given to how or whether the organisation would take up the classifier and manage its usage. Compliance is mentioned once as part of the activities traceability allows for, and the reproducibility measures mentioned are more like experimental hygiene and not governance.</t>
  </si>
  <si>
    <t>Present: no discussion (re: trust, governance and adoption)</t>
  </si>
  <si>
    <t>The authors propose a built-in fallback for human validation prior to deployment, which they emphasize is a particular strength in terms of ensuring safety and accountability in mission-critical applications, as opposed to a drawback to overcome.</t>
  </si>
  <si>
    <t>Use of human validation fallback as an intentional safety/accountability measure, rather than a catch-all.</t>
  </si>
  <si>
    <t>The authors claim that incorporation of the LLM introduces minimal computational overhead in comparison to the underlying optimization algorithm as proof of scalability of hybrid LLM-optimization systems.</t>
  </si>
  <si>
    <t>The overhead of LLM is said to be minimal, and presented as a real-world scalability argument</t>
  </si>
  <si>
    <t>In the case study, the authors have anonymized each and every concrete identifier within the recovered SQL-conversion module to ensure the confidentiality of the business logic from being leaked prior to showing the diagram, which is an explicit confidentiality measure taken against the output of architecture recovered through the LLM.</t>
  </si>
  <si>
    <t>Manual anonymisation of output that could be used for the purpose of proprietary business-logic leakage prevention</t>
  </si>
  <si>
    <t>The handling of sensitive data is mentioned as a constraint in design: only de-identified synthetic cases were used for testing, no persistent patient data is stored, and there were access controls by roles, along with the improvement in the ethical and regulatory side mentioned as necessary future work.</t>
  </si>
  <si>
    <t>No retention of synthetic de-identified data, role-restricted access, with regulatory work acknowledged</t>
  </si>
  <si>
    <t>Evidence is ranked by its provenance rather than taken in flat form: the scanning agent classifies the retrieved data according to a hierarchy of evidence, giving higher weightage to systematic reviews and meta-analysis than to case reports, and the confidence level of the fusion agent is calculated based on the similarity in the two data streams.</t>
  </si>
  <si>
    <t>Evidence weighted by a stated hierarchy, confidence combines similarity, evidence and concordance</t>
  </si>
  <si>
    <t>Section II-A-3, Section II-A-4</t>
  </si>
  <si>
    <t>Accountability is framed as a joint property of the human-system pairing, not the LLM alone: 'users must ultimately verify the outputs to assess plausibility and maintain accountability,' with the paper's own architectural response being to cap the LLM's role at 'assistant' rather than pursue greater autonomy as a design goal in itself.</t>
  </si>
  <si>
    <t>Architecture: Restriction of LLM autonomy to a bounded sense of accountability as a joint property of the human and machine;</t>
  </si>
  <si>
    <t>Accountability is considered as a collaborative aspect of the user-LLM dyad and not that of the LLM alone: 'users need to verify the results for their plausibility in order to remain accountable for the process.' The architectural solution offered by the authors involves limiting the capability of the LLM to be that of an 'assistant' instead of striving towards more autonomy.</t>
  </si>
  <si>
    <t>The exposure surface was determined as ‘Cloud mediated inter-agent exchange'.</t>
  </si>
  <si>
    <t>Sections IV-D, VIII-A</t>
  </si>
  <si>
    <t>The issues of governance are clearly mentioned in connection with the agent configuration and not left as general statements. The sharing of internal information between the agents via the cloud interface is mentioned as an exposure point where the requirements and design issues become critical. The paper demands robust authentication, encryption and proper management of data, otherwise the system is susceptible to any sort of leakage or access both internally and externally.</t>
  </si>
  <si>
    <t>Absence: A security or privacy mechanism is not specified, built or tested.</t>
  </si>
  <si>
    <t>Sections VIII-A, X; would have appeared in Sections VII or IX</t>
  </si>
  <si>
    <t>This framing approach is regulatory and safety-specific. Adherence to safety standards is provided as one of the purposes of the research, the quality attribute requirements are defined according to the standard's terminology, an accident investigation report is used as proof of the price paid due to poorly chosen and uncoordinated safety requirements, it is recommended to follow a nuclear safety guide in order to enhance conflict detection and compliance, and it concludes that the audit log generated is useful specifically for regulatory compliance and audits.</t>
  </si>
  <si>
    <t>Compliance and auditability as a means to an end, based on standards and a true accident case</t>
  </si>
  <si>
    <t>Sections I, II-A, V-A, V-B-3</t>
  </si>
  <si>
    <t>It is not shown how the outputs can be admitted as safety evidence. The way of certification is not discussed, the safety case and the mapping of standards' specific evidentiary requirements onto the created reports are not constructed, and the argument on qualifying a non-deterministic element for use in processes supplying a safety argument is not provided, although the paper itself claims certifiability to be the challenging property in such cases.</t>
  </si>
  <si>
    <t>The actual purpose of Absence: compliance is to assert compliance, with no argument or certification built.</t>
  </si>
  <si>
    <t>Sections I, V; would have appeared in Section V</t>
  </si>
  <si>
    <t>Instead of embedding governance into prompts that one writes, it is embedded into artifacts that the organization possesses: the paper says that all organizations can define coding standards once and apply those standards to all codes in the repository, thus versioning them along with the rest of the system.</t>
  </si>
  <si>
    <t>Versioned repository artefacts that are "made" organizational standards.</t>
  </si>
  <si>
    <t>Table II; Section IV</t>
  </si>
  <si>
    <t>The security governance is concrete at the level of implementation: OWASP-aligned requirements for the agent, input validation at service boundaries, HTTPS everywhere, access control based on roles/policies, secrets stored in environment variables or cluster secrets not in the code, scanning of container images prior to deployment.</t>
  </si>
  <si>
    <t>A set of security controls which are explicitly defined and enforced by the agent context.</t>
  </si>
  <si>
    <t>Section IV; Table I</t>
  </si>
  <si>
    <t>Adoption is conditional rather than declarative: the effectiveness of adoption is stated to be conditioned on certain contextual inputs, tool maturity, and controlled environment, with human oversight being essential in enterprise and regulated contexts.</t>
  </si>
  <si>
    <t>Adoption with context and maturity of the tools and human oversight</t>
  </si>
  <si>
    <t>Reliance on closed systems is considered a research-integrity issue, with an incomplete solution, as the data in training closed models is unknown, and hence the authors acknowledge that data leakage to the benchmark cannot be completely denied, and they also evaluate locally deployed open systems so that the result does not depend only on the closed ones.</t>
  </si>
  <si>
    <t>Responding to benchmark leakage by closed model training data named, partial answer with open models.</t>
  </si>
  <si>
    <t>Issues related to governance, compliance, organizational uptake, or accountability are not discussed at all. The study is merely a technical assessment of open-source benchmarking initiatives and does not address such questions as who should be responsible for the generated model or how this kind of pipeline could be incorporated into an organization.</t>
  </si>
  <si>
    <t>No action: no governance, accountability or organizational adoption discussion</t>
  </si>
  <si>
    <t>The safety narrative is architectural as opposed to procedural, and it is the corpus’s first tangible response to the question of how to keep an evolving system from compromising itself: a bounded operational vocabulary, verification prior to structural incorporation, proposal filtering for feasibility, and a policy that states that a modification will be implemented only if it holds true.</t>
  </si>
  <si>
    <t>Self-modification bounded by vocabulary, integrity gates and feasibility filters and a deploy if valid rule</t>
  </si>
  <si>
    <t>Absence: No form of clinical governance whatsoever. A system that changes its diagnostic algorithm through self-reprogramming is suggested for deployment in a clinical setting without consideration of regulatory clearance, auditing of a workflow that changes per versioning, accountability of a diagnosis that was derived through the logic of a structure not authored by humans, or acknowledgment that some data have been filtered out.</t>
  </si>
  <si>
    <t>Absence: No regulatory, audit and accountability discussion for a self-modifying clinical system</t>
  </si>
  <si>
    <t>whole paper, Section 4.1</t>
  </si>
  <si>
    <t>Ethical responsible adoption is stated to be a prerequisite condition for the use of models: security of data, transparency, and bias are mentioned as issues which need to be sorted out in conjunction with modeling becoming an integral part of design, and ethical guidelines being essential for such a process.</t>
  </si>
  <si>
    <t>Responsible adoption as a foundation for trust</t>
  </si>
  <si>
    <t>Sections 2, 8</t>
  </si>
  <si>
    <t>Absence: no implemented or automated form of governance is provided as following from the ethical framework above. There is no traceability, access control, or provenance provided or anything that would enforce a check. Human approval is suggested instead of being automated: chapter has architects review iterations and approve recommendations at rows 310 and 592, and such approval is mentioned as a practice but not a gate that should be enforced. The version of the chapter that we have is a scan of 10 out of its 15 printed pages, 335 to 349: pages 339, 340, 346, 347, and 349 are missing, which is part of section 4.2, all of sections 6 and 7, and part of the reference list.</t>
  </si>
  <si>
    <t>Absence: There is no governance mechanism currently in place for the ethical framing.</t>
  </si>
  <si>
    <t>This trust is characterized as security-by-design since it implies incorporating the work of securing into the early stages of the life cycle. In addition, reliability can be achieved using less money due to the severity ratings coming from the vulnerability information database and not from the model.</t>
  </si>
  <si>
    <t>Designing security in from the start, and grounding severity on a public vulnerability data source.</t>
  </si>
  <si>
    <t>Sections IV-B RQ2, V, VI</t>
  </si>
  <si>
    <t>Absence: lack of governance of the generated artifact: it is unclear who reviews the generated attack scenario by the model before the architect acts on it and what will happen if the rating is incorrect.</t>
  </si>
  <si>
    <t>Absence: No monitoring or assurance of attack scenarios generated by a model</t>
  </si>
  <si>
    <t>Limitations of the approach that are identified in the Discussion include three. Some of the recommendations obtained by the agents are not patterns or tactics found in the literature; they are referred to as hallucinations. The recommendations have been identified as being too generic, while coping with both of these problems remains difficult. The value of the approach is stated to depend on its tools being based on the proper architectural knowledge, while the validation of this approach by means of practical experiments and metrics is seen as essential for its improvement. Two additional problems with the run in question – duplication of the patterns that increase the burden of inference and the failure of the tree search agent to use its decision assessment tool – are marked by the codes 3.3 and 5.2 respectively.</t>
  </si>
  <si>
    <t>Hallucinated options, over-general recommendations and a grounding dependence</t>
  </si>
  <si>
    <t>5.1 Reported limitations in practice</t>
  </si>
  <si>
    <t>T5. Limitations</t>
  </si>
  <si>
    <t>Section IV, Discussion; Section IV results</t>
  </si>
  <si>
    <t>T5: limitation</t>
  </si>
  <si>
    <t>Absence: There is no limitation in practice observed. The article claims that there is a significant F1 improvement over its industrial baseline, and there are significant benefits of dependency context; however, the article does not note any specific conditions, costs, and failures of its approach except for these two.</t>
  </si>
  <si>
    <t>Absence: (no limitations reported) next to the measured gains</t>
  </si>
  <si>
    <t>Among the drawbacks noted are prolonged planning period, delay of time-sensitive projects, increase in the cognitive load, and scope creep in case multiple quality attributes are targeted at the same time.</t>
  </si>
  <si>
    <t>Structured prompting slows and complicates decision process.</t>
  </si>
  <si>
    <t>Section 5, Section 6 Consequences</t>
  </si>
  <si>
    <t>The persona is noted to potentially introduce unintentional bias and to limit response flexibility in case the constraints are defined too strictly.</t>
  </si>
  <si>
    <t>Over-constrained persona presents bias and rigidity.</t>
  </si>
  <si>
    <t>The Architectural Project Context pattern demonstrated low flexibility under different project contexts, especially in case of pharmacy retail domain, and possibly requires removal of its variables.</t>
  </si>
  <si>
    <t>Unfortunately, context transfer is not that good between projects.</t>
  </si>
  <si>
    <t>Section 4 Known Uses</t>
  </si>
  <si>
    <t>It was noticed by architects that in some cases, the model would provide general or too broad recommendations failing to provide necessary specificity for highly complex technical environments. Concrete examples were provided by the pharmacy architect who needed the test types to be specified, and also expected the use of Kubernetes for management and scaling.</t>
  </si>
  <si>
    <t>The suggested resources or tools are not specific enough for complex environments.</t>
  </si>
  <si>
    <t>There were two concrete problems noted in the practical use of the model: the recommendation of micro front-ends without prior questioning of the backend configuration, and the underestimation of implementation time compared to the needs of the project.</t>
  </si>
  <si>
    <t>General failures: lack of focus, unrealistic goals, lack of commitment, lack of drive.</t>
  </si>
  <si>
    <t>The authors note that results should be interpreted in the context of microservices because of the numerous publications on that topic that helped to train the model and probably explain the correctness of its responses.</t>
  </si>
  <si>
    <t>Abundant training material seemed to be a part of the reason for good performance.</t>
  </si>
  <si>
    <t>All of the three output methods fall short of human-level output; the best 0-shot model provides correct formatting but not the full decision.</t>
  </si>
  <si>
    <t>Not quite human, but format adherence achieved; decision content Sub-human.</t>
  </si>
  <si>
    <t>Section V-A, Section VI-A</t>
  </si>
  <si>
    <t>The most accurate models, according to the paper, are cloud service models; hence, their use requires transmission of data from the project to a third party, which, according to the authors, poses issues with privacy, intellectual property rights and legality.</t>
  </si>
  <si>
    <t>With the cloud-only strong models, there are concerns about data transmission.</t>
  </si>
  <si>
    <t>In all three concepts, the recall values are higher than precision values (recall value of 0.594 as compared to a precision value of 0.395), which suggests that the model returns a large number of possible concepts but most are incorrect.</t>
  </si>
  <si>
    <t>Recall is greater than precision; model is more inclusive</t>
  </si>
  <si>
    <t>Section III-A, Table III</t>
  </si>
  <si>
    <t>Accuracy varies greatly between the knowledge concepts and within them; precision for components and connectors is significantly higher than that of quality solutions and rationale, and precision for the security knowledge attribute is significantly higher than that of performance and maintainability.</t>
  </si>
  <si>
    <t>There is a great deal of variability across knowledge concepts and attributes when it comes to accuracy</t>
  </si>
  <si>
    <t>Section III-A, Section III-C, Figs 3 &amp; 5</t>
  </si>
  <si>
    <t>Omissions are listed specifically for each kind of diagram: a stock reorder relationship and an incorrectly labeled transaction in the use case diagram, a missing inventory class and inter-class relations in the class diagram, and missing reordering and cart item add/remove actions in the state diagrams.</t>
  </si>
  <si>
    <t>Concrete omissions for each type of diagram</t>
  </si>
  <si>
    <t>Neither of the approaches was successful in generating good quality diagram-markup code; changing the task type by requesting a list of domain entities and relationships rather than the diagram-markup code yielded better performance in the second run.</t>
  </si>
  <si>
    <t>The output in terms of diagrams was inadequate; a simple concept listing was much more effective.</t>
  </si>
  <si>
    <t>The poor choices were due to lack of awareness of the environment by the copilots: students generally formulated the problem statement from a requirement before choosing solutions, but this process was not recorded in the copilot pipeline.</t>
  </si>
  <si>
    <t>Errors that can be traced back to the error committed by humans before the problem is framed</t>
  </si>
  <si>
    <t>In the case of retrieval-grounded approach, the model was unable to generate any response when there was no enough information retrieved, while in the case of zero-shot approach, the model always generated some kind of response, which was rather generic – like mentioning the general microservices pattern without specifying it for the system at hand, resulting in records with low numbers of options and pros-and-cons.</t>
  </si>
  <si>
    <t>Retrieval sometimes returns an empty response, while zero-shot always returns a response but it is generic.</t>
  </si>
  <si>
    <t>The authors identify four particular engineering problems that have to be solved by the system proposed in order for the system to become useful: aggregation of knowledge about architecture presented in various forms, such as diagrams, documentation and code; retrieval and integration of wide-ranging knowledge from outside that resembles what an expert architect knows; generation of contextually appropriate query responses which might have to include non-textual information; and ease-of-use priority, since other AKM systems are known to be underutilized due to manual labor required.</t>
  </si>
  <si>
    <t>Four challenges in engineering, which were explicitly left as names, remained unresolved.</t>
  </si>
  <si>
    <t>Similarly, the test subjects noted that high-level and low-level concepts were linked together without any clear hierarchy, system boundaries were poorly established, certain important stakeholders were not included in the diagrams, and there were visual problems such as lack of legends and confusing colors.</t>
  </si>
  <si>
    <t>Missing hierarchy, undefined boundaries, missing stakeholders and visual presentation issues</t>
  </si>
  <si>
    <t>The authors consider the results of their work as preliminary and note that conclusions about architect's productivity and efficiency of the model can be drawn only after further experimentation with actual scenarios of collaborative architecting.</t>
  </si>
  <si>
    <t>Productivity claims and efficacy claims are not validated by authors.</t>
  </si>
  <si>
    <t>Abstract, Section 1, Section 5.2</t>
  </si>
  <si>
    <t>In 10-fold cross-validation using the same benchmark dataset used in Mirakhorli et al., the fine-tuned BERT model achieves a mean F1 of 0.90 (precision of 0.92, recall of 0.89), achieving results on par with but not better than the previous state-of-the-art Tactic Detector and some traditional machine-learning approaches (SVM, Slipper, J48, Bagging, AdaBoost, Bayesian) using the same benchmark dataset. The dataset consists of 50 relevant and 50 irrelevant instances per tactic for a total of five tactics.</t>
  </si>
  <si>
    <t>Cross-validated performance is close to but not better than the previous best of the art.</t>
  </si>
  <si>
    <t>Section 4, Table 1</t>
  </si>
  <si>
    <t>Using an independent test dataset on the Hadoop HDFS system, the trained BERT model fails to perform well relative to the previous state-of-the-art Tactic Detector algorithm, even though there was excellent cross-validation performance, thus proving that a well-performing cross-validation does not always mean success on the new codebase.</t>
  </si>
  <si>
    <t>No generalization of performance across cross validation and to an unseen case study</t>
  </si>
  <si>
    <t>Section 4, Table 2</t>
  </si>
  <si>
    <t>The study is clearly based on the two questions proposed at the beginning of the paper: if the existing pretrained BERT models actually understand code or not, and if the transfer-learning abilities of BERT can be used for code classification.</t>
  </si>
  <si>
    <t>Study of which the research questions are made explicit, and which is not a production technique of some kind.Study where the two research questions are clearly stated and which is not a production technique of some kind.</t>
  </si>
  <si>
    <t>It should be noted that the authors clearly define this human-baseline comparison as not being generalizable; rather, it was only designed to demonstrate current problems of adjusting the DSS.</t>
  </si>
  <si>
    <t>The human-baseline comparison is explicitly warned against as not being generalizable by the authors.</t>
  </si>
  <si>
    <t>In addition, it is important to emphasize that this system was designed as decision support, but not autonomy. According to the authors, this is a system that will help in making decisions, but is not intended for diagnosis and, finally, responsibility for the choice of actions remains with the physician-expert.</t>
  </si>
  <si>
    <t>Clearly marked as clinician support; the final decision is left to the physician.</t>
  </si>
  <si>
    <t>Both benefits and drawbacks are considered here. For instance, it is worth mentioning that this multi-agent system has increased costs in comparison with other types and that it might be used less often in emergency conditions. Furthermore, the performance of this system largely depends on the quality and availability of external data available to the web agent.</t>
  </si>
  <si>
    <t>More expensive than single models, relying on the quality of external sources, both acknowledged</t>
  </si>
  <si>
    <t>ROI' (Return on Intelligence) concept similar to 'Return on Investment' is suggested here to view the problem of LLM integration in terms of cost-benefit balance; more human efforts are put into the development phase, whereas fewer human efforts are spent when using the system, although, as noted in the paper, the benefit of integration might be a negative one in simple cases.</t>
  </si>
  <si>
    <t>The “Return on Intelligence” concept clearly identifies the situations where the use of LLM is not beneficial.</t>
  </si>
  <si>
    <t>Section VI-B, Figure 10</t>
  </si>
  <si>
    <t>Two complete sections in the paper are devoted to things that might go wrong, which is quite unusual for such a source to be frank about it. The four possible problems named in Section IV include contradictions among agents as each of them operates in its own bounded environment, sharp increase in interaction counts depending on the complexity of a project that increases costs, latency and expenses in the cloud; hallucination growing in the pipeline; and sensitive project data transferring across cloud interfaces. The four potential risks that are named in Section VIII cover privacy, conflicts in integration and dependencies, scalability and dependence on agent output. Only hallucination is tackled in what was created, and again only by people but not by the system: the errors identified during the requirement-agent audit were eliminated via human-in-the-loop validation until the multi-agent validation loop is implemented.</t>
  </si>
  <si>
    <t>The challenges and risks are listed separately and in eight different categories</t>
  </si>
  <si>
    <t>Sections IV, VIII, IX-C</t>
  </si>
  <si>
    <t>The limitations are stated as a separate section of six specific limitations, an unusual level of concreteness. Detection relies on keyword matching, hence requirements which do not correspond to predefined keywords might be missed; final contradiction identification relies on architect's assessment, and allows for mistakes; classification discrepancies have been noted; some functions have been partially defined; the possibility of generalization to other autonomous systems has yet to be proved; the framework conducts pairwise analysis of requirements, and thus does not detect contradictions between three or more of them at once.</t>
  </si>
  <si>
    <t>Six restrictions were mentioned: keyword dependence, analysis restricted to requirement pairs</t>
  </si>
  <si>
    <t>Variability between agents is presented as one of the findings, rather than noise: the models demonstrate different strengths when it comes to speed, maintainability, security and self-repairing, where the model with the best speed differs from the model with the most stable results.</t>
  </si>
  <si>
    <t>Variability found from one model to another (reported as a substantive finding)</t>
  </si>
  <si>
    <t>Section V; Section VI</t>
  </si>
  <si>
    <t>Limitations are mentioned: the results can depend on the quality of the prompt, agent configuration and development of AI technologies, and the authors say that further investigation is needed on larger distributed architectures.</t>
  </si>
  <si>
    <t>Prompt quality, agent configuration and scale are identified as constraints to the findings.</t>
  </si>
  <si>
    <t>Section III-C (closing paragraphs); Section VI</t>
  </si>
  <si>
    <t>The negative finding is presented with the same importance as the positive finding: identifying the name of a component from its source code is much worse than identifying it from its documentation, with F1 being close to zero for some models on one project, and the researchers state that package structure by itself is not enough.</t>
  </si>
  <si>
    <t>Results that failed to extract any code are reported as failed and the scores for the one project are near zero</t>
  </si>
  <si>
    <t>Section 5.3.2; Table 4</t>
  </si>
  <si>
    <t>The price paid for this advantage is stated openly: the evolved workflow is more complex in terms of structure than the workflow in the training stage, increasing from 8.7 to 11 nodes and 4 to 5 branches, and Table 2 shows the evolution stage time of 210 seconds compared to 621 seconds in the test stage.</t>
  </si>
  <si>
    <t>Evolved accuracy gain reported in conjunction with the structure and time cost of the evolved architecture</t>
  </si>
  <si>
    <t>There is only one quantifiable statement within the available pages, which has been repeated thrice and is linked with different quantities; up to forty per cent reduction in design time, forty per cent reduction in design review time and forty per cent reduction in design time. No citation has been provided for these three claims. It should be noted that five pages have gone missing in our version of the chapter.</t>
  </si>
  <si>
    <t>Only quantitative claim in available pages: a forty per cent reduction, said three times</t>
  </si>
  <si>
    <t>Abstract; Sections 5, 8</t>
  </si>
  <si>
    <t>The ethical constraints that limit the use of AI in architecture include data privacy, transparency and bias that need to be addressed through ethical framework and guidelines.</t>
  </si>
  <si>
    <t>The ethical conditions are cited as restrictions for responsible adoption.The ethical conditions are referred to as restrictions of responsible adoption.</t>
  </si>
  <si>
    <t xml:space="preserve">Absence: none; all the advantages are expected to be derived from a plan and no practice has yet emerged as a result of using the pattern. </t>
  </si>
  <si>
    <t>Absent: Not observed; expected to be all benefits; limitations: all expected</t>
  </si>
  <si>
    <t>The pattern of Technical Premises emerges from the fact that generative models are capable of creating false and convincing statements, therefore it specialises Fact Check List pattern for architectural premises.</t>
  </si>
  <si>
    <t>A statement that has been contradicted by regulations that must be carried out on the premises.</t>
  </si>
  <si>
    <t>5.2 Reported reliability problems: hallucination, inconsistency, non-determinism</t>
  </si>
  <si>
    <t>Section 6, Appendix A.2</t>
  </si>
  <si>
    <t>Validation of premises is claimed to increase the cognitive load on the architect, who might use the arguments from the model as the sole justification for its premises, which is not the case in complex situations.</t>
  </si>
  <si>
    <t>In this case, the burden of verification falls on the architect, and the self-justification is not reliable.</t>
  </si>
  <si>
    <t>Section 6 Consequences</t>
  </si>
  <si>
    <t>It is stated that sometimes the explanations provided by the model are too complex or technical to understand them clearly.</t>
  </si>
  <si>
    <t>Model rationale is sometimes very abstract, so it can be hard to act on it.</t>
  </si>
  <si>
    <t>Again, Hallucination was cited as the reason for Technical Premises, where the model is asked to defend its recommendations using a list of technical premises, which can then be assessed by the architect for correctness.</t>
  </si>
  <si>
    <t>It was mandated premise justification that motivated Hallucination.</t>
  </si>
  <si>
    <t>AWS and Azure were recommended by the model but Google Cloud Platform was not. The architect considers this a case of bias and, hence, the need to be neutral towards certain vendors.</t>
  </si>
  <si>
    <t>Vendor bias that is seen in technology recommendations</t>
  </si>
  <si>
    <t>Some of the options that appeared in the ranked list of decisions were neither patterns nor tactics as described in the literature review, which were considered hallucinations.</t>
  </si>
  <si>
    <t>Returned items were hallucinatory, appearing as architectural patterns.Items returned were hallucinator, presented as architectural patterns.</t>
  </si>
  <si>
    <t>Overly broad recommendations are also mentioned together with hallucination as one of the ongoing issues in the discussion of results. In addition, in the background section, variability in response quality and lack of flexibility in exploring different directions in case of choosing a trajectory are introduced as general characteristics of the reasoning and acting framework as motivation for introducing tree search, and not as an observation made during this particular study’s execution.</t>
  </si>
  <si>
    <t>Lock-in effects from too broad an output and trajectory.</t>
  </si>
  <si>
    <t>Section II-B, Section IV</t>
  </si>
  <si>
    <t>Tree search agent switched between pattern comparison and decision-making tools quite often, ignoring the decision assessment tool, while sequential agent followed the suggested order of tools.</t>
  </si>
  <si>
    <t>Agent did not take its own assessment step in tree search.</t>
  </si>
  <si>
    <t>Hallucinations are stated as being size and method dependent but not uniformly observed: smaller text completion models used to hallucinate often in zero-shot mode, few-shot significantly decreased this problem for the smallest family, and encoder-decoder models ceased to hallucinate after fine-tuning.</t>
  </si>
  <si>
    <t>Hallucination is different from model size and adaptation approach</t>
  </si>
  <si>
    <t>It is not because of the confusion about the knowledge concepts but rather the confusion of one concept. Furthermore, the denominator used in each of the figures used in the article is different. The 42 percent given for components and connectors is in reference to the questions on components or connectors, from an analysis of wrong answers, in which case the second highest confusion is switching components for connectors, at 34 per cent, with no denominator at all. Quality solution given in percentage is 87 per cent of wrong questions. The rationales, on the other hand, had 67 per cent within the concept and 33 per cent crossing concepts.</t>
  </si>
  <si>
    <t>Errors are not category errors, they are within concept errors; Denominators are not inconsistently stated</t>
  </si>
  <si>
    <t>Section III-B, Section III-C, Section III-D</t>
  </si>
  <si>
    <t>The engineers gave poor quality scores because of answers that were unclear (58%) and general (58%), or just plainly wrong (37%), or repetitious (11%); percentages total more than 100% since several reasons could be given for a rating.</t>
  </si>
  <si>
    <t>Low quality for reasons other than outright error, namely vagueness</t>
  </si>
  <si>
    <t>Low level of trustworthiness was due to the absence of clear supporting argumentation (59%) and due to the lack of indication of sources of knowledge (49%).</t>
  </si>
  <si>
    <t>Distrust based on lack of arguments and loss of provenance</t>
  </si>
  <si>
    <t>Variability of output is specifically mentioned as a threat to reliability: the authors say that these models have a stochastic element, which makes the texts different, and hence impacts the result.</t>
  </si>
  <si>
    <t>The output of the models was characterized as unreliable due to randomness.Randomness was named as a threat for reliability in the models' output.</t>
  </si>
  <si>
    <t>Section VI-d</t>
  </si>
  <si>
    <t>Closedness of the model is mentioned as another threat to internal validity: one cannot exclude any unnoticed changes or flaws in the model, since there is no information about these; the authors have reduced this problem to some extent, running the API through a special program.</t>
  </si>
  <si>
    <t>Closed model: no updates are guaranteed, see below</t>
  </si>
  <si>
    <t>Section VI-b</t>
  </si>
  <si>
    <t>The instructions contained in the prompt were not followed in all cases: in one case, a purchase in the prompt became a checkout in the output, while in another, although reordering was mentioned in the prompt, it was not included in the sequence diagram produced.</t>
  </si>
  <si>
    <t>Content that is missing from output or renamed in the prompt.Content that is not included in output or not the same name in the prompt.</t>
  </si>
  <si>
    <t>Absence: non-determinism is not discussed, and it seems that the diagrams have been generated only once for each version of the prompt.</t>
  </si>
  <si>
    <t>Present: no repeat generation, variability overlooked</t>
  </si>
  <si>
    <t>Training data contamination is stated as one particular problem in the future evaluation of the reference architecture: as the selected reference architectures might already exist in the training data of the model, the authors will verify whether the output produced is synthesis or reproduction, and use new requirements in the latter case.</t>
  </si>
  <si>
    <t>The threat of contamination of training data was mentioned in relation to planned evaluation.</t>
  </si>
  <si>
    <t>The existing approaches to AI have been characterized by being unreliable and unpredictable, provided as the justification for using classical algorithms for structured technical tasks over LLMs.</t>
  </si>
  <si>
    <t>AI-generated content that is unstable and inconsistent when it comes to tasks that require structure.</t>
  </si>
  <si>
    <t>This retrieval approach is based on the design that fails closed and does not guess: If no knowledge-base material related to a prompt is retrieved, then the model will not be invoked and a default response will be generated instead, unlike the zero-shot approach where a response will always be generated, even if it is not well-grounded.</t>
  </si>
  <si>
    <t>Retrieval is designed to fail closed, “zero-shot” always answers without grounding.</t>
  </si>
  <si>
    <t>Over-generalization is described as the defining feature of failure of the zero-shot approach: Outputs were functional but resorted to general pattern names from a catalogue, not options unique to the system itself.</t>
  </si>
  <si>
    <t>The beauty of Zero-shot is that it never makes up answers, it only errs on the side of over-generality.</t>
  </si>
  <si>
    <t>It is recommended to use the Oracle Verifier to verify the accuracy of knowledge acquired by the combination of system-specific and external data, and formal methods are suggested as an example of this oracle type, instead of a human verifier that would look for errors in the knowledge.</t>
  </si>
  <si>
    <t>A verifier that can be formalized was proposed, not only for human review.</t>
  </si>
  <si>
    <t>Absence: no mechanism to mitigate hallucinations is provided for any part of the suggested extraction, fusion or retrieval process; the only evidence of reliability in the paper comes from the independent study mentioned in 2.4.</t>
  </si>
  <si>
    <t>Absence: No reliability mechanism proposed for the proposed system itself</t>
  </si>
  <si>
    <t>The newer of the two models available was discarded due to the lack of reproducibility: when the same prompt was issued repeatedly, the model would always refuse to generate anything, but this problem could not be solved even after much effort at reformulating the prompt, whereas the older model would generate some result for the same prompt about seven times out of ten.</t>
  </si>
  <si>
    <t>Newer model is dropped due to reproducibility problems with which the authors were not able to solve by reformulating prompts.</t>
  </si>
  <si>
    <t>Section I, Section IV-A</t>
  </si>
  <si>
    <t>Each of the five sophisticated prompt types, in the selected context, would yield at least one instance of failure and one instance of success among the repetitions when using the same fixed prompt.</t>
  </si>
  <si>
    <t>There were failures and successes in each type of prompt.</t>
  </si>
  <si>
    <t>Two independent solutions to the same architectural design created from the identical prompt are quite different from each other in terms of both their content and structure, proving that the repetitions are inconsistent not only in terms of their wording but also because of the designs they generate.</t>
  </si>
  <si>
    <t>Structurally different architectures were obtained by identical repeated prompts, which are demonstrated concretely.</t>
  </si>
  <si>
    <t>Section IV-D, Figure 3</t>
  </si>
  <si>
    <t>The engineers who took part in the validating survey associated the issue of non-reproducibility with engineering distrust, one of them saying that obtaining a different solution to an identical question means the untrustworthiness of the engineering process, and the inability to reproduce the results cannot be considered an error of the user but a feature of the tool.</t>
  </si>
  <si>
    <t>Practitioners say that the non-reproducibility is unreliable by definition, not user error.</t>
  </si>
  <si>
    <t>It was found out by the authors that the variation of recommendations regarding which architectural style to choose for the case study system may differ when using a question about finding the best suitable architectural style and naming microservices, layered and client-server among others, and that the similar variations may also apply to recommendations and artefacts like diagram and requirement scripts.</t>
  </si>
  <si>
    <t>Same question, several different architectures, and variation is also found in scripted artefacts</t>
  </si>
  <si>
    <t>Biased output is considered a different problem apart from variation: a recommendation about which modeling notation, tactic, pattern or style is the best, may be based either on the popularity of this notation, tactic, pattern or style or on bias in training data and thus, the architectural recommendations, pattern choices and validation scenarios may be suboptimal; there are many sources of bias mentioned by the authors.</t>
  </si>
  <si>
    <t>The recommendation bias due to frequency of adoption and training data</t>
  </si>
  <si>
    <t>Negative result was recognized and discussed as such by the authors, and literature supporting the importance of presenting negative results as well as new research directions was cited.</t>
  </si>
  <si>
    <t>Authors clearly state and justify a negative/mixed outcome</t>
  </si>
  <si>
    <t>The authors argue that since the relationships among words in normal language, which is the focus of BERT, are different from those among tokens in code, the latter cannot just be treated like any other natural language text when using BERT.</t>
  </si>
  <si>
    <t>A mismatch between code and text was proposed as an explanation for the generalization gap.</t>
  </si>
  <si>
    <t>Three specific validity threats are cited: dependence on developers employing verbose, unabbreviated names (since abbreviations would likely not appear in BERT's vocabulary); pre-processing effects on outcomes; and past research (Niven &amp; Kao) demonstrating that BERT uses statistics and surface features of training data instead of semantic comprehension.</t>
  </si>
  <si>
    <t>These threats are referred to as: named threats, identifier style threats, pre-processing influence threats, and surface-cue reliance threats.</t>
  </si>
  <si>
    <t>"Black-box" stochastic behavior of LLMs is cited as the explicit motivation for using comprehension and verification to ensure reliability, contrasting this approach with interacting with a human that could verify comprehension.</t>
  </si>
  <si>
    <t>A stochastic black-box behavior, as described in the motivating reliability risk.</t>
  </si>
  <si>
    <t>For the self-debugging capability, about 1.5 tries were required on average to generate the metric-evaluation code, which would be correct after passing the validation stage. Moreover, the snippet that passes the validation test will pass the tests based on its prompt always further on, showing that the verify-and-retry cycle, but not generation per se, is the reason behind the correctness of the figures in Table 3.</t>
  </si>
  <si>
    <t>The average number of attempts required to self-debug is ~1.5 attempts; validated code always passes.</t>
  </si>
  <si>
    <t>Section IV-B-1</t>
  </si>
  <si>
    <t>However, the degradation due to reduced prompt clarity can happen only to one prompt type, as shown in Table 6. For the DMG module, text-only prompts decrease from 21/21 being passed informally to 15/18 at both unclear and ambiguous levels; however, prompts with formulae pass all three tests (18/18, 18/18, 21/21), while prompts with formulae and pseudocode pass all three tests too (24/24). However, the prose of the paper claims consistently degraded performance, whereas the table presented there does not show such a degradation for the latter two types of prompts. For the MCDM module, the table 7 shows consistent robustness up to the third degradation level, when the module makes six mistakes out of 30 prompts.</t>
  </si>
  <si>
    <t>Prompt clarity has a negative effect on text-only prompts; formula and pseudocode prompts hold</t>
  </si>
  <si>
    <t>Section V, Tables 6 and 7, p. 9</t>
  </si>
  <si>
    <t>The authors name a specific LLM failure mode as their central design motivation: 'local-scope bias' arising from snippet-scale training data, which can cause LLMs to omit functions, misstate control flow, or hallucinate identifiers when asked to summarize whole files or packages, directly motivating the AST-derived reference-graph and adaptive-grouping mechanisms as mitigations.</t>
  </si>
  <si>
    <t>Local-scope bias (omission, misstated control flow, hallucinated identifiers) used as the core motivating failure mode</t>
  </si>
  <si>
    <t>Cross-model robustness was measured through direct comparison: comparing the F1 gain of the Full method between Qwen3-32B and a DeepSeek-R1-distilled Llama model yielded no statistically significant difference (p=0.361, effect size 0.24, 95% CI [-0.28, 0.76]), which the authors interpret as indicating that the benefit offered by the dependency-context mechanism is not confined to a particular underlying model.</t>
  </si>
  <si>
    <t>Evidence of model-independent robustness in no significant difference in improvement.</t>
  </si>
  <si>
    <t>Section 4.2, 'Results', Figure 3b</t>
  </si>
  <si>
    <t>Hallucination is identified as the key challenge upfront and is addressed in structure: the stated design objective is to constrain hallucination by grounding and cross-checking, with three described mechanisms, validation across vector store and web via multiple sources, a contextual confidence score, and semantic fusion via consistency check.</t>
  </si>
  <si>
    <t>Grounding, cross-checking and fusion were the design drivers for Hallucination.</t>
  </si>
  <si>
    <t>Section I, Section II-C</t>
  </si>
  <si>
    <t>The retention policy controls what can be output: candidate diagnoses offered by the model are retained only when there is at least one retrieved passage explicitly endorsing them, which the authors present as constraining generalisation and enabling the tracking of each diagnosis to a cited span of text.</t>
  </si>
  <si>
    <t>If an explicitly supporting retrieved passage exists, the candidate diagnosis is retained only if such a passage exists.</t>
  </si>
  <si>
    <t>Section II-A-2</t>
  </si>
  <si>
    <t>The residual risk is explicitly stated and not claimed away; the authors recognize that the risk of hallucinations in LLMs cannot be eliminated and they only claim to have reduced it, and they cite variability in rare clinical settings and hallucination risk among other things requiring further research.</t>
  </si>
  <si>
    <t>The authors admit there is a likelihood of hallucination but it is not ruled out.</t>
  </si>
  <si>
    <t>Four kinds of hallucinations are explicitly defined by the authors through their investigation and experience and each has an explicit underlying cause and its own set of countermeasures (insufficient knowledge about the model, misalignment between the intended task and user preference, vague and general text inputs, and mismatch of complexity) explicitly characterized as a system-engineering perspective alternative to the intrinsic/extrinsic classification of hallucinations which according to the authors "does not provide actionable guidance for mitigation."</t>
  </si>
  <si>
    <t>Four type hallucination taxonomy with specific causes and countermeasures, actionable</t>
  </si>
  <si>
    <t>Section IV-B-3</t>
  </si>
  <si>
    <t>Imperfect accuracy of the output is distinguished from the ability to tolerate hallucinations; the former is redefined as 'the outputs with imperfect accuracy may still be useful across different use cases, depending on the specific requirements and the degree to which they reduce human workload.'</t>
  </si>
  <si>
    <t>Reliability is not a pass/fail characteristic, but rather a trade-off between usability.</t>
  </si>
  <si>
    <t>This reliability claim is measured and negative for their own system in a way that should be noted: the test run on five generated requirements specifications is said to detect about twenty percent hallucination rate in the initial drafts, with the mistakes made and fixed via a human-in-the-loop process.</t>
  </si>
  <si>
    <t>The authors report twenty percent hallucination rate based on five generated specifications, which is an undetermined denominator.</t>
  </si>
  <si>
    <t>Section IX-C</t>
  </si>
  <si>
    <t>The cascade argument is the strongest point in the paper and pertains only to the multi-agent case. Since the next agent builds on top of the product of the previous one, a mistake made earlier does not remain local; the illustration in the paper is a small mistake in the planning agent leading to poor architectural recommendations generated by the design agent. Mistakes made earlier are seen to be particularly damaging, and the solutions suggested include human supervision and validation checks.</t>
  </si>
  <si>
    <t>Early-stage error that is compounded down through an agent pipeline, not kept local</t>
  </si>
  <si>
    <t>No part of the system can identify a hallucination. In the reported audit, the identification and correction of errors have been done manually; and the validation layer that is to carry out such processes is unbuilt. No residual error rate, post-correction rate, and error rate in any other agent other than the requirement agent is reported. The cascade as presented in the paper is thus analyzed but not instrumented.</t>
  </si>
  <si>
    <t>No automated check for absence: hallucination detection is all human</t>
  </si>
  <si>
    <t>Sections IV-C, IX-C; would have appeared in Section IX-C</t>
  </si>
  <si>
    <t>Both kinds of errors are reported and analyzed, not just the successes. Duplicate detection is supposed to make both false positive and false negative errors, and this paper provides reasons for both kinds of errors: overemphasis on textual similarity which does not account for difference in context or intention, similarity threshold being too low, the presence of commonly used phrases in safety standards, ambiguous requirements, and possibly overfitting. Error of missed contradictions is due to ambiguous phrasing, complex interdependencies, lack of understanding of the domain in the required context, and the one error of contradiction being due to over-analysis or reading.</t>
  </si>
  <si>
    <t>Two kinds of errors reported: false positive and false negative (with candidate causes)</t>
  </si>
  <si>
    <t>Sections IV-A-3, IV-A-4</t>
  </si>
  <si>
    <t>Inconsistency is diagnosed as a context-window effect and acted on. The paper attributes the initial classification inconsistency to each requirement being judged with reference to its neighbours in the batch, and states the trade-off directly: a short or missing context may be insufficient while an overly long context may confuse and mislead. The remedies applied follow from that diagnosis, independent per-item classification, a declared catch-all for low confidence, required reasoning, required confidence values, and a fixed low temperature to make answers as deterministic as possible.</t>
  </si>
  <si>
    <t>Inconsistencies observed in the classification that were identified as batch-context interference and addressed through explicit controls.</t>
  </si>
  <si>
    <t>Sections III-D, IV-A-1, V-C</t>
  </si>
  <si>
    <t>Inter-agent variability is considered the main phenomenon under study rather than noise. The numbers per model are listed in Table IV, where all the five per-model values (development time, maintainability, code coverage, security score, and self-correction rate) differ across the three models, and both the fastest and the most stable agent are different models. The artifact numbers in Table V are not per-model: the third column provides only a single Across Agents (cumulative) number, which does not allow comparison of class counts, line counts and design-update counts between the models.</t>
  </si>
  <si>
    <t>The difference between the measurements and what it is reported as is a finding.The difference between the models measured and reported is a finding.</t>
  </si>
  <si>
    <t>Section V, Tables IV and V, p. 6</t>
  </si>
  <si>
    <t>Iterative self-correction is considered the mechanism for containing unreliability; agents self-correct based on validation output before submitting it. Chat-assisted agents’ weak self-correction is explained by their reliance on human guidance in the process of refinement.</t>
  </si>
  <si>
    <t>A method of self-correction against validation output as the mechanism of reliability.</t>
  </si>
  <si>
    <t>Section III-B; Section V</t>
  </si>
  <si>
    <t>The term 'hallucination' is not used in the whole paper, and there are no examples of incorrect, fraudulent or non-compiling outputs reported for any cohorts. There were no failures at all: three models produced a complete implementation each.</t>
  </si>
  <si>
    <t>Absence: hallucination never mentioned and no failure case reported for any cohort</t>
  </si>
  <si>
    <t>Non-determinism is mentioned as a threat, and the mitigation of which is specified in concrete terms: the temperature is set to zero, and the same seed is used in every test so that future work may replicate the results; and the mitigation is described as a validity measure, not as an assumption.</t>
  </si>
  <si>
    <t>Non-determinism was identified as a threat and the temperature was determined to be zero and a fixed seed was identified as a mitigation.</t>
  </si>
  <si>
    <t>The mitigation is mentioned as being partial – which is more useful: One approach fails to be deterministic even when the temperature is set to zero due to its long prompts and formatting, which is why it is run five times, and one model fails to let us set the temperature at all.</t>
  </si>
  <si>
    <t>For long structured prompts, there are some prompts for which the determinism control is reported as failing, and on which is not available on one model.</t>
  </si>
  <si>
    <t>Section 5.6; Section 5.4.2</t>
  </si>
  <si>
    <t>Format compliance is considered an engineering challenge and solved in such: The paper mentions that there is no guarantee that the response will comply with the request; and the algorithm of parsing the outputs is given in line-by-line detail: accept lines starting with a dash, remove the words "component" and "components," use camel case, and eliminate duplicates.</t>
  </si>
  <si>
    <t>Non-adherence to the format acknowledged and answered (as per a prescribed parsing procedure)</t>
  </si>
  <si>
    <t>Self-modifications are restricted by explicit validation, not by trust. Changes in structure are validated prior to being incorporated because such modifications could cause execution to break: edges which duplicate an existing connection are denied to avoid redundancy or conflict, a maximum number of iterations is enforced to avoid endless looping, and edge directionality is validated whenever a cycle is added to ensure there is always an exit from the loop.</t>
  </si>
  <si>
    <t>Structural changes subject to integrity checks: no duplicate edges, bounded loops, defined exits.</t>
  </si>
  <si>
    <t>Changes of these two kinds are evaluated according to their level of potential danger differently, and such differentiation has a reasonable basis. Changes of structure are validated because they might cause execution to break, whereas changes in prompts affect only the inner state of the node and can be incorporated directly without validation.</t>
  </si>
  <si>
    <t>Applied asymmetrically by risk: structural changes gated, prompt changes not</t>
  </si>
  <si>
    <t>Proposals that cannot be performed are filtered out prior to being validated: only those that don't require any inputs from outside of agent's capacity are kept, which is an initial filtering mechanism of what the model is allowed to want as opposed to what it is allowed to do.</t>
  </si>
  <si>
    <t>Feasibility screening prior to validation of proposals, eliminating unfeasible actions</t>
  </si>
  <si>
    <t>The term hallucination is cited as the reliability issue that retrieval-augmented systems are meant to mitigate through grounding their suggestions in a proven foundation and context.</t>
  </si>
  <si>
    <t>Grounding as the solution to hallucination</t>
  </si>
  <si>
    <t>Absence: Nothing concerning non-determinism and repeatability between runs is mentioned, and there is no mention of any model chosen for selection, configuration or evaluation; therefore, no claim about the reliability of any specific system is made. However, there is one mention of the name of the model inside the feedback loop figure depicting a training pipeline from a paper. The training pipeline depicted here is not an implementation choice of this paper. We have only scanned 10 out of the 15 pages of the chapter, which are 335 to 349; however, pages 339, 340, 346, 347 and 349 are missing.</t>
  </si>
  <si>
    <t>Absence: no variability is treated and no model of implementation is identified.</t>
  </si>
  <si>
    <t>The question about reliability that the paper raises is the matter of relevance, not correctness: The model trained exclusively on generic sets will always provide a general answer regardless of the field, and this is why the third approach has been used.</t>
  </si>
  <si>
    <t>Unexpected output, given the name it received (domain irrelevant output)</t>
  </si>
  <si>
    <t>Absence: There is no discussion of hallucinations, lack of determinism and reproducibility despite the fact that the suggested solution is supposed to generate attack paths for safety-critical systems, and any imaginary attack path will make testers or architects chase a phantom vulnerability.</t>
  </si>
  <si>
    <t>Individuals with no treatment for either hallucination or non-determinism.Hallucination and non-determinism no treatment.</t>
  </si>
  <si>
    <t>Loss of criticality due to dependence on generative solutions is given as a current threat, and the need to validate any technical assumptions generated by AI against the actual project context is seen as a key requirement.</t>
  </si>
  <si>
    <t>Over-reliance and unvalidated assumptions identified as unaddressed risks</t>
  </si>
  <si>
    <t>6.1 Open challenges and stated future work</t>
  </si>
  <si>
    <t>T6. Challenges</t>
  </si>
  <si>
    <t>T6: challenge</t>
  </si>
  <si>
    <t>The authors mention that AI can give results which are technically correct but inappropriate for the actual task without human input.</t>
  </si>
  <si>
    <t>Correct - but not applicable output as an unsolved problem</t>
  </si>
  <si>
    <t>Future work, according to the authors, includes adding more interactivity to the process, customization to particular project cases, and testing in relation to architectural styles other than microservices.</t>
  </si>
  <si>
    <t>Future work: interactivity, other architectural styles</t>
  </si>
  <si>
    <t>Hallucinations and broad guidelines are identified as still remaining challenges, and future work has four components – user intervention opportunities, coordination among multiple agents that would make ATAM evaluation possible, integration with existing methodologies and solvers, and retrieval augmentation.</t>
  </si>
  <si>
    <t>The overall structure of the agenda is as follows: interaction, multi-agent, methods, grounding.</t>
  </si>
  <si>
    <t>As of early 2024, the authors claim that software architecture has been relatively unaffected by generative AI, and that, as far as they know, no previous research has generated design decisions using such models, which serves as a convenient starting point to date the development path of the field.</t>
  </si>
  <si>
    <t>In early-2024, it was claimed that much of the area was unexplored.</t>
  </si>
  <si>
    <t>Future work that the authors mention includes the fine-tuning of larger models to generate at human levels, as well as providing more knowledge through retrieval and other means such as design diagrams and codebase, and conducting live experiments with architects; standardized adoption is claimed as being out of reach yet.</t>
  </si>
  <si>
    <t>Bigger, richer, live studies: agenda.</t>
  </si>
  <si>
    <t>Abstract, Section VIII</t>
  </si>
  <si>
    <t>They claim that there are no previous studies empirically testing these models on architectural knowledge of an existing system, and thus offer their results as a first baseline for further improvement.</t>
  </si>
  <si>
    <t>This evaluation task is located on the first baseline.</t>
  </si>
  <si>
    <t>Section I, Section VII</t>
  </si>
  <si>
    <t>Future work is mentioned as repeating the evaluation using other architectures and training data sets, along with developing new methods and tools to increase accuracy when dealing with architectural questions.</t>
  </si>
  <si>
    <t>Model: more models; accuracy improving tooling: accuracy improving.</t>
  </si>
  <si>
    <t>This future work agenda contains four points: repeating the comparison in another field, employing more sophisticated techniques in prompt engineering, comparing different vendor models based on the same similarity metric, and creating a specialized model for software architecture.</t>
  </si>
  <si>
    <t>The primary idea of Agenda is to provide other domains, use better prompts, cross-vendor support, and custom model.</t>
  </si>
  <si>
    <t>Section XI, Section XII</t>
  </si>
  <si>
    <t>The related work mentions a prior result in which the particular version of the general chat model investigated there was shown to be less capable at software architecture tasks compared to software development tasks.</t>
  </si>
  <si>
    <t>Prior work cited reporting architecture lags code performance</t>
  </si>
  <si>
    <t>Section II</t>
  </si>
  <si>
    <t>There are four clear, numbered research questions, stated as the evaluation roadmap of the paper and all are still open as of now: Is the current NLP technology capable of creating reproducible, accurate domain models? Can architectures be created which appropriately meet the requirements? Can evaluation and trade-offs be automated? Will the entire approach increase quality while decreasing time?</t>
  </si>
  <si>
    <t>The whole agenda is framed with four explicit open research questions</t>
  </si>
  <si>
    <t>The paper clearly states itself to be a vision paper outlining a process and research roadmap, and presents the planned reference-architecture and industrial field studies as future work, not results.</t>
  </si>
  <si>
    <t>Explicitly stated in the form of a vision paper; results are future work</t>
  </si>
  <si>
    <t>Abstract, Section 5, Section 6</t>
  </si>
  <si>
    <t>The listed future work includes empirical experiments using records from various projects, detailed qualitative analysis of humans' answers to help refine the copilots' input and prompts, trying alternative and multi-modal models, and investigating the way in which architectural knowledge must be modeled for the retrieval process.</t>
  </si>
  <si>
    <t>Agenda: more projects, prompts, alternative models, RAG representation</t>
  </si>
  <si>
    <t>The tradeoff between constrained but specific retrieval-based copilots and more general zero-shot copilots is explicitly described as one of the open problems of applying LLMs to software architecture, not a problem that the current paper solves.</t>
  </si>
  <si>
    <t>Specificity vs Generality trade-off is the named challenge as a copilot.</t>
  </si>
  <si>
    <t>The extraction-retrieval two-phased system proposed by the authors themselves is consistently described as a system that they expect to build, not a system that is already built – only its decision generation phase was experimentally tested.</t>
  </si>
  <si>
    <t>Two-phase system as expected but not yet achieved</t>
  </si>
  <si>
    <t>Four explicitly named challenges remain open in the paper: consolidation of architectural knowledge distributed across code, diagrams, commits and various platforms; incorporation of extensive external knowledge; generation of context-appropriate response queries; ease of use.</t>
  </si>
  <si>
    <t>Four challenges were carried over from the open agenda.</t>
  </si>
  <si>
    <t>Section III, Section VI</t>
  </si>
  <si>
    <t>They declare their intention to increase the number of projects in future iterations of the experiment as well as keep observing how the technology will progress regarding the ability to perform typical software architecture tasks.</t>
  </si>
  <si>
    <t>For the future: additional projects, continued monitoring of technology readiness</t>
  </si>
  <si>
    <t>The researchers identified several more research topics that were suggested by the survey respondents and categorized into six categories: verification of compliance with requirements of the automatically produced code/architecture, generation of synthetic test data, estimation of effort required for adoption of the technology, the possibility of the model self-evaluation in terms of its output correctness, the possibility of detection/enforcement of new code conventions by the model, and documentation generation from code/documentation maintenance.</t>
  </si>
  <si>
    <t>The practitioners list six additional areas of research, organized by the authors:</t>
  </si>
  <si>
    <t>Utilization of empirically based knowledge on capabilities of the model and productivity of architects involved in collaborative architecture is declared as the main open question and future work, with the current study being seen as a foundation for it.</t>
  </si>
  <si>
    <t>Empirial evidence on the productivity of architects as the main open problem.</t>
  </si>
  <si>
    <t>Abstract, Section 1, Section 6</t>
  </si>
  <si>
    <t>Future work is to conduct controlled experiments on software development teams whose members vary in demography (geographical location, expertise, experience and software category) to have these teams architecture software and to observe how architects respond in their work, and to apply the method to software development for quantum computing systems.</t>
  </si>
  <si>
    <t>Future work: controlled experiments with various teams, extension to quantum software</t>
  </si>
  <si>
    <t>Future work would include experimenting on multi-label classification (given that a small percentage of real classes use more than one strategy at once), use of long-input transformers, e.g., Longformer in order to avoid input truncation, code-to-text transformations as implemented by code2seq, and training a language model on code directly as opposed to natural language.</t>
  </si>
  <si>
    <t>The course covers the concepts of multi-label classification, long-input models, code2seq, code-native language models.</t>
  </si>
  <si>
    <t>Section 3, Section 5, Section 6</t>
  </si>
  <si>
    <t>The two concrete limitations identified are the need for future work in overcoming the practical limitation of comparing an increasing number of alternative plans m in one-shot MCDM which becomes increasingly difficult as m increases greatly in meta-heuristic algorithms (which is common), thus motivating an iterative algorithm to compare new plan to just a few non-dominated alternative plans at a time; and whether the framework is generally applicable to other domains besides VRP (e.g. scheduling, resource allocation, strategic planning).</t>
  </si>
  <si>
    <t>The future work is called scalable iterative MCDM, and the wider empirical validation that goes beyond VRP.</t>
  </si>
  <si>
    <t>Absence: No section regarding future work or open research questions except for a very short discussion summarizing the results attained thus far, and mentioning no limitations, open questions, or future directions at all in the paper.</t>
  </si>
  <si>
    <t>Results: no future work or open challenges other than a results summary.</t>
  </si>
  <si>
    <t>Future Work as Stated: Clinical and regulatory with two technical issues mixed in: multicenter clinical validation, expert interactive assessment protocols, evaluation on rare cases and multi-disease complexity, integration with clinical guidelines, and in addition to these, resource efficient optimization for time critical applications and evaluation of the reliability of the source of information.</t>
  </si>
  <si>
    <t>Future: multicenter validation, rare case testing, efficiency, and source reliability tests</t>
  </si>
  <si>
    <t>Future Work Mentioned as One Direction: Future work mentioned very briefly in one direction – bridging the insights gained and the architectural framework developed in the research to industrial requirements to make the currently experimental results in laboratory settings become industrially useful applications, but with no specific technical extensions (new design paradigms, more case studies, or particular improvements in reliability).</t>
  </si>
  <si>
    <t>No future-work direction, just a single one: industrial deployment, no technical extensions specified.</t>
  </si>
  <si>
    <t>Section VII (Conclusion)</t>
  </si>
  <si>
    <t>This gap is defined as automation discrepancy along the lifecycle and serves as the core claim of the paper – current tools automate almost everything that goes with deployment and testing while requirements, planning, and design are almost always done manually, and since these three are the pillars of the process, errors committed during them get carried through all of the following phases. This argument is based on well-known cost-of-change law according to which fixing the error becomes increasingly costly the farther you go.</t>
  </si>
  <si>
    <t>The actual lifecycle is referred to as the automation gap, and this is where the defects are easiest to prevent.</t>
  </si>
  <si>
    <t>Future research is listed here as additions instead of open questions: two more specialized agents, integration with development environment and pipeline, long-term memory, enhanced situational awareness and transparency, explanation of architectural choices and test case generation, and predictive and automatic machine learning modules for risk assessment and resource planning, as well as other lifecycle models support to make the architecture extensible. The evaluation of current agents is not mentioned here either.</t>
  </si>
  <si>
    <t>Future work as capability additions, none of which have been evaluated, are listed here.</t>
  </si>
  <si>
    <t>The mentioned gap is situated precisely within the existing literature and not claimed broadly, as a review of generative AI in requirements engineering is cited to have shown strength in the earlier stages (requirement elicitation, requirement analysis and validation), while the latter stages of requirements management and maintenance remain as an unexplored topic; the authors conclude their review by pointing out that there are open problems in the field including complete automation, scalability and integration of the surveyed techniques into a framework for safety requirements.</t>
  </si>
  <si>
    <t>Gap is inserted in the later requirements phases and in integration but not in capability</t>
  </si>
  <si>
    <t>Sections II-E, II (closing)</t>
  </si>
  <si>
    <t>Five future research directions are suggested in enough detail to be considered actionable: determining the optimum batch size without sacrificing accuracy and consistency of the results; allowing the system to learn from classifications done by experts for correcting previous errors; running experiments on a case with thousands of requirements for studying the behavior at large scales; examining any anomalies found during the run of the system; and extending the analysis of contradictory pairs into the contradictions involving three or more requirements. It is also suggested to conduct a comparative study across several commercial systems together with a test for safety requirements verification proposed as a benchmark.</t>
  </si>
  <si>
    <t>Five specific directions and a proposed common safety requirements verification test direction</t>
  </si>
  <si>
    <t>Sections V-B, V-C</t>
  </si>
  <si>
    <t>Future research work identifies concrete architectural design goals instead of abstract extension, such as event-based architectures, CQRS, saga choreography, and asynchronous high-throughput scenarios where scalability, resilience, and consistency could be explored.</t>
  </si>
  <si>
    <t>Named as the next architectural targets were event-driven, CQRS and saga orchestration.</t>
  </si>
  <si>
    <t>Other validation methods are identified as absent in the current research effort: dynamic application security testing, performance testing, and maintenance and efficiency evaluation over a period of time.</t>
  </si>
  <si>
    <t>No mention of dynamic security testing, benchmarking and longitudinal analysis.</t>
  </si>
  <si>
    <t>Future research is concrete and focused on addressing the weaknesses of the current research effort: using architecture recovery and information fusion approaches to enhance code-based extraction that performed poorly, distinguishing production and test code in order to eliminate the confusion identified during error analysis, and enriching prompts with decision-making documents and architecture diagrams.</t>
  </si>
  <si>
    <t>Future work focuses on the weaknesses in the paper itself, such as the weakness of code extraction</t>
  </si>
  <si>
    <t>One of the open problems that is posed is one of metric-level asymmetry, rather than being an abstract goal: weighted recall was low on projects with many links while unweighted recall was high, and increasing the weighted recall of those link-heavy projects is proposed as a goal to be reached, along with fine-tuning the similarity threshold levels on a per-project basis.</t>
  </si>
  <si>
    <t>A detailed measured regression of a specific project, identified as an open problem.</t>
  </si>
  <si>
    <t>Section 5.4.3; Section 6</t>
  </si>
  <si>
    <t>The intended path of progress is clearly identified as adaptability: the conclusion presents the research as being part of the connection between static expert-based structures and dynamic self-improvement strategies, with adaptive diagnostic systems as the next step.</t>
  </si>
  <si>
    <t>As a preparation for future adaptive systems, adaptation is identified as the goal.</t>
  </si>
  <si>
    <t>Limitations: The limitations section does not exist at all and neither does the threats to validity. The limitation of using two datasets within one domain and seed, lack of clinical validation and difference between the offline development process and the clinical environment discussed in the introduction are all ignored. It is only in the case of data exclusions that some information is provided: Images rejected by the model because of the content-moderation policies and images with broken URLs were excluded, 100 of such images from the Skin Concepts dataset.</t>
  </si>
  <si>
    <t>Absence: no "absence" or "threats to absence" section.</t>
  </si>
  <si>
    <t>whole paper; Section 4.1, p. 6</t>
  </si>
  <si>
    <t>Future work is given as improvements on retrieval accuracy, explainability of retrieved results and hybrid validation techniques.</t>
  </si>
  <si>
    <t>Future work: retrieval accuracy, explainability and hybrid validation.</t>
  </si>
  <si>
    <t>Abstract; Section 8</t>
  </si>
  <si>
    <t>The problem that this chapter identifies for itself is that of scale: Manual design is supposed to be ineffective when systems become large because of the increasing complexity of the dependencies between requirements and decisions, which makes it impossible to predict the consequences of any single decision.</t>
  </si>
  <si>
    <t>Proposed solution: dependency webs have to be designed manually, which is not feasible at scale.</t>
  </si>
  <si>
    <t>The gap in the literature is clearly defined and constitutes the claim of contribution of the paper: While there exist methods for attack-path generation, attacker modeling and vulnerability modeling, there exists no feedback loop that uses any of these in order to assist the decision-maker.</t>
  </si>
  <si>
    <t>Found gap: none, but some local feedback may be present.Stated gap: none; found gap: some local feedback may exist.</t>
  </si>
  <si>
    <t>Two questions are assumed as prerequisites (whether there is enough information in architectural models for generating test cases and whether language models are able to contribute to this) and are identified as independent research directions.</t>
  </si>
  <si>
    <t>These are two feasibility questions, NOT assumptions, which are carried along.</t>
  </si>
  <si>
    <t>Section IV-A RQ1; Section IV-B Strategy 2</t>
  </si>
  <si>
    <t>Theme (and RQ answered)</t>
  </si>
  <si>
    <t>Sub-themes</t>
  </si>
  <si>
    <t>Meaning units</t>
  </si>
  <si>
    <t>Coded silences</t>
  </si>
  <si>
    <t>Studies (evidentiary)</t>
  </si>
  <si>
    <t>Independent families</t>
  </si>
  <si>
    <t>Units in T1</t>
  </si>
  <si>
    <t>Units in T2</t>
  </si>
  <si>
    <t>Units in T3</t>
  </si>
  <si>
    <t>Units in T4</t>
  </si>
  <si>
    <t>Units in T5</t>
  </si>
  <si>
    <t>Units in T6</t>
  </si>
  <si>
    <t>Total</t>
  </si>
  <si>
    <t>T1. LLMs Application / Usage for Architecture Design (RQ1)</t>
  </si>
  <si>
    <t>• 1.1 Generation of architecture and requirements synthesis
• 1.2 Support in design decisions; tactic, pattern and technology suggestions
• 1.3 Architecture documentation, rationale capture and design records
• 1.4 Analysis of architecture, recovery, smell detection and conformence
• 1.5 The role given to the model: assistant, autonomous agent, or co-designer
• 1.6 Benefits reported in practice</t>
  </si>
  <si>
    <t>T2. Techniques for Optimization (RQ2)</t>
  </si>
  <si>
    <t>• 2.1 Strategies for prompting; few-shot, chain-of-thought, role and self-refinement
• 2.2 Grounding for knowledge; knowledge graphs, RAG and architecture repositories
• 2.3 Model adaptation, fine-tuning, and multi-agent orchestration</t>
  </si>
  <si>
    <t>T3. Techniques for Evaluation (RQ2)</t>
  </si>
  <si>
    <t>• 3.1 Designs for evaluation; case studies, benchmarks, expert judgement, and experiments
• 3.2 Quality criteria and Metrics used to judge the generated architectures
• 3.3 Latency, cost, and reproducibility of the reported setups</t>
  </si>
  <si>
    <t>T4. Emerging Trends (RQ3)</t>
  </si>
  <si>
    <t>• 4.1 From assistance of single prompt towards agentic and multi-agent architecting
• 4.2 Integration with formal artefact generation and model-driven engineering
• 4.3 Changing role of the architect and Human-AI collaboration 
• 4.4 Movement from assistance from design-time towards runtime and continuous architecting
• 4.5 Goverance, trust and responsible adoption in industrial settings</t>
  </si>
  <si>
    <t>T5. Limitations (RQ3)</t>
  </si>
  <si>
    <t>• 5.1 Limitations reported in practice 
• 5.2 Problems reported about reliability; hallucination, inconsistency, non-determinism</t>
  </si>
  <si>
    <t>T6. Challenges (RQ3)</t>
  </si>
  <si>
    <t xml:space="preserve">• 6.1 Stated future work and open challenges </t>
  </si>
  <si>
    <t>Core contribution</t>
  </si>
  <si>
    <t>Locus of the architectural work</t>
  </si>
  <si>
    <t>Sub-themes touched</t>
  </si>
  <si>
    <t>What breaks / is missing for SAS</t>
  </si>
  <si>
    <t>Framework reading (link grade)</t>
  </si>
  <si>
    <t>Best fit and why</t>
  </si>
  <si>
    <t>Possible extension for SASS (testable), with preconditions and risks</t>
  </si>
  <si>
    <t>Grounding</t>
  </si>
  <si>
    <t>Five reusable prompt patterns in a sequence of decisions with a decision flow that is gated behind an evaluate-and-refine check by an architect.</t>
  </si>
  <si>
    <t xml:space="preserve">Design time </t>
  </si>
  <si>
    <t>1.1(A), 1.2, 1.3, 1.4(A), 1.5, 1.6, 2.1, 2.2(A), 2.3(A), 3.1, 3.2, 3.3, 4.1, 4.2(A), 4.3, 4.4(A), 4.5, 5.1, 5.2, 6.1</t>
  </si>
  <si>
    <t>(a) Adaptation space: there was no output generated which could be adapted. The input was an architecture, model or artefact that could be changed (1.1, related activity) and the output were the suggestions that a loop produced within a decision dialogue. (b) Autonomy: each of the five-patterns is preceded and followed by an architect's evaluate-and-refine check and the Software Architect Persona is written specifically to avoid making any decisions that are beyond the architect's knowledge and control (1.5, 2.1). (c) Assurance: Only human reading of the premise list can be a safeguard against a false premise; and the justifications of the model itself may not cover complex scenarios (5.2). (d) Timeliness and reproducibility: model is not described as ChatGPT v1, v1.5, v2 etc. of ChatGPT, but as ChatGPT and free of any latency or cost, and free of any version, temperature, run count anywhere (3.3). (e) Liveness: coded silence for use, continuous re-architecting not addressed (4.4). Evidence: Two illustrative applications for two scenarios; one industrial and one fictional, relevance determined subjectively, no baseline (3.1, 3.2).</t>
  </si>
  <si>
    <t>The five-pattern sequence is a Plan activity (produces a design decision and a justification is attached), and the Technical Premises list is a fragment of Knowledge (a record of what the design decision assumes). There isn't any Monitor and Analyze input: the situation enters the model by being written as prose by an architect. Execute is the architect who takes action on the decision. The authors don't mention a loop, so we do everything in this map. Rainbow (Inferred): The position of the evaluate-and-refine gate is the same as the position of a constraint evaluation, and the dimensions which a utility function would require are the same as the name of the question that forms the Quality Attribute pattern; but there is no architecture model, no strategy set and no executor. Model@run.time (Not applicable): There is no model kept of anything. The artefacts are a prompt transcript and a premise list which are neither directly related to a running system. But, there are also some requirements that are not known at design time, such as awareness requirements, which are an unassailable requirement and are the design-time counterpart of a requirement monitored at runtime. (1.2)</t>
  </si>
  <si>
    <t>MAPE-K, at Plan. The object of the sequence is a decision and the reason is the result of Plan, the only thing in the paper that resembles Knowledge. The rainbows fit the gate, but if it's not the right model then there's no constraints, and if there's no executor then nothing fits the gate. There is no support for the models@run.time system. Awareness requirements are applied to the approach, not the pattern.</t>
  </si>
  <si>
    <t>Convert the evaluate-and-refine gates to machine-checkable acceptance conditions and the Technical Premises list to a checkable precondition record for the decision, so that a human action (evaluate and refine) in design time can be performed as a constraint check in runtime. Proved by the ability to be tested both by a sequence that can be automatically re-elected against the premises as they still stand and can be automatically rejected when one of the premises fails, and against an architect's own opinion on the same cases. Preconditions: quality attributes as thresholds to be monitored, not as questions; premises in a testable format. Risks: The paper reports shifting the verification burden to the architect to a step without an architect (5.2); an over-constrained persona leads to bias and rigidity (5.1); and there is no model version or setting reported, so no result here is reproducible as a baseline (3.3).</t>
  </si>
  <si>
    <t>Extrapolated</t>
  </si>
  <si>
    <t>The S1 sequence can be verified with a retrospective evaluation, which shows that it can replicate real architectural decisions, and documents failure scenarios: the omission of the precondition to the backend, the underestimated timeframe for the architectural planning, and the vendor bias in a recommendation.</t>
  </si>
  <si>
    <t>Design time</t>
  </si>
  <si>
    <t>1.1(A), 1.2, 1.3(A), 1.4(A), 1.5, 1.6, 2.1, 2.2(A), 2.3(A), 3.1, 3.2, 3.3, 4.1, 4.2(A), 4.3, 4.4(A), 4.5, 5.1, 5.2, 6.1</t>
  </si>
  <si>
    <t>(a) Object setting is NOT the object. As a part of an existing architecture, 2 decisions of microservices are re-enacted without producing anything new, or changing anything (1.1 related activity, 1.4 coded silence). (b) Autonomy (1.5): it is offered as a way for the architect to explore the possibilities and think aloud, and to then choose the options to pursue. (c) Accountability: There is no decision record or rationale artefact produced, the system of adaptation does not have an artefact to record (1.3, coded silence). (d) Assurance: hallucination is answered by requesting it to come up with its logic so the architect can check it, AWS and Azure were recommended, Google is not (5.2). (e) Liveness: the assessment takes the perspective of what has already happened; there is no operation while running, no adaptation whatsoever is mentioned (4.4, coded silence). ( f) Evidence: two companies, two architects, prompts developed by the researcher, not by the practitioner, and the same two URLs published in the accompanying paper (3.1, 3.3).</t>
  </si>
  <si>
    <t>MAPE-K (Inferred): same as MAPE but with evidence that a plan is what a team actually decided. No Monitoring and Analysing, and the test of the plan is a human who is recalling the outcome. Not the authors', ours! Rainbow (Inferred): The architect who makes the selection of one of the options presented by the model. No architecture model, constraint set or executor. Models@run.time (Not applicable): No model of the system is maintained, only the two case systems are described using prose to prompt the person. Dynamic software product lines (Inferred): decisions are made for existing microservices options, which is a variant choice but there is no variability model written down.</t>
  </si>
  <si>
    <t>MAPE-K, at Plan, for the same reason as S1; in the strongest evidence in the family, the paper brings a decision that a team reaches to Plan; no evidence at all, that anything could trigger or accept that decision without a person. Rainbow and dynamic product lines each describe one facet of the decision and none of its machinery; Models@run.time has nothing to attach to.</t>
  </si>
  <si>
    <t>Evaluate a runtime planner by replaying what the planner had decided to do, and compare whether a model, based on its state at that time, reaches the same one. That is the way this paper's processes transitioned from design to adaptation, and they start without the need for a running system. Testable by agreement with the recorded decision over a set of past adaptations, with the two types of failures the paper names as categories to count: a precondition that the model did not ask about and a quantity that it underestimated (5.1). Level 1: Preconditions: a log of past adaptations with state of what was decided, and a judge who knows.Level 2: Preconditions: a log of past adaptations with the state that triggered a specific one, and a judge who knows. Risks: Not providing enough information for complex environments (5.1) and favoring vendor solutions in technology decisions (5.2) due to the rich amount of information available about microservices around the web.</t>
  </si>
  <si>
    <t>An autonomous agent explores, compares and assesses architectural patterns via chained tool calls and reflection, using ReAct and tree-search (LATS) strategies; observed skipping its own assessment tool when using tree search.</t>
  </si>
  <si>
    <t>Design time and agent driven</t>
  </si>
  <si>
    <t>1.1, 1.2, 1.3(A), 1.4, 1.5, 1.6, 2.1, 2.2, 2.3, 3.1, 3.2, 3.3, 4.1, 4.2, 4.3, 4.4, 4.5, 5.1(A), 5.2, 6.1</t>
  </si>
  <si>
    <t>Change to a system: the agent loops through and filters the published patterns/tactics on a requirements document and outputs a set of ranked design solutions instead of changing the system (1.1, 1.2). From the previous prototype, which had to have the agent type the search to be executed, this prototype is an advance in autonomy in that this one chains reasoning across patterns without the guard (1.5), but it was observed that the agent does not attempt to run its own decision-asessment tool (5.2), so the only check in the workflow is one that the agent is free to choose not to run. (c) Assurance: some of the options returned in the ranking were not even a pattern or a tactic in the literature, that names the authors (hallucinations 5.2). (d) Timeliness: a run count, temp, token cost or latency reported are not reported — case study appears to have been repeated only once, not many times (case study repeated output noted as inference work 3.3). (e) Liveness: “Designed only at design time” operation does not run; no operation that is designed; no adaptation loop is provided (4.4, coded silence). Grounding: The authors talk about grounding but do not plan or implement it (2.2), meaning that the knowledge that is used to reason about is in the model.</t>
  </si>
  <si>
    <t>Analyse and Plan: the agent's acts are Analyse and Plan in one loop of its own, as it makes its decision and does its assessment, and reflection is a second pass over its own actions. There is no monitor; and the parameters of the model are Knowledge, hence the authors call grounding as necessary. Ours; the authors describe ReAct and tree search, not MAPE-K. Rainbow (Inferred): closer here than in S1 or S2, as the agent is evaluating candidate architectures against a set of criteria and choosing from them; this is what the adaptation engine of Rainbow does with adaptation strategies. What's missing is the architecture model and the constraints: the criteria are prompt text judged by the model itself. No model kept between runs (Not applicable): no model used between runs and solutions summarised for a reader (1.3, related activity). FORMS (Inferred): is a reflection step which is an LLM-as-a-judge pass on the agent's own three criteria, not a system; in this way it is the shape of a reflective subsystem.</t>
  </si>
  <si>
    <t>Rainbow. This is the one design-time decision paper of which the machinery is similar to architecture-based adaptation: candidates judged based on criteria and then a selection. MAPE-K is a sequence in the agent's internal program that is not paired with any Monitor or anything to be operated on. No models are stored in the Models@run.time. FORMS is designed to cover the reflection step only. The difference here is that while Rainbow's constraint evaluation was external and enforced, this was an evaluation that the agent didn't use.</t>
  </si>
  <si>
    <t>Make the evaluation step independent of the agent and mandatory: Present a proposal to the agent and have it evaluated by someone outside the agent (a checker) who has architectural information, and only apply a proposal that passes. This paper is the evidence to support this reason, its own agent ignored the assessment tool under tree search (5.2). Comparable to the speed with which invalid proposals are disallowed, testing by comparing the agent's own evaluation to an external evaluator of the same proposals. Preconditions: Conditions expressed before the prompt; a checker that is not a part of the agent's model. Limitations: hallucinated patterns being added to the candidate set (5.2), trajectory lock-in after setting a search direction (5.2), duplicate work that increases cost without showing any budget (3.3), and finally the paper's own claim that LLMs for self-adaptive systems is a different line of research (4.4).</t>
  </si>
  <si>
    <t>Partly grounded</t>
  </si>
  <si>
    <t>Shows a quality of ~248M parameter model is fine-tuned to the same level as a 175-billion-parameter model few-shot.</t>
  </si>
  <si>
    <t>Documenttaion step and at design time</t>
  </si>
  <si>
    <t>1.1(A), 1.2, 1.3, 1.4(A), 1.5, 1.6, 2.1, 2.2, 2.3, 3.1, 3.2, 3.3, 4.1(A), 4.2(A), 4.3, 4.4(A), 4.5, 5.1, 5.2, 6.1</t>
  </si>
  <si>
    <t>Object: generated object is a decision field of an architecture decision record (related activity) not an architecture (1.3 makes the scope narrowing explicit). (b) Autonomy: stated conclusion: models can make design decisions, but not in autonomy - even the best performer is not able to capture the decision entirely and the model will assist with the decision, but it cannot take the decision itself (1.5). (c) the quality of the plan; maintaining adherence to the plans in terms of format, but failing to adequately engage with the content of the decision (5.1), is the most important failure mode for a planner. (d) Liveness: generation takes place while documentation occurs, no generation takes place during execution, no mention of adaptation (coded silence 4.4). (e) Dependence: the best models are cloud services, in this case, project data is transferred to a third party, and this involves some privacy, IP and legal concerns (5.1, 4.5). The input consists of a context of a human authored architecture (1.4, coded silence) and there is no analysis of the existing architecture.</t>
  </si>
  <si>
    <t>MAPE-K (Inferred): This is a Knowledge contribution, NOT a Plan contribution. The result of the model is the record of a decision; in a loop, Knowledge contains the results of a previous decision for the later activity to read. The authors do not pose this question like this. Rainbow (Not applicable): No Architecture Model, No Constraint Evaluation, No Strategy; about text generation for a record. Models@run.time (Inferred): a decision record created from a stated context is the design-time form of a rationale associated with a change to the runtime model, but none of this is attached to a running system. Dynamic software product lines (No variability, No binding): not possible. Three-layer (Inferred): A decision is not a change, therefore it would go under goal management, and their contribution would go under that.</t>
  </si>
  <si>
    <t>MAPE-K, at Knowledge. What makes a Knowledge step affordable to be included in a loop is its contribution, which is a record of a decision and its reasoning, and the result measured by the paper, that a 248M fine-tuned model matches a much bigger model prompted few-shot (2.3). Rainbow or dynamic product lines have no place to hang the record, while the three-layer reading, as in the above examples, describes only where the record would reside, not what the paper does.</t>
  </si>
  <si>
    <t>This will involve creating the adaptation record from the Analyse result and the goal it serves from a small locally-hosted fine-tuned model as opposed to a cloud model, so that a loop can write a rationale for each change without having to send runtime data to another location. This paper provides both sides of the argument: fine-tuning a small model gets roughly the same performance as a very large model (2.3); and the data-transmission issue is answered by the locally-hosted small models (1.6, 4.5). Testable by whether engineers can replicate why an adaptation has occurred from the generated record, compared with handwritten records of the same adaptations, using a small with fine tuning to the adaptation and a cloud model as the two arms. Preconditions: context-to-decision pairs for adaptations, which an adaptation log supplies; hardware for local hosting. Risks: decision content below the level of human (5.1); hallucination varies with model size and adaptation method (5.2); and the caution in the paper that the validation and test sets are the same (3.1).</t>
  </si>
  <si>
    <t>Compares the accuracy of a model that answers questions regarding the architecture of an existing system (HDFS) to a hand-built ground truth and demonstrates that errors are primarily those involving confusion between concepts, rather than a wrong answer in general or a different specific instance.</t>
  </si>
  <si>
    <t>Comprehension of the built system and at design time</t>
  </si>
  <si>
    <t>1.1(A), 1.2(A), 1.3, 1.4, 1.5, 1.6, 2.1, 2.2, 2.3, 3.1, 3.2, 3.3, 4.1(A), 4.2, 4.3, 4.4(A), 4.5, 5.1, 5.2, 6.1</t>
  </si>
  <si>
    <t>(a) Object: probing is knowledge already possessed in the model of an existing system, which doesn't generate anything, and that doesn't change (1.1, 1.2, both related activity). (b) Autonomy: Expressed opinion: The model gives a preliminary grasp of an architecture but it should not be considered as an expert analysis and needs to be further refined and validated by experts (1.5). (c) Accuracy is not evenly distributed: accuracy is greater than precision and the model is too generous and the accuracy varies greatly from one knowledge concept to another, and from one quality attribute to another (5.1). Errors: (d) Assurance: Errors in the absence of arguments and lack of provenance (5.2) are the most difficult to detect by automatic checking, and are within-concept confusions, not errors in the categories (the right type of answer, the wrong instance). (e) Liveness: the study investigates already existing system and the question answering is performed on it; it is not discussed whether anything operates during the run of the system or not (4.4 coded silence). (f) Source of truth: It was necessary to check the training-data coverage of the target system before running the study, and a fix is proposed – repository grounding with traceability – which is the knowledge and not the system.</t>
  </si>
  <si>
    <t>MAPE-K (Inferred): this refers to Analyse reading from Knowledge, but in this case the Knowledge is the parameters of the model and not a Knowledge the system writes. That measured result is the accuracy of the Analyse step, per concept; exactly what a loop would need to know before using it! The authors do not specify a loop. Rainbow (Inferred): There is no evaluation of constraints, no selection of strategy; the three concepts tested in the study; components and connectors, quality solutions, rationale are the content of the model; how well a model can answer the questions it is designed to answer gets tested in the study. Models@run.time (Inferred): the best reading in this location. The accuracy of recovering the components, connectors and quality solutions from a built system is measured in this paper, and a runtime model would be the means of keeping it current. But there is no repetition: It's one snapshot, not from the system, but from parameters. FORMS (Inferred): the description recovered is a reflection model of the subject system, of which FORMS is attributing the role.</t>
  </si>
  <si>
    <t>Models@run.time. The purpose of the paper is to describe a system's architecture without a human authoring it – which is a runtime model – and to compare the accuracy of such a description to a ground truth, constructed from issues, documents, code and discussions. In MAPE-K its name is the activity, while in Rainbow it is the content of the model (as opposed to the adaptation); FORMS deals with the artefact and does not refer to its production.</t>
  </si>
  <si>
    <t>To keep the architecture description derived from the model up to date, query the system instead of the model parameters, and use the accuracy numbers per concept to choose which parts of the model description can be trusted by a loop, and which ones must be verified before using the model. The per-concept figures are proposed for exactly this purpose (1.6) and repository grounding and traceability are proposed as the route (2.2). Testable by accuracy of the description after a change, compared to the accuracy before, over an evolving system; the study's precision, recall and F1 against a manual ground truth are the pre-given test; Inputs: system instead of the source to be queried, and at least one ground truth for the system. Weakness: confusion between concepts, which a downstream check wouldn't catch because the answer is the correct shape (5.2); inclusiveness (inflating recall) that could lead to a loop of plausible components that don't exist (5.1); randomness in the output between runs (5.2); a closed model whose hidden changes cannot be excluded (5.2).</t>
  </si>
  <si>
    <t>Uses UML diagrams to map out a requirements specification, using GitHub Copilot; only thing we were able to reliably conclude is that the output sometimes lacked or mislabeled content from the prompt.</t>
  </si>
  <si>
    <t>Diagram production and design time</t>
  </si>
  <si>
    <t>1.1, 1.2(A), 1.3(A), 1.4(A), 1.5, 1.6, 2.1, 2.2(A), 2.3, 3.1, 3.2, 3.3, 4.1(A), 4.2, 4.3, 4.4(A), 4.5, 5.1, 5.2, 6.1</t>
  </si>
  <si>
    <t>(a)It is not an architecture to adapt, no architecture is recommended, and no rationale is captured, (1.1; 1.2 and 1.3, both as part of the same activity). (b) Autonomy: tool used as an assistant to increase design productivity; the quality of the diagrams generated was limited (1.5), but in some cases the generated diagrams were more satisfactory than the human generated diagrams, and/or the tool was used as an assistant to speed up design. Content (c) Fidelity (the deciding break): Explicit reference to the content prompt was not mentioned or was reworded in the output (5.2) and omissions were recorded to each diagram type (5.1). A model that refuses to comply with the instructions of a loop is not affected by a loop. No following repeat generation was performed, so there is no variability examined (5.2 coded silence) and tool version and underlying model is not reported (3.3) (d) Determinism. (e) Liveness: Design time documentation, no action takes place during execution, no mention of adaptation (4.4, coded silence). Evidence: 1 evidence document, 4 diagrams, 1 rater, no validity, no second rater, similarity score (3.1, 3.2) behind matching procedure.</t>
  </si>
  <si>
    <t>MAPE-K (Inferred): a Plan output in the narrow sense as a diagram is a proposed structure and there is no Monitor, Analyse or Execute around it and no Knowledge store. There is no reading thinner in the corpus than ours, which is the MAPE-K reading. Rainbow (Not applicable): no architecture model that is evaluated, no constraints, no strategy, no executor. Models@run.time (Inferred): a runtime model must be machine-readable and the generated diagram is the only model that the paper aims its output at: existing modelling toolchains (4.2). But it's a product which is produced once, not from a system, and which doesn't have any causal relationship with anything. EUREMA (Inferred): output that is intended to be used for a modelling toolchain is in the form of parts of a megamodel, but no executable parts are present here.</t>
  </si>
  <si>
    <t>Models@run.time, weakly. The one property this study contributes towards self-adaptation is that a model can emit a machine-readable model in an established notation, which is the precondition for a runtime model being generated rather than hand-built. MAPE-K has only one activity present and no loop; Rainbow has nothing to attach to; EUREMA needs executability the paper does not offer. The finding that works against it is in the same paper: the notation came out incomplete relative to the prompt.</t>
  </si>
  <si>
    <t>Check a generated model element-wise against the input model that it was generated from and reject it if any elements are not present or moved to different names in the input. The drop or relabeling of prompt-specified content (5.2) is the only reliable finding in this study; it is necessary for this content. Testable by the proportion of models generated that satisfy such a completeness test; and whether the omissions identified in this paper by hand are correctly identified by such a test. Preconditions: an input that is precisely specified, such that it can be checked; a comparison which acts on notation, not prose. Risks: generation that is not repeatable (5.2), no tool version or model identity, thus no baseline available (3.3), and no similarity score matching procedure, so the reported degree of matching cannot be reproduced (3.2).</t>
  </si>
  <si>
    <t>Proposing architecture regeneration as requirements change with a vision paper, while taking into account both the quality gain and the need to deviate from the existing architecture, and reducing the amount of unnecessary change.</t>
  </si>
  <si>
    <t>Repeated design iterations and at design time</t>
  </si>
  <si>
    <t>1.1, 1.2, 1.3, 1.4, 1.5, 1.6, 2.1, 2.2(A), 2.3, 3.1, 3.2, 3.3, 4.1, 4.2, 4.3, 4.4(A), 4.5, 5.1, 5.2, 6.1</t>
  </si>
  <si>
    <t>(a) Autonomy: deliberately limited: The process is limited to known standard procedures which are more easily applied semi-automatically, and because the process is expected to be supervised by an experienced architect, and because there is no training data for the process — the authors' own exploratory test has indicated that the process does not currently perform well if it is fully automated (1.5). The human is trusted to make the final decision: some of the requirements are not recorded because everyone knew them and some are suspected to be added later (1.5). There is no architect or unspoken requirements for a run-time loop. (c) Evidence: Only the first step of narrative observation was formally tested and informally evaluated for 91 requirements, generation and evaluation of architecture (3.1, 3.2) is proposed and fully untested. (d) Quality of that one tested step: both models identified domain concepts but first modelled the system instead of the domain and basic prompt rewording made a crucial difference in the quality of the output (1.6, 2.1). (e) Grounding: domain knowledge is not retrieved but rather is pretrained (2.2 coded silence). (f) Timeliness: there is no reported cost, latency or version pinning (3.3).</t>
  </si>
  <si>
    <t>MAPE-K (Inferred): the pipeline is Plan, followed by an Analyse stage to which an established evaluation method and quality metrics should be automated over (1.4) and the architect is the Execute authority. The one activity that has no counterpart is Monitor: change comes in the form of a revised requirements document, not as a measurement. Rainbow (Inferred): the most similar design-time paper, based on the shape of the decision, to the one we have. The candidates are generated, then automatically evaluated by metrics of quality, and one is chosen (Rainbow's evaluate-then-select, the formalism (4.2) is the model). The missing components are the running system and the executor. Models@run.time (Inferred): the architecture is not a single artefact, but a model with a life, as it is changed in each iteration and is re-generated as the requirements evolve. Three layer (Inferred): most robust reading of structure. Goal management is what changes are worth making: it is the layer that the studies in the implemented corpus do not reach, since it focuses on deciding an architecture from changed requirements, weighing the gain in quality of the change against the cost of departing from the existing architecture and preferring candidates that differ as little as possible (4.4). Awareness requirements (Inferred): a requirement that evolves as changes are made and thus is a monitor of requirement failure that leads to adaptation, in design-time form.</t>
  </si>
  <si>
    <t>Self-managed systems: 3 layers architecture. Only S21 produces an architecture multiple times; all other studies produce an architecture but only once; and, of the studies that do produce an architecture, none considers changing an existing architecture. In this study, this is made an explicit cost-benefit decision with a minimum requirement of smallest change that a quality requirement justifies. That is the question to ask before a self-adaptive system can restructure itself, the goal-management layer has to ask. Rainbow fits the evaluate and select mechanism, not whether or not to change, MAPE-K names the activities, no Monitor; no Monitor to Models@run.time, it names the artefact, not its purpose.</t>
  </si>
  <si>
    <t>Regenerate from a monitored requirement, rather than from an edited requirements document, and use the change-minimisation rule of the paper as the planner's goal: regenerate the affected part of the architecture with the minimal change to the running one, except for a larger change when a quality requirement justifies the cost. The reason that this is testable without a running system is that the rule (4.4) and the evaluation step (1.4) that would be used to award this are already stated in the paper. It is testable because the regenerated fragments can be compared with an architect's own fragments for the same change in requirements and can be scored for the quality gained, as well as for proximity to the current architecture. Preconditions: conditions that can be checked; the automated evaluation step that the paper proposes but the paper has not implemented; an architecture in the formality named by the paper. Risks: the step tested is the wrong step, the model is tested on the system, not the domain (1.6); the quality of the output depends on the prompt wording of the step (2.1); the implicit requirements the paper passes on to the architect, which are not monitored in any way; the proposed generation and evaluation steps have not been demonstrated (3.1).</t>
  </si>
  <si>
    <t>ArchMind: the first working retrieval-augmented generation implementation in the corpus.</t>
  </si>
  <si>
    <t>Decision support with a record and at design time</t>
  </si>
  <si>
    <t>1.1(A), 1.2, 1.3, 1.4, 1.5, 1.6, 2.1, 2.2, 2.3, 3.1, 3.2(A), 3.3, 4.1(A), 4.2, 4.3, 4.4(A), 4.5, 5.1, 5.2, 6.1</t>
  </si>
  <si>
    <t>(a) Object: requirements do not go to a decision record as part of an architecture (1.1, related activity); so what changes in the pipeline is documentation? (b) Autonomy: the design is based on two role model: the deciding "senior architect" is a human being, and the “copilots” are “cognitive architect” humans who can articulate the design and provide critique at any time, but the human can intervene at any point to alter the pattern or edit the decision or write a new one (1.5). It is the critique which they add and not the decision. (c) Missing problem framing: Errors were found to be a result of the absence of a first step in problem framing, which humans take when asking for options: The explicit problem statement based on a requirement is missing (5.1). This is a situation that is not covered by any type of loop. Partial grounding (2.2): retrieval is of external pattern knowledge; not of the project-specific context, which a half a runtime loop would need. (e) Liveness: decision support in design: No runtime/execution-time behaviour is mentioned anywhere (4.4, coded silence). Evidence and cost: explicitly scoped as an initial characterisation, one system, no metric or rubric, no cost or latency figures (3.1, 3.2, 3.3) is a system reviewed by the authors and not against ground truth.</t>
  </si>
  <si>
    <t>MAPE-K (Inferred): The five copilots split the tasks of Analyse (to verify whether a candidate decision conflicts with previous decisions), Plan (to develop a candidate pattern decision, rank it and instantiate), and Knowledge (to present the consolidated MADR record and to present the structured rationale that was captured prior to recording). Human is the one that is not monitored and is called Execute. The division by task is the most similar to loop activities of all design time studies in the corpus. Rainbow (Inferred): When an evaluation of consistency with previous decisions occurs, it is done by someone other than the proposer, and when the retrieval step fails, it fails closed, not by generating an answer (2.2, 5.2). Two of the three parts of Rainbow are those. The architecture model is not there, and so are no programs that run. Regraded by Rainbow: describes a running system within an architectural model and selects an adaptation; none of these is the Check outside the generator, a Coverage rule or a Proposed utility and are not applied to a running system. Machine-readable: the record is directed towards existing MADR template (4.2) and hence is machine-readable, but not a model of a system but a record of a decision. ActivFORMS (Inferred): a check that will not answer if it does not answer well; only what has been confirmed will pass through; but nothing here is formally confirmed.</t>
  </si>
  <si>
    <t>Rainbow, on the basis of the fail closed check. In this case, it is a candidate decision that determines whether a candidate decision can proceed: the consistency copilot promotes it based on the previous decisions; in the event that it cannot ground an answer, retrieval returns something generic instead of nothing. A loop requires a separation between Plan and Execute; that's what the proposer/ checker is. The copilots are mapped in a clean fashion with no Monitor and no Execute, but Models@run.time fits the template and not the object, and ActivFORMS fits the disposition, but not the verification.</t>
  </si>
  <si>
    <t>Place the consistency copilot in the middle of an adaptation plan and its implementation: a proposed change is provided to a planner; a separate checker applies the proposed change to the adaptation decisions already in place; a change that cannot be supported is not answered but rejected. Testable by the rate of false-positive plans from true-negative plans and true-negative plans from false-positive plans (incorrectly blocked) vs true-negative plans from true-negative plans (correctly blocked): paper's two strategies used as arms, retrieval with a failure closed against zero-shot with always a true answer but some may be false (5.2). Preconditions: decisions in force as represented in a form checkable by the checker (2.2); retrieval corpus that covers the project – this paper does not have. The risks are that the check returns no value, so that a loop that needs action remains stalled (5.1); runtime has no value supplied to solve the problem, which does not get framed either (5.1); a plain reconfiguration may be ignored, in favour of a catalogued pattern (1.6); and no cost figure for a pipeline of five model calls (3.3).</t>
  </si>
  <si>
    <t>The concept of a first verification of fused architectural knowledge before storing it, possibly with the help of formal methods, was introduced as the idea of the Oracle Verifier within the corpus: the proposal is to use an Oracle Verifier to determine the validity of the fused architectural knowledge.</t>
  </si>
  <si>
    <t>Proposed at design time</t>
  </si>
  <si>
    <t>1.1, 1.2, 1.3, 1.4, 1.5, 1.6(A), 2.1(A), 2.2, 2.3, 3.1(A), 3.2(A), 3.3(A), 4.1, 4.2, 4.3, 4.4(A), 4.5, 5.1, 5.2, 6.1</t>
  </si>
  <si>
    <t>(a) Nothing exists: the extraction, fusion, verification and retrieval components are suggested but not constructed, components 3.1 and 3.2 related, and the empirical content of the paper represents a restatement of the earlier study by the paper's family (both related activity). Explicitly Unresolved Engineering Challenges: There are four engineering domain challenges that are left open, explicitly unresolved (5.1). No benefit in practice reported (coded silence) (1.6): (b) no benefit in practice reported. The costs and the latencies are not given for a system that does not exist (coded silence): (c) Timeliness: none of the costs or latencies are provided for a system that doesn't exist (3.3, coded silence). (d) Reliability: There is no mechanism in place in the proposed system itself (5.2 coded silence); The Oracle Verifier is a specification. (e) is liveness; runtime logs are named as one source knowledge can be mined from, and nothing more; is a documentation input, not an adaptation input (4.4, coded silence). (f) Autonomy: if there are manual tools, then they are not used; the same knowledge is presented in multiple forms that depend on the person who is asking (4.3); the system is an instrument that people want to use to ask a question of it.</t>
  </si>
  <si>
    <t>MAPE-K (Inferred): a Knowledge proposal, virtually all. The Knowledge component is the job of a pipeline to learn from artefacts within a project and merge that knowledge with knowledge from somewhere else and to validate and respond to queries based on the knowledge. Two query templates penetrate Plan; one to generate candidate architectures for new systems, the other to propose architectural changes to new features (1.1, 1.2). But no selection and execution of a strategy, no architecture model Rainbow depends on, and the proposed structural validity check is the constraint evaluation: Rainbow (Inferred). Models@run.time (Inferred): the proposal is closer than any paper that is not built as far as using the knowledge base, with sources being repositories and documents, and logs being named as a source for mining. The first non-human verification concept in the corpus is the Oracle Verifier which validates the validity of fused knowledge before it is stored in the database and which may rely on formal methods (4.2, 5.2); the framework defined on the basis of the Oracle Verifier is called ActivFORMS, and only what is verified is accepted. FORMS (Inferred): a collection of artefacts drawn from a system, which are reasoned over, is a reflection model in FORMS's sense.</t>
  </si>
  <si>
    <t>ActivFORMS. The innovative concept of the paper is not the knowledge base itself, as several studies suggest, but the gate in front of the knowledge base: knowledge is not stored, until it has been verified by a verifier, which can be formal. None of them specify that what enters a knowledge store is to be gated by the presence of a machine-checkable condition, and none of them suggest a formal verifier for what enters a knowledge store, except for S13 where the presence of one model call is compared to another model call, and S18 where the input is supposed to be in the form of a formal model, but none of them. MAPE-K is located at Knowledge and does not mention the gate; FORMS is located at the artefact but does not mention the running system; Models@run.time does not mention the Knowledge, the paper mentions it.</t>
  </si>
  <si>
    <t>Define the Oracle Verifier as the gateway between an adaptation plan and its execution, not between fused knowledge and its storage and tell what the Oracle Verifier checks: whether the plan conforms to the architecture metamodel, whether the plan contradicts an adaptation decision already in force and whether the preconditions of the plan are met in the current state. The paper provides the concept and its formal-methods ambition and does not provide any of the three conditions. Testable because of the speed with which it rejects invalid plans and it rejects valid plans; requires only a plan generator and a metamodel and not the rest of the proposed system. Common skills: a representation of the plan to be read by the checker; a metamodel to check against; adaptation decisions held in an queryable manner. What are the risks here? Specification; the verifier is unbuilt, and there is no reliability mechanism for the proposal itself (5.2); aggregating knowledge is demonstrated as the diagram, documentation and code all in one (5.1); and a formal check that is sound, but too slow to fit inside an adaptation interval; the paper gives no figure at all (3.3).</t>
  </si>
  <si>
    <t>The best evidence for the reliability of the corpus: selected a model version which was more reproducible, and two identical runs of an identical prompt resulted in different architectures. Seems to believe that the technology fails to satisfy the authors own requirements for an engineering technique, an aid to engineering, or a methodology for engineering and "is a ritual, not an engineering practice.</t>
  </si>
  <si>
    <t>State of practice surveyed and at design time</t>
  </si>
  <si>
    <t>1.1, 1.2, 1.3, 1.4(A), 1.5, 1.6, 2.1, 2.2(A), 2.3(A), 3.1, 3.2, 3.3, 4.1(A), 4.2, 4.3, 4.4(A), 4.5, 5.1, 5.2, 6.1</t>
  </si>
  <si>
    <t>In particular, the main result of the corpus analysis on determinism is that repeated instances of each prompt type gives rise to different structures (a); repeated instances of each prompt type have a failure mode, but a successful one to counter that failure mode is not possible in the newer model; and the newer model fails to have a suitable alternative structure to compensate for its failure mode, where repeated instances of the older prompt type did (5.2). (b) Own assessment: The model does not meet three standards the authors put forward for engineering tools, assistance tools and methodology: It does not provide a same output with a same input; it will not guarantee a same output when repeated with a same input; it does not specify steps towards success; it does not describe a context where success is not possible. They feel it is a ritual help to be used as an inspiration aid (1.5). (c) Autonomy: The role of the architect is not to create from scratch, but to filter such alternatives and the risk of uncritical acceptance is recognized as a risk to quality and the architect's own innovation (4.3). The problems reported by test subjects (5.1) were: (d) Quality of output – missing hierarchy, undefined boundaries, missing stakeholders and problems in the visual presentation. No retrieval, single unmodified model (v.2.2 and 2.3 coded silence). Ongoing engineering and technology monitoring, as in f.) IsLive, no active process exists during the run-time.</t>
  </si>
  <si>
    <t>MAPE-K (Inferred): a Plan output, generated zero-shot into the C4 view model, with no Monitor, Analyse, Execute or Knowledge. The contribution the study makes to a MAPE-K reading is negative and load-bearing: It is a measure of how far the Plan activity can be relied on to be repeatable. Rainbow (Inferred): The generated C4 views are the architecture model Rainbow runs on; and the prompts ask for advice on pattern, tactic and anti-pattern in relation to quality properties (1.2) which is the content of a utility function; but there are no automatic selections and no constraint evaluated. The output of Models@run.time (Inferred) is machine-readable and can be used to seed a runtime model, but the paper illustrates two executions of the same prompt resulting in structurally different models, which can't be a property of a runtime model. ActivFORMS (Inferred): this study argues in favour of by exclusion. If the outputs are not reproducible and the conditions of success are not known then nothing can be executed until it is verified against anything other than the generator (which is the ActivFORMS position). Control-theoretic adaptation (Inferred): The authors' three criteria; same output for same input; logically similar outputs; stated conditions of success; are properties that a controller must have before it can be reasoned about, and the paper reports that none of these properties is present.</t>
  </si>
  <si>
    <t>ActivFORMS. This study does not actually adapt, but it sets the premise that the remainder of the RQ4 argument rests on: The architectural output of a language model is not reproducible, but the authors prove it, not concede it. For a self-adaptive system the result is exactly ActivFORMS' rule: Only change approved to a verified model is allowed to be done. Both MAPE-K and Rainbow have a single part present, while the result from the paper contradicts Models@run.time as it lacks the properties mentioned in the control theory.</t>
  </si>
  <si>
    <t>Instead of a caveat, treat non-determinism as a measurable property of the planner; repeat the same adaptation situation, and ensure the proposed plans vary only within a tolerable margin across the runs, before actually implementing a plan. This paper provides the method (repeated identical prompts) and the reason, because it discovered that for each prompt type, there was a success and a failure across each repeat. It could be tested by looking at what proportion of adaptation situations involve a consensus of repeated runs; and by whether the need for consensus results in more bad plans being required than good ones. Resources: A structural comparison of two proposed plans, an adaptation interval that lasts for a few runs. Risks: several runs multiply latency and cost in a loop that must act within an interval (3.3); and agreement across runs is not correctness, as the paper's subjects discovered common bugs, such as missing hierarchy, undefined boundaries, in outputs that were consistently generated for review.</t>
  </si>
  <si>
    <t>The three-activity Human-Bot Collaborative Architecting process (Human-Bot CP), which iterates the established Architecting process, end to end, was accommodated within a single conversation with ChatGPT on one campus bike sharing case study to create and rate evaluation scenarios using the model. The only study in the corpus to take the full analyse-synthesise-evaluate turn and to push an established scenario-based evaluation method through the model.</t>
  </si>
  <si>
    <t>End to end conversation and at design time</t>
  </si>
  <si>
    <t>1.1, 1.2, 1.3, 1.4, 1.5, 1.6(A), 2.1, 2.2(A), 2.3(A), 3.1, 3.2(A), 3.3, 4.1, 4.2, 4.3, 4.4(A), 4.5, 5.1, 5.2, 6.1</t>
  </si>
  <si>
    <t>(a) Autonomy (1.5) claimed not evidenced: the bot is considered intelligent enough to perform the architecting process during a conversation and under supervision of human and the architect gives the role to the bot. (b) Determinism: the same query produces different architectural styles, and the variability of this also radiates through any artefacts that are scripted and correspond to the process the query is using, in this instance, the frequency of the recommendations as detailed in the training data (5.2). The stated fix (2.1) is an iterative dialogue, in other words a person, but under the supervision of the architect. (c) No validated benefit: validation of the results is put aside from the study in a third phase (1.6 coded silence, 5.1). Grounding: 1 unmodified conversational model (2.2, 2.3 coded silence); no retrieval. A model version, model settings, number of runs, cost and latency are not reported anywhere, and the replication package is behind an anonymised review link (3.3). (f) Liveness: the whole process is performed before the implementation and it is based on an architect's conversation; self-adaptation is not discussed (4.4, coded silence).</t>
  </si>
  <si>
    <t>MAPE-K (Inferred): the three activities map onto Analyse (eliciting architecturally significant requirements from an architecture story), Plan (synthesising UML class and component models) and a second Analyse (evaluating the architecture by an established method, yielding a prioritised scenario list). There is no Monitor, no Execute and no Knowledge store; the conversation is the state. Rainbow (Inferred): Evaluation activity is closest to the one in Rainbow, which evaluates a model of an architecture (1.4) using an established scenario method, in that the same method and the same model are used in the evaluation activity. The missing part is that the answer is provided as an answer instead of a strategy selection. модеled@run.time (Inferred): The output is specifically designed to be compatible with known modelling and evaluation formalisms (4.2) and the scripted artefacts are machine-readable, but the paper also reports that the artefacts vary between runs of the same query (5.2) which is disqualifying for a system a model would rely on. The three-layer (Inferred): the intelligence-equilibrium idea, balancing machine intelligence against human intellect, and the three modes of requirement articulation, which span the spectrum of human-involvement (4.3), is a clear representation of the place of the human—where the human should be placed and it is answered in three-layer architecture.</t>
  </si>
  <si>
    <t>Rainbow. This is the only study that executes a recognized architecture evaluation method against an architecture that it created, and reports the result as a prioritized scenario list (S7 and S22 propose an evaluation step of this kind but do not execute one, and S19's automated checks are code-quality and security scanners). This is the Rainbow's cycle without the executor. MAPE-K maps the three activities, but Monitor and Execute and Knowledge are blanked out by the paper's own non-determinism finding; Models@run.time is undercut by the paper's own non-determinism finding.</t>
  </si>
  <si>
    <t>Run the evaluation activity automatically over a candidate adaptation instead of a design: for a proposed structural change, automatically generate the quality-attribute scenarios it would need to meet, and rank the change against the quality-attribute scenarios, for the architect to decide whether it should go ahead. The paper already presents the scenarios and the ranking (1.3, 1.4); what it does not present is the action of the ranking. Can be tested as follows: an automatically ranked list of candidate adaptations is ranked by an architect, and the results of the two rankings are compared. Commitment: Identify a candidate set to rank and a set of precondition quality-attribute scenarios that derive from the goals that are currently in force. Risks: different styles of the same query (5.2); recommendation bias for frequent in training data - also at runtime, frequent in the common configuration (5.2); generated component that was another privacy/regulatory exposure (4.5); no cost/no latency anywhere, so unknown how many scenarios can be generated per adaptation (3.3).</t>
  </si>
  <si>
    <t>Refines BERT-base for a multi-class code classifier to determine if any of five architectural tactics (Audit Trail, Authentication, Heartbeat, Resource Pooling, and Scheduling) are implemented in the code, automating recovery of traceability links between code and quality-driven design decisions. Reaches F1≈0.90 on a 10-fold cross-validation (no better than, but close to, previous state of the art), but performance is significantly lower on an unseen case study (Hadoop HDFS); authors explicitly state that this is a "partly negative result" and explain why.</t>
  </si>
  <si>
    <t>Offline code analysis in a static way and at design time</t>
  </si>
  <si>
    <t>1.1(A), 1.2(A), 1.3(A), 1.4, 1.5(A), 1.6(A), 2.1(A), 2.2(A), 2.3, 3.1, 3.2, 3.3, 4.1(A), 4.2(A), 4.3(A), 4.4(A), 4.5(A), 5.1, 5.2, 6.1</t>
  </si>
  <si>
    <t>(a) No role whatsoever: model has no role in architect's job. It is contained in an experimental pipeline, it lacks an interface, no interaction and no declared division of labour between model and architect (1.5, coded silence). This is the only study in the corpus where there is no comment there. (b) Generalisation, critical leap – cross validated performance was matched but could not match the performance of the previous best known system, and on the unseen case study, the measured competence was worse, so the system was not trained on the previous system (5.1). An adaptation loop is defined as 'meets' a unseen system. Assumptions made in detection include consistent implementation patterns, treating code as text (1.4), and surface-cue reliance, pre-processing influence, and identifier style, are mentioned as threats (5.2). Detection only, no recommendation/decision support, no generation (1.1, 1.2 related activity) (d): Scope: detection only, no recommendation/decision support, no generation (1.1, 1.2 related activity). (e) Liveness: totally static (offline) and already written source code; no monitoring, adaptation or self adaptation mechanism is mentioned during run time (4.4, coded silence). The second is coded silence where there is no mention of trust (4.5, 4.3), no governance discussion (4.5) and no mention of a healthy human-AI collaboration (4.3).</t>
  </si>
  <si>
    <t>MAPE-K (Inferred): an Analyse contribution and nothing else; a classifier that knows what 5 architectural tactics a code class implements. This is the only mechanism that a loop would need here, as it allows the analysis to deny the answer if the level of confidence is below 0.9, so as to increase precision (2.3). Rainbow's architecture model needs the following: tactic-to-code traceability in order to know which code a strategy would touch, which is infrastructure not a check, not a mechanism for evaluating or selecting anything. Models@run.time (Inferred): recovering tactic links from code is the only study in the corpus to make a runtime model (and to do so with a fixed seed and with a public repository; 3.3), and it is a repeatable recovery (run once, offline) though the performance did not hold on an unseen system. Dynamic Software Product Lines (not applicable): No variability, no binding, no variants. Awareness requirements (Not applicable): not monitored and no requirement is conveyed.</t>
  </si>
  <si>
    <t>Models@run.time. The study’s object is a mapping from an architectural concept to the code that realises it, derived automatically and reproducibly; which is what keeps a runtime model connected to the system it models. Its result is also repeatable by construction, through a fixed seed, which matters more for a runtime model than peak accuracy does; S20 fixes a seed too, and reports that the control fails on long structured prompts. MAPE-K names the activity but the loop has one part; Rainbow gets infrastructure rather than a mechanism; the other two have nothing to attach to. The qualification is severe: the mapping did not generalise to a system outside the training data.</t>
  </si>
  <si>
    <t>The step that determines whether a runtime model can be depended upon for a given part of the system is a confidence-thresholded tactic classifier: If the classifier is above its threshold, the part is mapped, otherwise, it is considered unknown and not guessed. This paper's own mechanism was added for precision (2.3) and the justification is this paper's own negative result, competence that held under cross-validation did not hold on an unseen system (5.1). Testable by how accurately the mapping is correct on systems not in the training set at each threshold and by how much of the system is left marked unknown as the threshold is increased. Preconditions: a set of tactics defined beforehand, which is here five tactics; code which is consistent in style for the assumption to be valid (1.4). Risks: It is a finding (5.1), rather than a model that generates; it relies on surface cues and identifier style, meaning that a renaming changes the answer (5.2); the model doesn't generate (5.2); no cost or latency figures (3.3).</t>
  </si>
  <si>
    <t>An LLM-augmented self-adaptive Decision Support System for Vehicle Routing: Dynamic Metrics Generation (DMG) converts the natural-language description of a metric into executable evaluation code, which is self-validated with a second LLM call and self-debugged with sample plans; Multi-Criteria Decision Making (MCDM) chooses and argues a preferred plan based on natural-language trade-off instructions. The proposed decision support system is a prototype exercise and these are the only true examples of reconfiguration of decision logic run at runtime without redesign or redeployment within the vehicle-routing testbed. One of the four major studies included in our earlier review of our work-in-progress (see Method sheet, 'Relationship to our earlier review') that were carried into this corpus on the same basis as all of the other studies included; see Method sheet, 'Relationship to our earlier review'.</t>
  </si>
  <si>
    <t>System's own adaptive loop and at runtime</t>
  </si>
  <si>
    <t>1.1(A), 1.2(A), 1.3(A), 1.4(A), 1.5, 1.6, 2.1, 2.2(A), 2.3(A), 3.1, 3.2, 3.3, 4.1(A), 4.2(A), 4.3, 4.4, 4.5, 5.1, 5.2, 6.1</t>
  </si>
  <si>
    <t>(a) Adaptation space: reconfiguration of decision logic of a decision support system (operative metrics, plan-selection criteria), not a reconfiguration of a software architecture. That is why related activities 1.1, 1.2, 1.3 and 1.4 (Coded: Component reconfiguration, Plan selection, Justification and conformance check) are all coded. (b) Trigger; no adaptation is found but is taught. A metric or tradeoff is communicated to a supervisor (natural language) and the system reconfigures: greater autonomy is communicated as a future work by the authors (1.5, 4.4). No Monitor that is the birth father of anything. (c) Assurance - the study's most lucid contribution: The outcomes of these two modules are not fully interpretable (1.5, 5.2), hence checking them for assurance explicitly required. Every attempt to validate code is validated and passed, and it takes about 1.5 attempts to “self debug” it. (d) The check is not independent: the checker is a call at the same model and may have blind spots with respect to what he/she checks. Explicitly, one problem domain, a rich multi-period vehicle routing problem on a testbed, and a human-baseline comparison are explicitly caveated as non-generalizable (5.1). It is noteworthy that both modules are measurably degraded as the prompt clarity decreases (5.2), which limits the quality of the instruction, and therefore the quality of adaptation.</t>
  </si>
  <si>
    <t>MAPE-K (Partial): real loop with model in it. Plan: Multi-Criteria Decision Making module, selection and justification of preferred plan; Knowledge: Evaluation code generated, the system then executes the code; Execute: Reconfiguration without redesign or redeployment (4.4). The gap: Measurement comes in at the end of the loop, not at the beginning, where the instruction is from a supervisor. Partial, not Direct, - the authors talk about a self-adaptive system, but do not mention MAPE-K as a reference model. Rainbow (Inferred): The architecture-based reading is not true, since it is decision logic that is reconfigured, not architecture – but the constraint check – the production of code to validate sample data before use – is exactly where Rainbow puts its evaluation. Models@run.time (Inferred): At run-time the generated evaluation code is a model of the system to be optimised, validated and then executed by the system in turn; a bi-directional relationship. It will be a model of the goal, and not architecture. Partial: a runtime model with causal connections to the running systems in both directions. This study provides a mechanism for producing or re-reading such a model; a mechanism which is not a maintained connection. ActivFORMS (Inferred): The only time where the ActivFORMS disposition is implemented in the corpus is the comprehension verification phase, where the model is verified with regards to its intent, before it is given the ability to act. It doesn't go as far as ActivFORMS because it's not a formal check but another model call instead. The correspondence is part of the mechanism, that is, a formally verified model that is turned on at runtime, with its behaviour checked at runtime, no study in this study is formally verified.The correspondence is part of the mechanism, that is, a formally verified model that is turned on at runtime, whose behaviour is checked for at runtime, no study is formally verified in this study. Control-theoretic adaptation (Inferred): token usage and latency are reported for different problem sizes (3.2, 3.3), the "settling-time question" that needs to be answered by a controller, and the overhead is given as a scalability argument (4.5).</t>
  </si>
  <si>
    <t>The model is a part of a running system's adaptive loop, and the output is used without redesigning the system.The model is part of the adaptive loop of a running system, and the output is used without a redesign of the system. S15 and S16 also close loops at runtime, over an analytical answer and over a process plan respectively; what makes this one special is that it's the system's own decision logic which is reconfigured. Close second, and the reason that the loop is defensible, is ActivFORMS, which is what makes it defensible as nothing is generated until the verification phase, where it is compared against the stated intent. Models@run.time fits the evaluation code generated by the model, but for one artefact, not the approach. As has been said, the purpose of adaptation is not to architecture, so that this study does not answer RQ4 by giving a direct answer but by analogy.</t>
  </si>
  <si>
    <t>Implement the comprehension verification phase over architectural adaptation: a change will not be applied if it doesn't pass the check against the architecture metamodel and the goals in force, and the verifier will not be the same as the generator. This study is the evidence that the pattern works during runtime and that it is cost-effective, in this case, about 1.5 attempts to a validated artefact, and the token and latency figures were reported as a function of problem size. Compare a verifier, which is of the same model as the verifier to be tested, with an independent verifier on the same proposals, based on how many invalid changes it blocks and how many valid changes it wrongly blocks. Preconditions: metamodel of an architecture to be verified against; goals that are precisely stated to be verified against a change; safe path to apply a structural change; a decision-logic change does not require it. Risks: a verifier with the same fail points as the generator (5.1); measurable degradation as the instruction gets less precise, at runtime that is as the goal gets less precise (5.2); one domain, one testbed (5.1); the step this study has not taken, from instructed reconfiguration to a loop that decides for itself when to act (4.4), which the authors name as future work.</t>
  </si>
  <si>
    <t>ArchAgent: a hybrid, multi-agent (static analysis + graph reasoning + LLM synthesis) pipeline to recover multiview, business aligned architecture diagrams from large-scale, cross-repository legacy codebases (1k-22k files). A set of four agents are used to index and handle references: chained agents (File Summarizer, Repo Manager, Readme Generator, Architect) to index and handle references, adaptive token-bounded grouping, readme synthesis and generation/merging of Mermaid diagrams. Achieves significantly higher scores than the industrial baseline DeepWiki (F1 0.966 vs. 0.860, p=0.0036), and demonstrates that grounding with dependency context can improve performance on two different LLMs.</t>
  </si>
  <si>
    <t xml:space="preserve"> Recovery in an offline mode from a code snapshot and at design time only</t>
  </si>
  <si>
    <t>1.1(A), 1.2(A), 1.3, 1.4, 1.5, 1.6, 2.1(A), 2.2, 2.3, 3.1, 3.2, 3.3(A), 4.1, 4.2, 4.3, 4.4(A), 4.5, 5.1(A), 5.2, 6.1(A)</t>
  </si>
  <si>
    <t>Object and direction: recovery from existing code; purely reconstructive (both related activity); no pattern, tactic or technology recommendation. The pipeline is not an architecture, it contains an architecture out. (b) Autonomy: model is not the only source of architectural knowledge (1.5) and there is no interactive refinement loop (4.3) but evaluative and rating. The second type of concession that is prominent in the hybrid design, but not as named as local-scope bias — omission, misstated control flow, hallucinated identifiers, is finite context windows at repository scale (1.4, 5.2) identified at the repository level. The solution is to reduce the amount of loss of context by overlapping every context by 10 per cent (2.3) and grouping them adaptive depth-first. (d) Timeliness: No cost (or latency) number for four-agent pipeline with one to twenty-two thousand files (3.3, coded silence). e) Liveness: No discussion of any run-time monitoring, deployment or adaptation mechanism, the whole pipeline is offline, based on a static snapshot (4.4, coded silence). (f) No limitation is reported next to the gains that are measured; no work or open challenge is stated (5.1 and 6.1 are both coded silence).</t>
  </si>
  <si>
    <t>MAPE-K (Inferred): an Analyse contribution containing a Knowledge output (no other contribution present): the Readme Generator agent generates system level documentation based on the traced entry points (1.3). They are segmented by production step (file summary, repository summary, module identification and diagram text) and they are more of a pipeline than a loop. Rainbow (Inferred): The recovered multiview architecture is the model that is required by Rainbow, and the application of cross-repository signals and DevOps heuristics for the identification of business-critical modules (1.4) is the closest to knowing which parts of a system matter (which is what a utility function encodes). There are no constraints with regard to the evaluations, nor is anything selected. The highest runtime score on the reading side in the corpus for the production side of the model. Structural grounding is from ASTs of reference graphs, not from retrieval (2.2), and the model is built from the structure of the system, rather than ground-truth; the accuracy is defined by public ground truth, which means that a model can be updated in parts without being regenerated, and a partial diagram can be merged mechanically (4.2) with the other one. Here, the system's construction and testing of the process that creates that large model is interesting to note, as well as to run, before it goes online, but after that, nothing keeps it up to date. Partial: Runtime model has a causal connection with the running system in both directions. This research offers an approach to the development or re-reading of a model as an enabling artefact, rather than a maintained connection. FORMS:The recovered multiview architecture is a FORMS model of the subject system (sense of reflection). EUREMA (Inferred): Parts of a megamodel are typically not drawn but a part and can be mechanically merged.</t>
  </si>
  <si>
    <t>Models@run.time. The first question which a runtime model poses itself is how it remains faithful to a system to large to re-read, and this study provides an answer to this question by way of a mechanism and a measurement: grouping that bounds context loss, and partial outputs that merge. The contribution is named by MAPE-K, but there is no other segment of the loop; FORMS names the artefact, and EUREMA names the model. It's just that it runs once, on a snapshot, and has no cost for running it again.</t>
  </si>
  <si>
    <t>Do the recovery incrementally on change, not on a snapshot, but re-summarize the groups a commit changes, and merge that into the current model, and then the architecture a loop will see will be at most at one change behind the current model. The paper contains both halves: (2.3) grouping with bounded overlap; (4.2) an output grammar which is chosen so that partial diagrams are mechanically merged. It can be tested with the accuracy of the maintained model after numerous commits, against a full re-recovery, and the cost of increment updates against the cost of full run (not reported in this paper). Preconditions: change events mapped to the groups that they impact; the reference graph is updated by the static-analysis backbone. Failure mode: local-scope bias is the failure mode named in this paper; this failure mode is worse on a fragment than a whole repository, and is present here; cost and latency have no baseline to beat, which would need to be done automatically by a loop; recovered output that needed to be anonymised by hand because of proprietary business logic leaking, which an automated loop could not do, unless a person could do it.</t>
  </si>
  <si>
    <t>CrewAI 5-agent clinical decision support system.5-agent clinical decision support system in CrewAI. A Fusion agent compares the two streams, identifies conflict and adjusts confidence scores, while an Adaptive Optimizer meta-controller scores that confidence and re-directs both of the two retrieval agents with optimised queries and re-runs, if below 0.65, up to three iterations.</t>
  </si>
  <si>
    <t>System's own output in an analytical way and at runtime</t>
  </si>
  <si>
    <t>1.1(A), 1.2(A), 1.3(A), 1.4(A), 1.5, 1.6, 2.1, 2.2, 2.3, 3.1, 3.2, 3.3, 4.1, 4.2, 4.3, 4.4, 4.5, 5.1, 5.2, 6.1</t>
  </si>
  <si>
    <t>(a) Object: All generated artefacts, recommendations, rationale and conflict detection are clinical, as such, are coded as related activity 1.1-1.4. The Optimizer changes the parameters of the query (keywords, expansion/reduction) and re-executes the retrieval agents (b) Adaptation (not structural): the Optimizer changes query parameters: keywords, expansion, reduction, and re-executes the retrieval agents. Five-agent system's architecture is set in stone (4.4). (c) Autonomy: the system is put on the role of supporting the clinician and the final decision is left to the physician (5.1), that is, the loop enhances an answer rather than acting on the world. Cost: There is more computation cost than in a single model, and the primary per-component latency is the access to the web which may be an issue for time critical applications (3.3 and 5.1) the authors mention. (c) Evidence: Three sets of data with each set containing 50 questions, no performance evaluation, no statistical test performed, but it should be statistically significant (3.1, 3.2) and no code released, no prompt released, no code/configuration released (3.3) (f) Residual risk, Hallucination is a design driver which can be mitigated by grounding, cross-checking and fusion and the authors agree that the risk cannot be completely eliminated (5.2).</t>
  </si>
  <si>
    <t>MAPE-K (Partial): all four activities are present over the system’s own output. The Optimizer scores each analysis (Monitor), identifies which data is untrustworthy (Analyse), reorganises the query parameters (Plan) and issues a feedback report that makes the retrieval agents re-run (Execute), halting when confidence clears 0.65 or after three iterations and converging in practice in two or three cycles (4.4). Knowledge is the biomedical vector index plus the auditable per-run log of sources, variation and confidence (2.2, 4.3). Partial rather than Direct because the loop closes over an answer rather than over a system, and the authors do not name a reference model. Rainbow (Inferred): confidence combining similarity, evidence level and concordance (4.5) is a utility function in all but name, and the 0.65 threshold is the trigger condition a Rainbow strategy carries; but nothing architectural is evaluated or changed. Models@run.time (Inferred): the ontology-coded, schema-conforming structured output that passes between agents (4.2) is a model of the case under analysis, kept current as the loop iterates — a model of the problem, not of the system. ActivFORMS (Inferred): candidate diagnoses are retained only when an explicitly supporting retrieved passage exists (5.2), which is admission conditional on evidence rather than on fluency, and the three-level retrieval fallback with term boosting (2.2) degrades rather than failing. That is the ActivFORMS disposition without the formal model. Regraded from Partial: ActivFORMS turns on a formally verified model whose behaviour is checked at runtime, and no study here verifies anything formally, so the correspondence is a component analogy rather than part of the mechanism. Control-theoretic adaptation (Inferred): the iteration curve is reported — accuracy rising across passes with diminishing returns after the third, attributed to the feedback beginning to repeat itself (4.4) — which is a convergence measurement, and the ablation quantifies the loop’s own contribution by removing it. Regraded from Partial: a control reading needs a plant, a reference signal and an analysed response. An iteration curve or a convergence stopping rule is a measurement, not a controller.</t>
  </si>
  <si>
    <t>MAPE-K. It's a self monitoring loop that is measured and not asserted, and you can see where the loop stops paying on the iteration curve when the Optimizer is removed, dropping accuracy to 70.0 per cent. All four activities are distinguishable and the trigger is a number rather than a person. The closest second is control theory, which provides the convergence reading, and supplies one artefact each for the evidence-gated admission and for the models @ run.time. The one that doesn't actually answer RQ4 is the qualification itself, which takes an adaptation of a query, not an architecture.</t>
  </si>
  <si>
    <t>Score the confidence of the analysis that leads to a proposed change, and if it is below a threshold analyse again and re-gather evidence, but with a bounded number of iterations, so that the loop can be exited. This paper provides parameters that can be tested: the threshold, a cap of three iterations, observed convergence in two or three, an ablation design to measure the value of the loop. It can be tested by the accuracy of adaptation decisions with the confidence loop removed compared with the same loop without the confidence loop, which is the same loop tested in this paper and is the leave-one-agent-out ablation moved to another loop. Preconditions: a level of confidence on the analysis that combines similarity, evidence level and concordance; an iteration budget that is compatible with the adaptation interval. Risks: feedback started repeating the suggestions which the authors observed after the third pass (4.4); computational cost above a single call, with web access dominating latency, and the authors themselves reporting the limit for time-critical use (3.3, 5.1); a threshold value reported but not changed; and hallucination reduced, not removed (5.2).</t>
  </si>
  <si>
    <t>Three layer architecture (Cognition/LLM, Digital Twin, Physical/Automation) combining LLM and digital twin and industrial automation system. Three design paradigms are used to organize digital-twin information for LLM reasoning: state-snapshot modeling, event-log-based modeling, and planning-based modeling (with explicit runtime replanning when the model fails). Presented in three case studies in the lab (no quantitative evaluation), with varying multi-agent roles, where the role is event-driven automation, modular robotic control, and simulation parametrization, respectively. Proposes a 'Return on Intelligence' cost-benefit paradigm and a taxonomy of four types of hallucination, each accompanied by names of countermeasures.</t>
  </si>
  <si>
    <t>Live physical process and at runtime</t>
  </si>
  <si>
    <t>(a) Object: The architecture is created by humans; what the model produces is execution plans, operational summaries, runtime conformance checks on processes (1.1 to 1.4, all activities related to architecture). It is not the software structure that is being adapted but the plan over the physical process. Autonomy, with a design mandate: model is architecturally limited to an assistant system – its output must be validated by humans before action is taken – validation is a prescriptive part of the model's role, not an incidental limitation, validation is a structural requirement for every task solving cycle (1.5, 4.3). A loop detects and replans, a person admits the plan. (c) Evidence: three lab-setting case studies, demonstration videos, no quantitative benchmark or baseline, no metrics reported anywhere, and explicit non-numeric central evaluative concept (3.1, 3.2). (d) Reproducibility: no model is mentioned anywhere, no cost/latency/reproducibility figure is included (3.3, coded silence). (c) Residual risk: a four-type taxonomy of hallucinations, with separate causes and countermeasures, and reliability reinterpreted as a trade-off with usability (5.2) that is honest but has no pass condition. (f) Worth: conditions in which the approach is not worth its effort – ROI concept (5.1).</t>
  </si>
  <si>
    <t>Running process; MAPE-K (Partial): planning-based paradigm. Clearly separate the descriptive and procedural aspects of the digital twin (2.2); deliberately split the digital twin into descriptive and procedural aspects; A third case study is the decomposition of activities into iterated agents (Observation and Reasoning, Decision, Summarization) over a set of simulation parameters (4.1), which is closest to the one-to-one decomposition onto the loop that is found in the corpus. Partial since the authors do not name MAPE-K on their creation of the loop; and execute because there is a mandatory step of human validation in execute. Three layered: There are three layers of architecture: The reasoning layer, the model layer, and the running system, Rainbow's shape, and the Data Observer is a gauge and a probe that monitors the raw field-level signals in real time and translates into semantically enriched events, on which agents subscribe (4.4); Rainbow's gauges and probes. The only difference is that instead of an architectural configuration, the object of adaptation is a process plan, and there is no constraint set or utility function that can be explicitly defined. In the corpus, the situation of a causally connected runtime model, Models@run.time (Partial), is clearly present. Knows known formal industrial standards (AAS, OPC UA, ROS) that are not ad hoc representations (4.2); It is used by a process that is influenced by a reasoning layer, and used for a physical layer. It is not an architecture of the software, but rather a model of the plant and its processes. Three-layer (Inferred): the paper’s own three layers — Cognition, Digital Twin, Physical and Automation; line up with goal management, change management and the component layer, and the explicit principle that not all sub-tasks need a model, with deterministic ones going to conventional tools (4.1), is the separation of deliberative from reactive that the three-layer architecture exists to express. Regraded from 'Partial': Three layer design based on authority and time scale. This paper has itself three layers and does not claim that separation is an analogy and the reading is our analogy. EUREMA (Inferred): a split of a digital twin into descriptive and procedural knowledge, the latter is used for the execution, is close to a Megamodel, but in EUREMA's sense no model is specified to be executed. Control-theoretic adaptation (Inferred): monitor, detect, replan over a physical process is a feedback controller without any reports of settling time, stability or overshoot.</t>
  </si>
  <si>
    <t>Three-layered structure of self managed systems. It is organised into three layers: a deliberative reasoning layer above a model of the running system, which in turn is above the automation that acts. The authors restate as a principle that only the non-deterministic sub-tasks are in the deliberative reasoning layer. This is the whole shape of the three-layer architecture; that deliberates, that plans, that reacts—and this shape is the shaping of this study, not the result of our mapping of the reference architecture; however, the reference architecture does not separate authority and timescale. Both MAPE-K and Rainbow are readings of the loop within it, as well as digital twin Models@run.time, which cover its aspects organised by the three layers. It is the same for everyone: The thing adapted is a process, not an architecture.</t>
  </si>
  <si>
    <t>Instead of the process plan, the architectural configuration is used, the digital twin contains the architecture instead of the plant, the detected discrepancy initiates a proposed change to the architecture, the deterministic parts of the change are carried out using classical tooling as in the paper no model is required for every sub-task. This is the closest transfer found in the corpus since the loop, the runtime model and the layering are already constructed and only the subject is modified. Testable by whether detected structural discrepancies lead to valid revised configuration, scored against an architect's, and the human validation step is removed in an exemplar of microservice. Preconditions: an architecture that is stored in a standardised model, which is possible with AAS and OPC UA in a plant; structural signals that can be read by a Data Observer; a safe path to implement a structural change – which a process replan does not require. Now, risks: the four types of hallucination that the paper itself defines (5.2); human validation required: what the extension removes and what the paper treats as a must (1.5, 4.3); no model named, no latency figure: so no bounds here on the period of the loop (3.3); and the Return on Intelligence caution that the integration might not pay for itself by its cost (5.1).</t>
  </si>
  <si>
    <t>Multi-agent assistant for the first 3 lifecycle phases. Four role-specialised agents, which act like agents in the human engineering roles are designed to pass artefacts forward: a requirement agent turns free stakeholder text into a structured specification through semantic parsing, entity recognition and intent classification; a planning agent produces a work breakdown structure, task durations, a risk matrix and produces a project plan; a design agent produces high and low level design documents, recommends technology stacks, develops database schemas and emits code-ready descriptions of architecture diagrams; and a manager agent coordinates and validates. Conditions are set by stakeholders in a browser front end and intermediate outputs are observed, while asynchronous backend is responsible for state and coordination. The requirement agent is used, and the manager agent is reported as unbuilt.</t>
  </si>
  <si>
    <t>Directional pipeline in one way and at design time</t>
  </si>
  <si>
    <t>1.1, 1.2, 1.3, 1.4(A), 1.5, 1.6, 2.1, 2.2, 2.3, 3.1, 3.2, 3.3, 4.1, 4.2, 4.3, 4.4, 4.5, 5.1, 5.2, 6.1</t>
  </si>
  <si>
    <t>Human authored Architecture (1.1-1.4, all related activity) is included, while Execution Plans, Operational Summary, Human authored Run-time Process Conformance Checks (generated from a model) are excluded. The adaptation is not on the structure of the software, but a plan on the process in the physical world. (b) Autonomy constrained by mandate: Design constraint is Architectural: Assistant system must be validated by humans before they are used to solve a task; The human validation is a design requirement, not an incidental constraint; Each task solving cycle (1.5, 4.3) must rely on humans to validate the output of the Assistant system. If a person agrees with the plan, the loop detects the person's agreement and replans. (b) Evidence: Three case studies set in the lab with demonstration videos, no quantitative benchmark or baseline, no metrics reported anywhere, explicit central evaluative concept (3.1, 3.2) is not numeric. (d) Reproducibility: Absolutely no model is mentioned anywhere, no cost, latency or reproducibility figure appears (3.3, coded silence). The reliability is made a tradeoff, instead of a binary property (5.2), in the four-type taxonomy of hallucinations (e), for which there are clearly separate causes and countermeasures. The Return on Intelligence concept defines circumstances when it's not worth it. (f) Provides the development effort value. (5.1)</t>
  </si>
  <si>
    <t>MAPE-K (Inferred): Plan only; requirements to plan to design, each agent giving an artefact to the next. The future work includes persistent project memory (4.4) which is not included in the paper by its own account, while Monitoring, Analysing and Executing are absent. Rainbow (Not applicable): No one tests architecture for constraints, no one chooses from architectures, one design is created by design agent. Models@run.time (Inferred): the formalisation chain from free text to structured interchange to code ready diagram descriptions (4.2) results in machine readable artefacts, and the suggested long-term memory would enable them to live over the project; but the paper, unfortunately, does not have memory or a running system. Three-layer (Inferred): four agents, each modeled after the human job titles, working under a decomposition-of-labour paradigm, with an orchestrator coordinating and validating (1.5) is a division by role, rather than by adaptation activity; that is exactly what the three-layer architecture proposes to do: divide by timescale and authority instead of by role. Dynamic software product lines (Not applicable): No variability model or binding.</t>
  </si>
  <si>
    <t>MAPE-K is thin and so is the reading at Plan. This study is a measured warning for RQ4 – an error at one stage of the pipeline is multiplied along the way; a chain of role specialised agents will not prevent this error; in fact it will magnify it. There's nothing to stick to when it comes to a line of products that's both "Rainbow" and "Dynamic"; but a line of products that's "Models at run time" has to have "The persistence" that a piece of paper can propose, and a line of products that's "Three-layer reading" is instructive, because it is the alternative to a line of products that's "Divided by job title''.</t>
  </si>
  <si>
    <t>Organize agents into four groups: monitor, analyse, plan, and execute; and introduce an automated check between each group of agents to ensure that no error can propagate between checks: Monitor, analyse, plan, execute, check; validate the artefact against a schema from the monitoring agent until the analysis agent can validate it, then validate the artefact against a schema from the plan agent until the execution agent can validate it, then validate the artefact against a schema from the execute agent until the monitor agent can validate it; all agents return to their original order. This assertion is made by its own analysis of its own failure: the paper itself decomposes because of its inability to support multiple models (4.1); then errors compound along the way (5.2). Comparable to a role-divided chain and an activity-divided chain in the same adaptation task, it can be tested by determining the distance that an injected error can propagate before it is intercepted. The preconditions are a schema per artefact to which a check can apply itself, and which is partially provided by the formalisation chain in the paper (4.2) as well as persistent memory it proposes but has not built (4.4). Risks include the twenty per cent hallucination rate, not reviewed by humans (5.2); the orchestration cost that the authors describe as “financially unsustainable at scale” without any number to illustrate the cost (3.3); the unevaluated agents, as only the requirement agent was exercised (3.1); and cloud-mediated exchange between agents as an unaddressed exposure surface for runtime data (4.5).</t>
  </si>
  <si>
    <t>Model-based safety requirement set-auditing against a formal system architecture method and Python tool. It takes a set of formal stakeholders' requirements and a raw subsystem/functional decomposition of the formal model produced by the LLM to execute six processes: initialisation, extraction of the subsystem decomposition and function decomposition from the formal model by the LLM, classification of each requirement to a function, classification of each requirement to a functional or probabilistic type with a confidence value and a written justification, coverage-gap analysis against a stated sufficiency rule, contradiction detection within functional partitions, and duplication detection. Four report artefacts are created. The framework is represented formally in the same language that it consumes and is based on a published ontology that assumes that there are safety-critical ordinary functional subsystems. Illustrated using an autonomous drone that carried 42 then 110 requirements as opposed to manual reference classification.</t>
  </si>
  <si>
    <t>Re-run upon the evolution of architecture and at design time only</t>
  </si>
  <si>
    <t>1.1(A), 1.2(A), 1.3, 1.4, 1.5, 1.6, 2.1, 2.2, 2.3, 3.1, 3.2, 3.3, 4.1, 4.2, 4.3, 4.4, 4.5, 5.1, 5.2, 6.1</t>
  </si>
  <si>
    <t>Instruction: Architecture is an input, NOT a product that should be created. (1.1, related activity). This tool conducts analysis of a requirement set and an architecture, but does not recommend any changes. (b) Autonomy: it should be used to analyze, but not to make design decisions, and it should explicitly return doubt, when the level is below the specified level, and an explanation of this judgement, and the model should return a level of confidence (or lack thereof) for each judgement, and it should clearly return the word doubt, when the level is below the specified level. All decisions are reported to an architect, and not action (1.5). (c) The authors' stated condition: Only some properties (results are verifiable, reproducible and certifiable) like behavioural and temporal properties (synchronisation, edge cases, strict execution semantics) are weak. (d) Liveness: No runtimes. The analysed system is autonomous, but the configuration of the system itself is determined by the architect between runs, the analysed system doesn't run during the flight of the drone, nor does it watch any flight, nor does it use any telemetry, nor does it generate any adaptations. (e) Assurance of the analysis itself: False positives and false negatives reported; classification inconsistency diagnosed as: batch-context interference (5.2); compliance stated as aim and no argument of assurance/certification built (4.5). Evidence: One case, no comparison measure baseline used, no measure of annotator agreement, and six limitations: keyword dependency, analysis limited to requirement pairs (3.1, 5.1).</t>
  </si>
  <si>
    <t>MAPE-K (Inferred): Coverage, contradiction and duplication check on a Knowledge base, where Knowledge is a formal architecture model and Coverage, contradiction and duplication is the check in the functional partitions of the architecture. (1.4) The architect is is Plan and Execute. Rainbow (Inferred): The sufficiency rule for architectural coverage is declared, causing a systematic probabilistic exposure (1.4), but there are five numeric success thresholds that are declared a priori to results (3.2). A constraint set with declared thresholds, evaluated against architecture model, is two of three elements of Rainbow; nothing selects and applies a strategy. Regraded from Partial: Rainbow talks about a running system whilst considering an architecture model, and decides on an adaptation; a check outside the generator, a coverage rule or a proposed utility is not that, and none of this does anything on an actual running system. Models@run.time (Inferred): the architecture reading step is called upon every run, as the architecture can change, thus newly added subsystems and functions are always covered (4.4), and the architecture is specified the same formal notation used to specify the systems being analyzed (4.2). That's a model that's held deliberately current and is read mechanically; at design time, with the architect closing the loop between the runs. Regraded from Partial: A runtime model causally links to the executing system both ways. This study provides a mechanism for the production and/or re-reading of such a model, a facilitating artefact, not a sustaining link. ActivFORMS (Inferred): The closest the corpus comes to the ActivFORMS premise, which is stated in the authors' paper as a condition, not as an improvement: a generative model's output is admissible only if it is based on a formal model, and only if it is queried systematically, and the model should declare uncertainty in its output, not answer below a confidence threshold. What's missing is an assertion that the change has occurred prior to execution: There is no execution. The correspondence to the “part of the mechanism” is an analogy between the parts of a model and the components of the mechanism, but the behaviour of the model is not formally verified, as is done in the other studies herein.The mechanism is an analogy between parts of a model, with its behaviour checked at runtime, but no study herein formally verifies the behaviour of the model. Awareness requirements (Inferred): The design time version of which requirements are monitored and which are not is called awareness requirements.</t>
  </si>
  <si>
    <t>ActivFORMS. Most of them report the unreliability of a model as a risk; three require a check before acting; this one goes the furthest by requiring a formal grounding before using the model, and extends the consequences into the interface, namely low temperatures, structured output, confidence value and explanation per judgement, and escape category for uncertainty. If the self-adaptive system is the entire assurance problem then it is answered here, as ActivFORMS answers it: Only what is confirmed against a formal model can be relied upon. Rainbow is runner-up and it provides the declared thresholds, Models@run.time fits the re-read formal model, and MAPE-K names the activity. None of them ever gets to the point of execution, because the framework doesn't execute.</t>
  </si>
  <si>
    <t>Instead of a requirement set, make an audit into an adaptation plan and leave the interface exactly the same: the planner proposes a change, the model checks whether it is compatible with the formal architecture model and the safety requirements assigned to affected functions and returns a structured judgement, with a confidence value, an explanation, and the escape category, if the model cannot decide, the change will not be applied, but will be refused. This paper provides the entire mechanism and the argument for it; it doesn't provide a change to judge. Testable by the rate of invalid refutations and valid refutations being rejected, with the five thresholds being declared in advance as this paper states them, and the escape rate being reported separately. Preconditions: a formal architecture model, the own precondition of this approach; safety requirements assigned to functions; an adaptation interval which allows the safety requirement check. Batch-context interference (5.2) is a risk the paper discusses, and it is a risk here, too: When a change is made, the answer depended on what other changes were present, and when multiple changes were present, no answer was provided.A risk mentioned in the paper is batch-context interference; so is a risk here: When a change was made, an answer was provided that depended on what other changes were present, and when multiple changes were present, no answer was provided.</t>
  </si>
  <si>
    <t>A 5-cohort controlled comparison of the process of building a microservices system. A baseline group (human-only), a group assisted by Copilot Chat and three independent agent groups powered by Claude Opus 4.6, Claude Sonnet 4.6 and GPT-5.4 are all provided with identical requirements, infrastructure, prompts, and test suites. They all independently create architecture plans (service boundaries, APIs, data models), generate class diagrams, entity diagrams and sequence diagrams from the requirements and save them as Markdown, and generate a full Spring Boot implementation bound to these plans, with PostgreSQL persistence, Redis caching, Docker containers and Kubernetes deployment with an API gateway. Four versioned repository files provide coding, planning, security and testing standards as context. The validation is performed via GitHub Actions and is propelled to a self-correction loop that is executed until the pipeline passes (unit and integration tests, SAST and OWASP checks, SonarQube analysis). Five metrics reported per cohort and a four row artefact comparison.</t>
  </si>
  <si>
    <t>Deploying design time, agent-driven, terminating at pipeline.</t>
  </si>
  <si>
    <t>1.1, 1.2, 1.3, 1.4, 1.5, 1.6, 2.1, 2.2, 2.3, 3.1, 3.2, 3.3, 4.1, 4.2, 4.3, 4.4, 4.5, 5.1, 5.2, 6.1</t>
  </si>
  <si>
    <t>(b) Liveness – simply put: pipeline runs once forward and ends in documents. No agent re-enters a running system, and no artefact is edited by an agent based on another artefact, which occurs at a later stage; no artefact of implementation and testing or running is fed back into a previous stage without being edited by a human. Nothing changes (4.4) with regard to the agent architecture (coded silence). (b) Accountability: No rationale or decision record is generated with architectural artefacts (1.3, related activity) so that there is no record to be reconstructed a decision. (c) Assurance: authors report 20% hallucination rate for 5 generated specifications; early-stage error compounding down the agent pipeline but not local (but still human check for hallucination) (condition 5.2); automated check is absent. Having human validation as it is now required when there is no automated check (4.3). (d) Evidence: Only requirement agent is exercised, on one unstructured client prompt, design agent and orchestrator unevaluated; Eight challenges and risks are listed in two different sections (3.1, 5.1). Cost: Multi-agent orchestration is reported to be financially unsustainable at scale unless optimised (3.3) and is also reported to have no cost, latency or throughput issues. (f) Governance: no security and/or privacy mechanism is specified, built and/or tested and cloud-mediated inter-agent exchange is identified as exposure surface for governance (4.5).</t>
  </si>
  <si>
    <t>MAE-K (Partial): Correction loop (4 activities around an artefact). What failed is returned to the agent (Monitor), read by the agent (Analyse), corrected (Plan), resubmitted (Execute) and measured for the success rate of each model and reported (4.4). The design documentation remains in the repository and is used for generating the design (1.3) is Knowledge. Partial instead of Direct: This is because the authors are not talking about a feedback-loop, but about agentic AI which is a pre-deployment artefact. Rainbow (Inferred): The validation pipeline is used for a constraint evaluation that isn't performed by the generator; automated standards, security and quality conformance checking are in the validation pipeline (1.4); security controls are concretely specified and enforced by the agent context (4.5). The architecture being assessed and/or modified is not the object, the correspondence is terminated at the shape of the checking step. Outside the generator, regrades a Partial: A rainbow talks about a running system based on an architecture model, and decides on an adaptation, which is not a check but an adaptation, not a coverage rule nor a proposed utility, and which does not act on a running system. Models for run time (Inferred): design diagrams are produced and passed back as binding data into code generation (4.2) which has downstream authority, though an informal Markdown document, without metamodel, could be a model a loop could check a change against. ActivFORMS (Not applicable): The paper is not based on any formal model, and explicitly mentions that there is no checkable semantics for its design artefacts. The elapsed time and human effort are separately reported, as a cost side of a loop, per cohort (Control-theoretic adaptation (Inferred): elapsed time and human effort are separately reported, as a cost side of a loop, per cohort (3.3)). No measure of convergence or stability is used.</t>
  </si>
  <si>
    <t>MAPE-K. In this case, the loop is unsupervised, and the success rate is calculated by model (stages): generate, validate, correct, resubmit, until pipeline passes. The subject of the loop is a code artefact, not a running system, which is the only link between it and self adaptation; and the measured non-determinism of the study makes for a load-bearing, rather than a decorative, external validation pipeline. Rainbow fits that as a constraint evaluation but it has no architecture model to evaluate; Models@run.time cannot apply at all for the same reason; ActivFORMS is blocked.</t>
  </si>
  <si>
    <t>Quality assurance the deployed system against the model with the conformance check: the informal Markdown is replaced by a model with a metamodel, this conformance check is checkable, and when it fails, the system reenters the agent as the validation output did. Here the loop, the agent authority on execution, and the per-model measurement already exist, it's just that there's a lack of semantics on which to rest the check that the paper calls an absence (4.2). This paper compares a loop over an informal artefact with a loop over a metamodel-backed one on the same conformance violations, and reports on elapsed time and effort. The following 2 preconditions are not covered by this paper: a metamodel for the design artefacts; a conformance check the agent can be provided with the output of; telemetry or incidents as the trigger. Risks: no cost or latency data for a loop that needs to be adapted during an interval (3.3); three headlined metrics that are not defined and can't be computed; and so this study's own improvement measures cannot be used as baseline (3.2); risks of a measured variability under identical inputs, but now with authority over structural changes (5.2); and an agent with CI/CD authority and no captured rationale for what it decides (1.3, 4.1).</t>
  </si>
  <si>
    <t>Two approaches for enabling software architecture documentation (SAD) to source code using LLM. ExArch feeds an LLM with the package structure of the extracted source code and/or documentation to generate a high level component name, and passes that to the current heuristic tool TransArC, which is used to replace a manually created model of the package. It applies named entity recognition on the documentation focusing on architecture related entities, then extracts the main name, aliases and occurrence lines for each entity and matches the obtained entities to model entities using the Jaro-Winkler string similarity score, Levenshtein string similarity score, cosine similarity score and the text-embedding-3-large embeddings. Both require the LLM to identify entities and then rely on hard-coded rules to fill in the links. Eleven models, five benchmark projects, six baselines, Wilcoxon tests, five runs for each nondeterministic configuration and two replication packages.</t>
  </si>
  <si>
    <t>Traceability of artefact-time and at design time</t>
  </si>
  <si>
    <t>1.1, 1.2(A), 1.3, 1.4, 1.5, 1.6, 2.1, 2.2, 2.3, 3.1, 3.2, 3.3, 4.1, 4.2, 4.3, 4.4, 4.5, 5.1, 5.2, 6.1</t>
  </si>
  <si>
    <t>(a) Generate what: Only component names are generated, no structure, no connectors, no behaviour (1.1, related activity) – authors argue that the quality of the generated models depends on the model purpose (1.4) and they differentiate what is generated from what is recovered in terms of architecture. Autonomy, with bounded design philosophy: instead of delegating the whole task the problem is decomposed, and models are only used in subtasks in which they are better: recognition and extraction of architectural entities, while the problem of final trace-link recovery is left to the deterministic heuristics of the current approach (1.5). (c): Determinism measured and found wanting: The determinism issue is described as a risk, the mitigations are described as being temperature zero and a fixed seed, and the determinism controls are reported to be unavailable for one model (5.2) and also to be unavailable for long structured prompts. The two concepts of reasoning and serialisation were separated into two distinct prompts as serialisation was often paired with reasoning to create malformed JSON (1.5). Where it doesn't work: failure modes are undocumented components and test versus production code; F1 of near 0 on one project (5.1) shows code-only extraction is severely underperforming when compared to documentation. (e) Liveness: completely an artefact time. No measurement is added to the pipeline from a running system, no link is kept in the running system and no parts of the architecture are modified by any model (4.4, coded silence). (f) Timeliness: none of the eleven models (3.3) has a cost, token or runtime.</t>
  </si>
  <si>
    <t>MAPE-K (Inferred): Analyze Feeding Knowledge; Entity extraction resulting in a component model to be consumed by a downstream tool. No monitoring, planning or executing. Rainbow's architecture model needs to know which code a strategy would touch in order for the generated component model to know which links are to be included in the code. A paper explains in detail the directionality and multiplicity of links across the artefact chain (1.3). No judgement or picking is done. Models@run.time (Inferred): The best single description in the corpus of the purpose of a generated model. The generated component names are a model consumed by a model-based toolchain and model adequacy is argued from purpose not from fidelity, i.e., a runtime model could be complete, but it must be good enough for the model that reads it. Rejected manual-model precondition is identified and automated away (1.3, 4.3) at similar measured performance (1.6). The mechanism is constructed, then compared to six baselines using Wilcoxon tests, and applied to a real downstream tool, the result of which is reported five times, with standard deviations reported but not used in real-time. Regraded: from Partial: A runtime model is causally tied to the execution system both ways. What this study provides is a recipe for the production or re-reading of such a model, an artefact that enables rather than maintains a connection. FORMS (Inferred): This is a reflection model of the subject system, which is a generated component model. EUREMA (Inferred): the shape of the parts of a megamodel is not executable, but it is generated by another model and consumed mechanically by another one.</t>
  </si>
  <si>
    <t>Models@run.time. In this study, a carefully crafted argument is made that a model-generated architecture model can be used for a working model-based toolchain at comparable performance, and that this is the correct measure of fidelity; a model is good for its purpose or it isn't. As the precondition for all the following in RQ4, a self-adaptive system cannot have an architect that maintains its runtime model. Infrastructure is gained by MAPE-K and Rainbow, as is a mechanism by EUREMA and FORMS names the artefact. The constraint is that it is generated only once (from documentation and code) with determinism controls which the authors claim fail on long prompts.</t>
  </si>
  <si>
    <t>Build and maintain runtime architecture model, similar to how this paper builds and maintains its component model: use a language model to extract entities, honor aliases and coreferences, pass the recovered entities to deterministic heuristics, and re-run on change to keep the model up to date with the system. This is the stated design philosophy of this paper (1.5) and is the only part that requires exactitude, the idea which is transferable is the division of labour. Measurable using instruments in this paper: precision, recall and F1 with the ground truth; 5 runs per configuration; on a system that changes over time, not at a single time. Preconditions: documentation to extract from, because document extraction could not be done from here using code (5.1); Deteterministic matcher for linking step. Risks: determinism controls failing on long structured prompts, which a large runtime model would produce (5.2); undocumented components, which a loop would then not know exist (1.4); format non-adherence needing a specified parsing procedure (5.2); and no runtime or token figures anywhere, so the cost of repeating the extraction is unknown (3.3).</t>
  </si>
  <si>
    <t>A paradigm of designing and re-designing the architecture of a multi-agent diagnostic system by a language model. Workflows are graphs of typed nodes (basic nodes with a role prompt and a task prompt, tool nodes with a tool binding) representing the order in which the nodes are executed. The search space is hierarchical, meaning that what can change would be node-level operations, such as add, remove, or modify nodes; structural-level operations, such as adding conditional branches, loops and parallel paths; and, framework-level operations, which would compose established multi-agent patterns of those primitives. Beginning at a baseline of one node, the system runs, identifies its failures, analyses the structure of the system, suggests changes, validates, redeploys and repeats the cycle until it reaches the point of validation accuracy convergence.</t>
  </si>
  <si>
    <t>Design time: A closed loop over the architecture when it is converged.</t>
  </si>
  <si>
    <t>(a) Liveness, only a break is important here, the loop runs at design time and then stops. The evolution happens during a training set, the workflow is frozen when the accuracy of the validation set becomes converged, the frozen workflow is used on the test data, no further evolution occurs after deployment, and no way is suggested to continue evolution when the input distribution changes (the reason why the introduction to the work was made: 4.4, coded silence). (b) The autonomy is scaffolded: The allowed operations are written by the researchers, the workflow of the seeds is shown, rules for validation are given and the list of the tools is given in advance. The model selects within a designed structure that it didn't build (1.5). (c) No rationale: after an iteration (1.3) no suggestion or decision record remains (related activity). Checking is shape-deep: no semantics, no correctness checking; only graph integrity is checked and whether the conformance to any architectural specification is checked is not required (4.2, 1.4). The changes that are caused by structural changes must be validated by integrity checks: no duplicate edges, bounded loops, defined exits, etc; any change that causes a structural change is measured as the highest change (5.2, 2.1) and must be validated. The less expensive the change, the less it is looked at. Evidence and cost: a single seed at temperature 1.0, with deliberate stochasticity, no limitations or threats section of any kind, and cost of considering the architecture search itself is unreported; but the cost to use the evolved workflow is from 8.7 to 11 nodes and 210 to 621 seconds (3.1, 3.3, 5.1, 6.1).</t>
  </si>
  <si>
    <t>MAPE-K (Partial): the corpus’s most complete loop. The system executes and combines node outputs (Monitor), root cause failure classification and analyse system structure (Analyse), generate structural and prompt suggestions and reformulate them (Plan), validate the structural ones and apply them, redeploy modified workflow (Execute); Knowledge: node outputs + failure classification by root cause + analyse of system structure. Partial because of its use of an evolutionary loop, without giving a reference model, and because it only goes so far as deployment. Rainbow (Partial): adaptation occurs in the mechanism but not in the setting of Rainbow and grade if it occurs in the offline regime only; the loop is executed over a training set and is deactivated at deployment time, so no adaptation happens during the execution of the system. The architecture is adapted, over iterations, the workflow gets a node for a retrieval tool, a node for a validation, three nodes parallel with specialists, a condition for consensus, and a reasoning loop: adaptation to the architecture, not the tuning of parameters (4.4). The integrity gates are the constraint evaluation (before a change is admitted) and the deploy-if-valid rule is the executor (4.5). Models@run.time (Inferred): the architecture exists as a typed attributed graph which the model then reads, alters and then redeploys; causality in both directions over the graph of the architecture. Regraded as Partial: a runtime model is causally coupled to the running system both ways. This study provides a mechanism for creating or re-reading such a model – it is an enabler artefact, not a maintained connection. Dynamic – Three Level Permissible Operation of the Software Product Line (Inferred): Three-level vocabulary of permissible operations of the architecture, and the configurable tool list is authored in advance, with binding of the variants in the list to occur at runtime based on the context. Partial: a product line requires a clear and strict variability model (with configuration constraints) and runtime binding. An authored vocabulary of edit operations circumscribes a search, rather than models variants. The disposition is ActivFORMS (Inferred): structural changes are validated before application, and proposals are screened for feasibility prior to validation (5.2) but it is not a validated model. Regraded from Partial: ActivFORMS is a formally verified model that is checked at runtime, while any study here involves a formal verification of the model, the correspondence is rather a component analogy than part of the model. Control-theoretic adaptation (Inferred): the loop ends when the accuracy of the validation data set is measured to converge (4.5), instead of when a fixed number of iterations is reached (4.4). Partial: All control readings require a plant, reference signal and analysed response. An iteration curve or convergence stopping rule is a measurement, NOT a controller.</t>
  </si>
  <si>
    <t>Rainbow. This is the one study in which the object of adaptation is the architecture itself (parts and links added, removed and reconnected by the loop), and where the change must undergo a check outside the proposer in order to be applied. Rainbow is this combination: an architecture model, a constraint evaluation and an executor. While both interpretations of the activities are complete, MAPE-K is a more complete description of the cycle, and does not need the adaptation to be architectural, which is actually what this study is distinguishing itself on. Each part of what Rainbow organises is modeled in some other aspect, typed graph, dynamic product lines the authored operation vocabulary, gate the control theory the stopping rule. The largest gap in RQ4 is that the loop is switched off at deployment; but it's not the only one: the integrity gate is not about architectural correctness, the cost of the search is reported at phase level only, and auditability and accountability of a self-modifying clinical system is not addressed.</t>
  </si>
  <si>
    <t>Continue the loop after deployment, and set the trigger to be a monitored degradation (not a training epoch): Do not change the operation vocabulary, the integrity gates and the deploy-if-valid rule, instead, set a convergence criterion as a re-entry criterion: When the accuracy on live traffic goes below the converged level, the part of the graph affected by the degradation will be re-entered in the loop. The introduction has the self-motivation – the motivation to do the work is the distribution shift – and then it does not: the paper doesn't motivate itself. The paper already reports accuracy and node growth as costs, which can be tested by adding a distribution shift after the freezing and comparing a frozen architecture with one that can continue (on accuracy), using the own data of the paper. Preconditions: a live accuracy signal, which a diagnostic system doesn't have until later when ground truth arrives; a bound of how much structure can change from one re-entry to the next, which is gated too when prompt changes are made. Risks: structural and time cost, already from 8.7 to 11 nodes and 210 to 621 seconds for one offline evolution (5.1); a single seed at temperature 1.0 with no variance measured, in a loop that would now run unattended (3.1); integrity checks that test graph shape and not architectural correctness, so a valid graph can still be a wrong architecture (4.2); and no regulatory, auditability or accountability discussion for a self-modifying system in a clinical setting (4.5).</t>
  </si>
  <si>
    <t>To take an existing attribute-driven design process; Interpret requirements, Generate solution ideas, and Automate and validate through automated trade-off analysis – and automate it with LLM and RHLF, allowing architects to review and sign off each iteration. The knowledge base is defined to store patterns, design principles and previous solutions; retrieval is defined down to named nearest-neighbour algorithms. Nothing is done, nothing runs and nothing is measured.</t>
  </si>
  <si>
    <t>Design time: proposed by the recommender, adapted by the recommender; not by the system</t>
  </si>
  <si>
    <t>1.1, 1.2, 1.3(A), 1.4, 1.5, 1.6, 2.1(A), 2.2, 2.3, 3.1(A), 3.2, 3.3, 4.1(A), 4.2, 4.3, 4.4, 4.5, 5.1, 5.2, 6.1</t>
  </si>
  <si>
    <t xml:space="preserve"> The conditional voice is used in the testing section to report an evaluation; and the abstract is used to report actions in the past tense. (b) Autonomy: The architect acts as the evaluator at the end of each iteration and the model is created to assist in the process rather than being the decision maker (1.5). (c) The adaptation is the adapters' not the system's: The architectural recommendations are adapted over time across projects via reinforcement learning with human feedback; the Knowledge base is adapted by architect sign-off (4.4, 2.2). Any deployed system does not adapt in any way; no monitor, trigger, deployed component or reconfiguration is described (4.4; coded silence). No artefact to act on: An artefact mechanism is not specified and no formal artefact or notation is specified for the output (1.3, 4.2) (e) Evidence quality: (5.1) states 40 per cent reduction three times, and provides it with a different quantity each time. </t>
  </si>
  <si>
    <t>MAPE-K (Inferred): Plan using a learning Knowledge store. Solution options are created based on stated drivers and a chosen design method (1.1), trade-off weighting is given to attention for competing drivers (1.2) and the knowledge base grows with architects' sign-off (2.2). No Monitoring, Analysing or Executing. Rainbow (Inferred): Proposed automated trade-off analysis of competing quality drivers is a utility evaluation (1.2, 1.4) and a pattern and prior-solution knowledge base is a strategy repertoire (1.2, 1.4) – nothing evaluates a running architecture or applies anything. Models@run.time (Not applicable): There is no formal artefact and notation for the output and so no model to retain. Control-theoretic adaptation (Inferred): the feedback loop is described, but not implemented or evaluated, subject is the recommender. RLHF is a controller tuning itself by a reward signal and the loop is repeated across projects but not within one system. Awareness requirements (Inferred): awareness requirements are the requirement(s) that are satisfied at runtime, that is, with someone in the role that the monitor will play.</t>
  </si>
  <si>
    <t>Theoretical adaptation and a not so fit appearance. The feedback loop is not a feedback over the system, but a feedback closed in the corpus – the reward is architect sign-off; what would converge is the recommender's quality over projects. The chapter is about this; it doesn't build or measure anything. The former is learning, the latter, self-adaptation, and putting the name of the framework in the box makes the difference very apparent: a loop in the right shape pointing in the wrong direction. During design, the steps to be taken are suggested by MAPE-K and Rainbow, with no need to attach to the signal, and awareness requirements are attached to the signal by a human.</t>
  </si>
  <si>
    <t>Extend the same feedback loop to adaptation decisions rather than design recommendations: the reward is if an executed adaptation was successful in meeting the adaptation goal it was chosen for, not signed off, and how well it improves across episodes is the planner's strategy ranking. The proposed structure of the paper, retrieval over prior solutions, ranking over competing drivers, and feedback as refinement of each of these, moves intact; it's only the signal of approval from a person to the assessed result that changes. Determine if the ranking changes when compared to a fixed ranking after the adaptation; testable. Preconditions: a measure of outcome to be ranked per adaptation, which this paper lacks; a sufficient number of episodes to have a meaning for a reward signal. Risks: No implementation or evaluation here (3.1); No mechanism behind grounding (5.2).</t>
  </si>
  <si>
    <t>A research program for introducing penetration testing in the design phase. Input are architectural models, from which penetration test cases are generated, prioritised by severity with public vulnerability data, with which one may compare alternative architectures, feeding a recommender that tells the architect what design decisions make the system vulnerable. Three approaches are suggested as follows: threat modelling only, language modelling of public weakness and attack-pattern database, and a hybrid approach, with the addition of domain threat modelling. No implementation or evaluation in place.</t>
  </si>
  <si>
    <t>A research plan and at design time.</t>
  </si>
  <si>
    <t>1.1(A), 1.2, 1.3(A), 1.4, 1.5, 1.6, 2.1, 2.2, 2.3, 3.1, 3.2, 3.3, 4.1(A), 4.2, 4.3, 4.4(A), 4.5, 5.1(A), 5.2, 6.1</t>
  </si>
  <si>
    <t>Evaluation: no model run, no orchestration, no advantage/disadvantage observed = advantage is expected from a model run, no disadvantage/disadvantage observed from an orchestration = advantage is expected from a plan (3.1, 2.3, 5.1, coded silence / absence). The model's role is undecided: A non-model algorithm is being developed and it is later determined if the model will supplant or enhance pipeline steps (1.5). (c) Direction: architecture is input, artefact is never created: This results in the generation of test cases, a severity ranking and an attack-surface rating. (1.1, related activity). (d) By design and even more so: everything is done at runtime, and the paper is about taking an activity that's taking place at runtime and bringing it up to the deployment phase (4.4, coded silence). (e) Assurance: No treatment of hallucination or non-determinism; no oversight or assurance with attack scenarios generated by the model; other irrelevant outputs are called the expected failure mode (4.5, 5.2). There is no model-level attack-surface complexity/atk severity derived priority and a DTL feedback to architect (3.2, 6.1) is not present.</t>
  </si>
  <si>
    <t>MAPE-K (Inferred): Analyze on Knowledge base of public weakness, attack-pattern and vulnerability collections, generating a ranking for a human. Plan and Execute, Monitor is not designed. Rainbow (Inferred): Utility reading that is clear in the corpus. The idea is to rate alternative architectures by attack-surface complexity (which is a utility function over alternative architectural choices, the thing Rainbow selects strategies with) and the second criteria is severity-derived priority (3.2), and feed this rating to a recommender for architects (1.2, 1.4). There are criteria and their sources that are specified, which is more than just an analogy; nothing computes them and no architecture is evaluated. Not that - a regraded reason: Rainbow thinks about a running system on top of an architecture model, and decides on an adaptation; a check outside the generator, a coverage rule or a proposed utility does not that, and none of this is done on a running system. Models driven throughout the approach (including the whole approach) and the proposed intermediate formal artefact is an attack tree (4.2), but the models are design artefacts which are not kept updated. ActivFORMS (Inferred): rating a design before it is built, against formally derived attack trees, is verification ahead of operation – there is no verification of the model's output – which is termed by the paper as a gap (4.5). An awareness requirement is a statement of which properties must hold, and how much the failure of that property costs, and is written in the form of a severity-ranked test case.</t>
  </si>
  <si>
    <t>Rainbow. This study proposes to compute such a measure: attack-surface complexity, based on public vulnerability data, over competing architectural models, and to consider this measure for choosing between different configurations in a self-adaptive system. It is indeed a utility function in the sense of Rainbow, and the paper states that the lack of such a mechanism is an open problem - no formal method computes these factors at the model level. The activity is placed by MAPE-K, the formal input is fitted by Models@run.time, the before-operation posture is fitted by ActivFORMS, the ranking is fit by awareness requirements. They are all suggestions here and that's why the grounding is what it is.</t>
  </si>
  <si>
    <t>Calculate attack surface rating on candidate runtime configurations, not design alternatives, and rank a reconfiguration based on the attack surface, in addition to the latency, so that a reconfig that widens the attack surface is scored and not waved through. The paper presents the criterion, the data source and it claims that there is not a formal method that computes it at the model level, which is what a self-adaptive system should be able to fill. Testable to see if the rating improves when it shows an inferior configuration before another configuration with known vulnerabilities, before any loop is constructed. Preconditions: architectures held in the component-model description language the approach requires; the rating is computable within a rating period short enough to allow for scoring candidates within an adaptation period, where there is no concrete figure (3.3). Risks: The whole approach is planned, rather than built; the role of the model itself is not decided (1.5, 3.1); there is no oversight of attack scenarios generated by the model, which would be used as input to a scoring function (4.5); and a rating is computed on a design model that may have drifted away from the running system, because there is no way to keep it current.</t>
  </si>
  <si>
    <t>Sub-theme carried forward</t>
  </si>
  <si>
    <t>RQ</t>
  </si>
  <si>
    <t>What it already offers architectural design</t>
  </si>
  <si>
    <t>What breaks or is missing for self-adaptive systems</t>
  </si>
  <si>
    <t>Self-adaptation concepts it touches</t>
  </si>
  <si>
    <t>Extension to SASS (testable), with preconditions and risks</t>
  </si>
  <si>
    <t>Supporting studies (evidenced; mechanism support where it applies)</t>
  </si>
  <si>
    <t>RQ1</t>
  </si>
  <si>
    <t>A model is used to create architecture based on a requirement in writing. The following five design agents produce successive C4 views across 5 real projects: S3: Generates ranked design solutions per agent trajectory; S6: Generates 4 UML view types from a specification; S7: Defines a 6-step pipeline from requirements through domain model and candidate architectures to finally a selected design; S10: Generates successive C4 views across 5 real projects; S11: Synthesises class and component diagrams from an architecture story; S17: A dedicated design agent synthesises architecture from a generated specification; S19: Derives service boundaries, APIs and data models and persists the diagrams; S21: Builds an architecture from a single-node baseline, under a declared vocabulary of structural operations.</t>
  </si>
  <si>
    <t>Change goals and acceptance during the run-time. Generation only runs once, when the requirements are written at design time, and the goals of a self-adaptive system change during the run. In 11 studies, an architectural object is manufactured and in 10 of these, the stimulus is not a measurement, but a written document by a person. Both at the ends S21 is the exception, S21 evolution is hypothesized to be due to diagnostic failure, which was observed, and S21 root causes were identified by model analyses as structural and prompt changes. The second challenge of the problem is acceptance. In every other place, a person must make the choice – and that is the reason why S7 carefully leaves the final choice to the architect, as there are implicit requirements that have not been written down that have to be taken into account.</t>
  </si>
  <si>
    <t>MAPE-K: No Monitor input anywhere, Plan at design time. Rainbow: S7 is closest, proposes to create candidates, and suggest to check them automatically against quality measures before choosing one. To seed the runtime model, a generated architecture might be used, and S20 demonstrates a generated component model in a model-based toolchain as well as a hand-built one, but nothing is saved. Three-layer: the deliberate planning, the work of goal management (S7, S22) is the regeneration of an architecture from prioritised drivers. None of these studies has a failing monitored requirement, so the regeneration of part of an architecture is the natural trigger for it.</t>
  </si>
  <si>
    <t>To reprovision the portion of the architecture that failed when the requirement is violated by a failing scenario, and to compare the new architecture with architectural constraints prior to use. S7 provides the rule for making this bounded instead of open-ended – prefer the candidate that is the least different from the running architecture; only accept a bigger change where a quality requirement calls for it. Testable by comparing the regenerated fragments with an architect's own for the same requirement change, with scores made on quality gain and on distance from the current architecture. Preconditions are conditions that can be monitored, and they are a validation step outside of the generator, only S21 has. Risks: generation that contradicts what the prompt said (S6) and omission of what the reference said (S6, S10); structurally different architectures from identical prompts in different repeats (S10, S11); style bias towards what is common in the training data (S11); and implicit requirements S7 places on a human, which no one monitors.</t>
  </si>
  <si>
    <t>S3, S6, S7, S9, S10, S11, S17, S19 (Mechanism support), S20 (Mechanism support), S21 (Mechanism support), S22</t>
  </si>
  <si>
    <t>The model suggests patterns, tactics and technologies with respect to the stated drivers. S1 involves a sequence of prompts that elicit quality attributes and uncertainties before the model returns a justified decision, while S2 exemplifies the sequence that two industrial teams followed in their decision-making for the selection of the technology; S3 decomposes the architecting and divides its functions into callable pattern-selection tools; S22 proposes pattern and prior-solution knowledge as the source of the recommendation, the trade-off weighting being performed over competing drivers.</t>
  </si>
  <si>
    <t>Autonomous and trade-off reasoning. Fourteen studies have a model recommend a pattern, tactic or technology, and in thirteen a person accepts the recommendation. It is only S21 who automatically accepts and what S21 accepts is an edit to its workflow and not a recommendation to anyone. The adapters' reasoning used in the process of making an adaptation decision is the weakest part: S1 must add a pattern specifically in order to make the model state its premises, S4 thinks the format is right, the decision content is not high enough for people to grasp, and S8 blames it on a problem framing step that people do before they consider options. When competing goals, making a selection of adaption is precisely a trade-off decision.</t>
  </si>
  <si>
    <t>The person accepting the recommendation (MAPE-K: Plan) would require the authority to execute. A recommender might back strategy selection in the adaptation engine (Rainbow) which S23 suggests is related to the utility such a selection requires, and hence rates alternative architectures by attack-surface complexity. Models@run.time: not engaged; the recommendations are for an architecture and not over a model of one. Deliberative decision support is a component of goal management (three layer). A variability model is used to restrict the possible recommendations for a dynamic product lines like S22's pattern and prior-solution knowledge base.</t>
  </si>
  <si>
    <t>Let a model give a list of adaptation strategies and provide a motivation; then use a utility function or a check outside the model to make the final choice. S23 adds the utility dimension the corpus is missing and S8 presents the architecture: a proposing step, and a separate consistency step that checks the proposed changes against the decisions already in force. Tested against just a utility-based selection on a self-adaptive exemplar: do the ranking and the utility disagree? Preconditions: a set of pre-defined strategies; a utility function, the computation of which is done at model level and no formal method is provided by S23. Risks: a missing problem-framing step (S8); recommendations are too generic to work out in complex environments (S2); vendor and style bias due to training-data frequency (S2, S11); and non-catalogue options may be overlooked in favour of catalogue options (S8), so a plain reconfiguration may be missed.</t>
  </si>
  <si>
    <t>S1, S2, S3, S4, S7, S8 (Mechanism support), S9, S10, S11, S17, S19 (Mechanism support), S21 (Mechanism support), S22, S23 (Mechanism support)</t>
  </si>
  <si>
    <t>Structured artefacts used to record decisions and reasons. S4 generates decision text from a given context; S8 captures structured rationale in an assessment step and presents it as a summary in an MADR-template decision record; S1 externalises the rationale as a list of premises to be checked; S7 auto-extracts the decision records specifically to document choices that the tooling would otherwise make "in the background", and S9 translates the source artefacts into structured knowledge formats and proposes an Oracle Verifier to check the fused knowledge before it is stored.</t>
  </si>
  <si>
    <t>Accountability at runtime. Fourteen studies yield a record and all of these yield it for someone else to read after. An adapting system makes decisions that also require a record; which is written as it is made and recorded with the thing that it changed. S17 creates architectural artifacts which have no meaning whatsoever; S19 contains no meaning at all, nor does S21's proposals survive an iteration. The exception is S13, which displays the shape; this selection's decision module explains each selection as it is made, at runtime.</t>
  </si>
  <si>
    <t>MAPE-K: Knowledge, with the rationale for each adaptation. S4 tells you the price of creating such a record, and it has an optimized model that matches one about 700 times larger, which is why it is feasible to write one once an adaptation. Rainbow: not directly engaged; there is no reason to use a strategy; a reason is not a constraint. The closest form in the corpus is a model with a rationale, as attached history of the runtime model in Models@run.time, where the confidence value and written justification of each judgement is attached. Three-layer: Why a change is necessary should be managed in goal management, not in the change itself. FORMS: A record of why a reflective subsystem acted is a part of its reflective state.</t>
  </si>
  <si>
    <t>For each adaptation, record the decision as a record of the Analyse result and the goal it served, rather than from just the change itself; and attach it to the version of the run-time model it changed. Use a small, locally hosted model, which is highly trained and reaches similar accuracy, eliminating the need for sending runtime data to a third party, as done in S4. It is testable if engineers can explain the reasons for an adaptation from the record without any knowledge of the individual except for the record itself, when the explanation is written by hand for the same adaptation. Preconditions: context-to-decision pairs, which an adaptation log supplies; hardware for local hosting. Risks: a correct format but a wrong rationale, with no reader catching it; format correct, but lower level design content (S4); produced without ever being checked (S21's position); exposure to data-sovereignty, but at runtime it relates to the state of live systems (S4 and S11).</t>
  </si>
  <si>
    <t>S1, S4, S5, S7, S8 (Mechanism support), S9, S10, S11, S14 (Mechanism support), S17, S18 (Mechanism support), S19 (Mechanism support), S20 (Mechanism support), S21 (Mechanism support)</t>
  </si>
  <si>
    <t>Model is of an actual architecture. Multi-view architecture reconstruction from legacy code (S14); Recovering presence of an architectural tactic from documentation and code and tracing to source (S12); Subsystem and function decomposition from a formal model on each run (S18); Proposing attack-surface analysis on competing architectural models (S18); Checking a candidate decision for conflict with previous decisions in the system (S8); Checking a requirement set against a candidate model for gaps, contradictions, and duplication (S23); Extracting a candidate model from documentation and code, and tracing to source (S20).</t>
  </si>
  <si>
    <t>An existing architecture is studied in 14 studies and each of these is executed off-line on a snapshot: source code, documentation, design model, repository at a point in time. As of the writing of this document, S20 makes its point quite clear: No measurement from a running system ever enters the pipeline and no link is maintained while the system is running. The warning attached is S12, a classifier that performs as well as the state-of-the-art when tested under cross-validation, but not as well under the condition that an adaptation loop encounters when it is outside of its training set. As a system runs, there is no item in the corpus that keeps a structural model up to date.</t>
  </si>
  <si>
    <t>MAPE-K: Analyze, and Monitor if analysed again. Rainbow: conformance checking with respect to sufficiency rule is a constraint evaluation (S18); S23 introduces a quality measure to rate competing architectures, the utility side. Models@run.time: the closest model in the corpus. S20 presents a generated component model used by a model-based tool chain as well as a manual one and argues for the concept of adequacy from purpose, not fidelity, to the generated model; S14 presents how a model of a repository that is too big to re-read can be built in merge-able chunks, since it may be modified between runs; S18 re-reads the formal architecture on each run, because it may have evolved. FORMS: recovered architecture is a reflection model of the subject system (S5, S14, S20). Megamodels' parts are in S14's shape, which is the mechanically mergeable partial diagrams.The shape of the parts of a megamodel is the shape of S14's mechanically mergeable partial diagrams.</t>
  </si>
  <si>
    <t>For any and all changes, do the recovery and conformance checking not just once on a snapshot, but re-derive what part of the architecture was touched, and merge the change into the existing architecture model, thus ensuring that a loop reads an architecture – a change is out of date at most times at most places. S14 provides the mechanism (bounded-overlap grouping, an output grammar selected such that partial models can be joined together), S20 the division of labour which removes non-determinism from the critical one and S18 the habit of re-reading, since the architecture can have changed. Testable based on the number of violations that can be detected once injected on a dynamic system, and the accuracy of the maintained model with regard to a full re-recovery after a number of commits. Preconditions: 1) There is a model that supports the architecture to code traceability, as indicated by S20; 2) the parts that are impacted by the change events can be mapped. Failure to generalise beyond the training data (S12), failure of local-scope bias to get worse on fragments, leading to hallucinated identifiers (S14), code-only extraction which fails outright on some projects (S20), undocumented components, which a loop would never know exist (S20), and no cost or runtime anywhere to repeat the work (S14, S20).</t>
  </si>
  <si>
    <t>S3, S5, S7, S8 (Mechanism support), S9, S11, S12, S14 (Mechanism support), S18 (Mechanism support), S19 (Mechanism support), S20 (Mechanism support), S21 (Mechanism support), S22, S23 (Mechanism support)</t>
  </si>
  <si>
    <t>The purpose of the model is explicitly presented and is enclosed nearly everywhere. S13 introduces two roles of human in the reconfiguration process, and a second model validates the first against the stated intent before being trusted; S3 introduces a shift from human-controlled modules to an autonomous agent; S8 puts the copilots in the role of critiquing the model, giving the human a possibility to override it, a situation where the human-only critique role is known to be weak; S16 restricts the role of the model to that of an assistant, as it is stated in the design; S7 restricts the model to a standard procedure, and human selection remains, motivated by documented human-only critique weakness; S25 (external anchor, outside the 23; identified on the Method sheet and listed under Withdrawn studies, and counted nowhere) catalogues the whole spectrum ranging from prompting every task to an autonomous agent, and catalogues three distinct verifiers (human, AI, hybrid human-in-the-loop agent).</t>
  </si>
  <si>
    <t>Security of self-determination. At run-time, a self-adaptive system does not require a human; and the consensus of the corpus is nearly unanimous the other way around: twenty-two papers say that there is a role for the model, while only a few papers have no human in it. In S16, the cap is a design requirement and the human validation of the cap is required. At low temp, S18 restricts the model behind a deterministic API to a value of the confidence, an explanation and an escape category and therefore states what it doesn't know instead of speculating. The guard is the part that differs when autonomy is used: S21 for altering the integrity of the graph, S19 for a validation pipeline, S13 for another try of the agent's model call against the stated goal, S3 for an agent that was witnessed evading a tool.</t>
  </si>
  <si>
    <t>MAPE-K: autonomic manager's degree of autonomy, and the Human is an approval gate ahead of Execute. Rainbow: the gate is placed in front of the adaptation executor; the validation pipeline implemented by S19 and the deploy-if-valid rule implemented by S21 are both placed in the gate. Not directly engaged with models.Not actively involved with models. Three-layer: S16 comes to layering with its design; the reasoning layer on top of a model of the running system on top of the automation ; and it states as principle that it is only the non-deterministic sub-tasks what belong in the reasoning layer. ActivFORMS premise is restated as a requirement: A generative model must be based on a formal model and must be asked systematically before it has any meaning as a result.</t>
  </si>
  <si>
    <t>Graded autonomy; the loop functions independently for low-risk reversible changes and raises the bar for high-risk changes, the risk dictates which guard is used. S21 demonstrates the asymmetry already; gating structural changes and un-gating prompt changes; S18 demonstrates the interface an escalation needs, a structured judgment and a confidence value, and an explicit escape category. The changes could be tested by the rate of escalation as well as the error rate with which the changes were carried out without one. Inputs: classification of adaptation actions by risk; a threshold of confidence that the escalation can reach. Contains risks of over-reliance on the model output (S10: the same prompts produce different architectures), guard that cannot be refused by the agent (S3), cheapest change is least checked (S21: hallucination rate is 20 per cent, even if the detection is handled by the agent).</t>
  </si>
  <si>
    <t>S1, S2, S3, S4, S5, S6, S7, S8 (Mechanism support), S9, S10, S11, S13 (Mechanism support), S14 (Mechanism support), S15 (Mechanism support), S16 (Mechanism support), S17, S18 (Mechanism support), S19 (Mechanism support), S20 (Mechanism support), S21 (Mechanism support), S22, S23 (Mechanism support)</t>
  </si>
  <si>
    <t>The 23 studies report on 21 of them as benefits, and 11 of the 23 studies measure them for design-time. The company claims that it shortens development time from 9 days to about 2 days for the same input from one cohort to another. S14 scores significantly higher than its industrial baseline in eight repositories in both models tested in terms of the diagram F1. S20 eliminates the hindrance of the previous hand-maintained architecture model that was hard to adopt, and finds the quality of the model to be purpose relative, a smaller model outperforming a larger one on the same project with similar measured performances. On all available baselines, datasets and models, S21 beats three baselines. S6 created diagrams which contained the right materials not included in the reference. The qualitative benefits: Targeting, scope control and early risk visibility (S1), Structure, risk concerns never left out (S2), Natural language, lowers barrier to formal-representation (S3), Exploration capacity, beyond what students considered (S8), Design space narrowed and unconsidered patterns surfaced (S10), per-concept accuracy, as a guide to what needs checking (S5). It is also reported that for three datasets, the proportion of students achieving S15 is 94 per cent, 88 per cent and 84 per cent, and that, in a benchmarks context, output quality has increased 14.2 per cent, but not in a clinical context. S12 matches, not beats, in terms of accuracy, and it's for this reason that it is beneficial elsewhere: a task can be trained on a rather small data set. The other two studies, S9 and S11 have no built or validated.</t>
  </si>
  <si>
    <t>Samples of benefit at runtime. There are 21 studies reporting benefits, and nearly all of them are design-time: diagrams were created quicker, documentation was written, a decision was made that was consistent with a team decision. The figures that are available are elapsed time (S19: nine days to two) or accuracy compared to a ground truth (S14, S20) or practitioner approval (S2, S10). There is no study quantifying the advantage of adaptation on the running system's behaviour. There are loops, S13, S15 and S16, and S21, all reporting the benefits of the loop's output; one is the ablation (S15) one is the accuracy under degraded prompts (S13), and the third is the accuracy on the loop's output across iterations of evolution (S21), all of which are different quantities. Two studies show none at all; S9, S11, there was not a building or a valid one constructed. With regard to accuracy, S12 does not outperform the existing approach, but it claims a as yet own benefit: A task can be trained on a rather small data set. The difference is that you can't take a figure from a benchmark and conclude that it means there's a benefit in practice, let alone under runtime conditions: S15 only reports benchmark gains, not clinical evaluation.</t>
  </si>
  <si>
    <t>MAPE-K: no activity, gap is in evidence, not mechanism. Rainbow, Models@run.time, three-layer: not engaged. Control-theoretic adaptation: The measurements a loop would have to report; time to adapt, goal satisfaction after adaptation, stability; are the control-theoretic ones; two studies measure convergence: S15's iteration curve, where accuracy increases across iterations, but slows after the third; and S21's evolution curve, whose convergence over the validation set determines the rest of the search.</t>
  </si>
  <si>
    <t>Adaptation benefits in terms of: Time to adapt (including model reasoning time), Goal satisfaction after adaptation, Percentage of proposal rejected by the check, compared with a static configuration and a rule-based policy respectively. Comparative design (S19) and ablation (S15) are shown for the design. Testable in the moment, as it is more of a protocol rather than a mechanical process. Training: a process for increasing the ability to adjust to a set base condition. The risks are headline percentages which cannot be recomputed (S19), no repetition or variance (S21) and benefit claimed from practitioner approval (S2, S10, S17, S22) which are the defects of S19, and S22's forty per cent attached to three different quantities.</t>
  </si>
  <si>
    <t>S1, S2, S3, S4, S5, S6, S7, S8 (Mechanism support), S10, S12, S13 (Mechanism support), S14 (Mechanism support), S15 (Mechanism support), S16 (Mechanism support), S17, S18 (Mechanism support), S19 (Mechanism support), S20 (Mechanism support), S21 (Mechanism support), S22, S23 (Mechanism support)</t>
  </si>
  <si>
    <t>RQ2</t>
  </si>
  <si>
    <t>Prompting is considered a human engineered, documented and sometimes measured variable. S1 documents its technique as a reusable pattern form, tunes the ordering empirically into a fixed five-step sequence, and puts an after each step evaluate-and-refine gate; S4 compares zero-shot, few-shot and fine-tuning head to head and reports that when using prompt wording, format adherence improved but decision content didn't; S3 treats prompt refinement as an experimental variable and shows a three-version refinement with the detection result after each; S18 publishes both operative prompts in full with their output schemas, and puts an after each step evaluate-and-refine gate; S21 declares the operation vocabulary in the prompt itself.</t>
  </si>
  <si>
    <t>Automatic prompt construction. 19 studies report that a prompting strategy is used and 18 of those studies indicate that a person writes the prompt for the situation. The exception here being S21, where the prompt evolution gives immediate suggestions to change the system prompt of the node, and then it's directly applied because it changes the graph, not the prompt, so the prompt has been written based on the fails. The best-specified cases are more, not less, dependent: S18 publishes the full prompt in its operative form, as well as its output schema, and considers a change in the prompt to be a variable; S20 publishes four prompts verbatim, and was forced to break up reasoning from serialisation because combining them together produced malformed output. A loop has to recreate the prompt based on the measurements that it has taken. The only study that does this is S21, but this is diagnostic failures on a training set; S13 generates the prompt based on a supervisor's stated intent, rather than some measure.</t>
  </si>
  <si>
    <t>MAPE-K: Mapping interface between Knowledge and Analyse or Plan: a prompt would be composed in this interface. Rainbow: Strategy templates as patterns of prompts, S1 is actually at design time an expression of those five patterns. Models@run.time: prompt context at runtime, in the case of S18, according to a formal architecture model, the most similar model the corpus offers. Dynamic product lines: S21 considers prompt revision as one of the two equally important classes of architectural modification and quantifies it as the higher valued one, hence prompt revision variants are bound by the loop.</t>
  </si>
  <si>
    <t>Automatically complete prompt-pattern slots with runtime model and monitoring data; don't have the model remember a method description for a structural planning step. S18 provides the grounding form, S1 the pattern form and S20 the reason that the reasoning call and formatting call should be distinct. It can be tested by comparing the quality of output from automatically filled slots with the output from architectally filled slots, on the same situations. Preconditions: Runtime model that is queryable in the shape of the slots; monitoring data mapped to slots. Some of the risks are that they are often not reported, and so little to build upon: prompting is not often reported (S1, S11, S14, S15, S19); output structure moving with prompt wording (S4, S7); (at runtime) mal-formed structured output on long prompts (S20); (at runtime) role instructions interfering with one another (S1); measurable degradation as the instruction becomes vaguer (S13).</t>
  </si>
  <si>
    <t>S1, S2, S3, S4, S5, S6, S7, S8 (Mechanism support), S10, S11, S13 (Mechanism support), S15 (Mechanism support), S16 (Mechanism support), S17, S18 (Mechanism support), S19 (Mechanism support), S20 (Mechanism support), S21 (Mechanism support), S23 (Mechanism support)</t>
  </si>
  <si>
    <t>The corpus has the greatest strength and variety in the grounding. S8 implements retrieval over pattern catalogues with an explicit fail-closed behaviour (no match, no model call) and not by guessing; S15 constructs an offline domain-specific vector index, keeping the source metadata for filtering, and presents a multi-layered retrieval fallback, plus term boosting instead of failing on an inexact query; S14 proposes to use structural grounding using an AST reference graph, instead of retrieval; S16 proposes to use a digital twin split into descriptive and procedural knowledge, on empirical grounds cited in the paper, and to position retrieval as a targeted fix for one failure mode, not as a default component of the system; S9 builds its retrieval phase on RAG principles and proposes multi-modal extension, the paper says that the resources are presumably in the training data, so this is an inference by the authors rather than a verification.</t>
  </si>
  <si>
    <t xml:space="preserve"> Fifteen studies ground the model in something beyond the prompt and twelve record an absence of grounding; the two counts are per facet rather than a partition of the corpus, and S17, S18, S19 and S20 appear in both, grounded on one facet and silent on another. What is retrieved is static design knowledge: pattern catalogues (S8), prior solutions (S22), a biomedical index (S15), a formal architecture model (S18), AST reference graphs (S14). Almost none of it is the state of a running system: S16’s digital twin is the exception, and it is a model of a physical process rather than of the software. S9 names runtime logs as a source knowledge could be mined from and goes no further. Where retrieval is absent the knowledge is whatever is in the model, and S5 probed whether its target system was represented in the training data before the study could run at all, inferring coverage from the model’s own answers about itself.</t>
  </si>
  <si>
    <t>MAPE-K: Knowledge, and the activity the corpus engages least. Rainbow: the architecture model and style knowledge as the retrieval base; S18’s formal model is that base, read on every run. Models@run.time: the runtime model as the retrieval source, which is the most direct fit and which one study occupies ; S16’s digital twin, split deliberately into descriptive and procedural knowledge; no other study retrieves over a model of a running system. Three-layer: a knowledge base shared across layers. FORMS: retrieved architectural knowledge is reflective state about the subject system.</t>
  </si>
  <si>
    <t>Retrieve over the runtime model and the adaptation history rather than over design documents, with the retrieval failing closed when it cannot ground an answer. S8 supplies the fail-closed behaviour and the measured consequence of its absence ; zero-shot always answers and drifts towards generality; S16 supplies the runtime model to retrieve from; S15 supplies a graduated fallback that degrades rather than failing. Testable by the accuracy of answers about the current system state compared with the same questions answered from documentation. Preconditions: a queryable runtime model, which only S16 has; retrieval that covers the current state of the system and not only its documents ; S8 retrieves prior project decisions from its system repository, which is the nearest thing in the corpus, but the repository is a record of decisions already taken rather than a model kept current with a running system. Risks: stale retrieval when the model lags the system; a retrieval step that returns nothing, stalling a loop that must act (S8); pasting whole documents instead, which filled three quarters of a local model’s context before any question (S7); and the one retrieval comparison available, which is discouraging and narrow at once: S20’s retrieval-augmented baseline has the lowest average F1 of the five baselines needing no architecture model, though it beats the next-lowest on three of five projects and fails on the other two by recall rather than precision ; and the task is trace-link recovery, so it bears on retrieval over documents and not on retrieval over a runtime model.</t>
  </si>
  <si>
    <t>S3, S4, S5, S8 (Mechanism support), S9, S14 (Mechanism support), S15 (Mechanism support), S16 (Mechanism support), S17, S18 (Mechanism support), S19 (Mechanism support), S20 (Mechanism support), S21 (Mechanism support), S22, S23 (Mechanism support)</t>
  </si>
  <si>
    <t>Adaptation of the model itself, and orchestration of several. S4 fine-tunes five models on context-to-decision pairs and reports a small fine-tuned model comparable to far larger ones; S12 fine-tunes BERT-base with a linear head and adds a confidence threshold of 0.9 to raise precision; S7 prefers open-source models specifically to keep fine-tuning open, and splits work between models and classical algorithms by task type; S9 combines models with graph neural networks, AST parsing and deterministic tools; S8 orchestrates five task-specialised copilots without fine-tuning; S14 runs a four-agent pipeline; S18 treats batch size as a tuned control with cross-item contextualisation named as the mechanism being traded.</t>
  </si>
  <si>
    <t>Timeliness and dependence. Eighteen studies adapt the model or orchestrate several, and the cost of doing so is reported by almost none. S13 is the exception and the reference point: token usage and latency across problem sizes, with self-debugging needing about 1.5 attempts on average. Elsewhere the multiplication is visible and unpriced ; S8’s five copilots, S14’s four agents, S17’s four agents with orchestration the authors themselves call financially unsustainable at scale and no figure to size it, S15’s loop of up to three passes with web access as the dominant latency. Dependence is the other half: the strongest models are cloud services, which S4 and S11 both flag, and S7 notes that hosting a useful model locally needs heavy hardware.</t>
  </si>
  <si>
    <t>MAPE-K: each loop activity could use a separately adapted model; S15 is the only study that assigns models to roles deliberately, using four model types across five agents on stated task-fit grounds, with one model serving two of them. Rainbow: not engaged directly. Models@run.time: not engaged. Control-theoretic adaptation: latency per activity is the settling-time question, and S13 is the only study that reports it across problem sizes; S15 reports it per component and S21 per phase. Dynamic product lines: S21’s configurable tool list widens the search space without altering the framework, which is variability in the mechanism rather than in the product.</t>
  </si>
  <si>
    <t>Use small, locally hosted, fine-tuned models for the runtime analysis step to meet a latency budget and remove the cloud dependency. S4 is the evidence: a 248M fine-tuned model reached quality comparable to one roughly 700 times larger, and the authors offer local hosting as the answer to data transmission. S13 supplies the measurement protocol ; accuracy, attempts-to-success, tokens and latency reported separately. Testable by trading latency against accuracy on the same analysis task across model sizes. Preconditions: context-to-decision pairs to fine-tune on; hardware for local hosting. Risks: accuracy loss in smaller models, which S4 measured as uneven across architectures and S20 found purpose-relative, a small model beating a large one on one task; agent counts multiplying calls with no reported budget (S8, S14, S17); orchestration cost named as unsustainable at scale (S17); and a fine-tuned encoder that did not generalise beyond its training data (S12).</t>
  </si>
  <si>
    <t>S3, S4, S5, S6, S7, S8 (Mechanism support), S9, S12, S14 (Mechanism support), S15 (Mechanism support), S16 (Mechanism support), S17, S18 (Mechanism support), S19 (Mechanism support), S20 (Mechanism support), S21 (Mechanism support), S22, S23 (Mechanism support)</t>
  </si>
  <si>
    <t>Evaluation designs range from illustrative to genuinely controlled, and the strong end is strong. S4 runs a GQM-framed experiment over eighteen models and ninety-five records from five public repositories, with automatic metrics supplemented by manual review and threats analysed; S5 runs a single embedded case study with fourteen participants against a manually built ground truth; S10 runs fifty controlled experiments across five real projects validated against an industry survey; S20 uses an established public benchmark, six baselines, Wilcoxon signed-rank tests reported in both directions, and five runs per configuration with standard deviations; S18 declares five numeric success thresholds before reporting results and evaluates against a human reference standard; S2 publishes its interview instrument.</t>
  </si>
  <si>
    <t>Evaluation over time. Twenty-one studies describe an evaluation design, and the instruments are a benchmark score (S4, S12, S20), a comparison against a reference design (S3, S14), expert or user judgement (S5, S8, S10, S14) and one controlled cohort comparison (S19). Repetition is not absent, though it is partial: S20 runs its entity-matching approach five times and reports means with standard deviations, having set temperature to zero and fixed a seed elsewhere ; which it notes is not possible for one of its models ; and reports no comparable repeat statistics for its other approach or its baselines; S10 runs each question ten times; and S18 sweeps batch sizes across what it calls dozens of runs. What repetition measures is variance under fixed conditions, which is not the same as behaviour under changing ones. Adaptation has to be judged over a sequence of changing conditions, and no study does that. The nearest the corpus comes is S21, which evolves an architecture across iterations until validation accuracy converges and then freezes it, and S15, which measures its loop by ablation and by an iteration curve ; both of them over a fixed data set rather than a changing environment. Expert judgement, which is the commonest instrument here, does not scale to repeated runs.</t>
  </si>
  <si>
    <t>MAPE-K: the loop, not a single output, is what must be evaluated. Rainbow: S18 declares five numeric success thresholds in advance of its results, which is what a constraint evaluation needs and what almost nothing else in the corpus has. Models@run.time: not engaged. ActivFORMS: verification before execution rather than evaluation after the fact; S18 and S9 both argue for it, neither executes anything. Control-theoretic adaptation: S21’s termination on measured convergence rather than on a fixed budget is a settling criterion.</t>
  </si>
  <si>
    <t>Evaluate an adaptation loop on an established self-adaptive exemplar over repeated runs with injected changes, reporting the correctness of adaptations over time against static, random and rule-based baselines, with thresholds declared in advance. S19 supplies the cohort design and the discipline of reporting effort and elapsed time separately; S18 supplies explicit numerical success criteria, stated as criteria rather than read off the results, though the paper does not establish when they were fixed ; declaring them ahead of the run is the practice this extension proposes, not one the corpus demonstrates; S21 supplies the convergence criterion and, by freezing at it, the obvious experiment ; inject a shift afterwards and compare a frozen architecture with one allowed to resume. Preconditions: exemplars with ground truth for adaptation decisions; repetition under changing conditions, which no study has ; S20 and S10 repeat under fixed conditions, and S19 and S21 do not repeat at all. Risks: expert judgement not scaling (S5, S8, S10); headline accuracies from unrepeated runs with no between-run variance, at a temperature set to 1.0 for diversity, with the only stability figure measuring consensus across samples within a run (S21); validation and test sets identical (S4); correctness reduced to label agreement with no review of the artefact (S21); and benchmark leakage through closed-model training data, which S20 names and partly answers with locally deployable models.</t>
  </si>
  <si>
    <t>S1, S2, S3, S4, S5, S6, S7, S8 (Mechanism support), S10, S11, S12, S13 (Mechanism support), S14 (Mechanism support), S15 (Mechanism support), S16 (Mechanism support), S17, S18 (Mechanism support), S19 (Mechanism support), S20 (Mechanism support), S21 (Mechanism support), S23 (Mechanism support)</t>
  </si>
  <si>
    <t>Metrics are specific where the task allows it and honest where it does not. S5 reports precision, recall and F1 against a manual ground truth alongside human quality and trustworthiness scales with defined anchors; S12 uses standard precision/recall/F1 specifically to enable direct baseline comparison; S4 uses four automatic metrics with embedding similarity as primary and names metric validity and style variance as threats; S6 uses graph-based node and edge similarity against a reference diagram; S13 reports accuracy, attempts-to-success, token usage and latency as separate quantities; S15 gives metric definitions with their construction limits acknowledged; S18 declares five numeric thresholds in advance. At the weak end, S1 judges relevance subjectively with no defined metric and S10 measures success as any output at all.</t>
  </si>
  <si>
    <t>Adaptation metrics. Twenty studies report a metric and there is no standard one even for design output: text similarity against a human-written answer (S4), precision and recall against a manually built ground truth (S5, S20), graph similarity against a reference diagram (S6), a study-specific composite (S14), subjective relevance (S1, S3). None of them can say whether an adaptation was right. S19 shows what goes wrong when the metric is not defined: its three headline percentages are uncomputable from the paper. The two studies that do measure a loop measure its output quality ; S15 by accuracy across passes, S13 by accuracy under degraded instructions ; not whether each decision was correct.</t>
  </si>
  <si>
    <t>MAPE-K: Analyse needs a utility or goal-satisfaction measure, and the corpus supplies none. Rainbow: utility-based strategy selection needs quality dimensions that are rarely measured; S23 proposes one, attack-surface complexity over competing architectures, and states that no formal method computes it at model level. Models@run.time: S20 argues model adequacy from purpose rather than fidelity, and since its benchmark is built for that purpose the argument is sound there; what makes it interesting here is that purpose-relative adequacy is also the test a runtime model needs, where the purpose changes as the system runs. Control-theoretic adaptation: S15’s confidence score, combining similarity, evidence level and concordance, is a utility function in all but name, with a stated threshold of 0.65.</t>
  </si>
  <si>
    <t>Measure adaptation outcomes directly ; goal satisfaction after adaptation, time to adapt, and the share of proposals the check rejects ; and build the utility from dimensions that can actually be computed over an architecture. S23’s attack-surface rating is the one candidate the corpus offers; S15’s composite confidence shows how several dimensions combine into a single trigger; S18’s numeric thresholds show what a stated pass condition looks like, though the paper does not establish when they were fixed. Testable by whether the measure ranks known-worse configurations below known-better ones, before any loop is built. Preconditions: goals stated so that satisfaction is computable; a rejection count, which presumes a check. Risks: a fluent but architecturally wrong output passing a similarity metric (S4, S6); metrics reported without a definition and with values that do not follow from each other (S19, whose human-effort row carries no unit and a percentage that matches neither pair of figures in it); the weights of a composite deciding which strategy looks best (S15 reports its threshold and never varies it); and quality attributes such as modifiability going unmeasured throughout.</t>
  </si>
  <si>
    <t>S1, S2, S3, S4, S5, S6, S7, S10, S12, S13 (Mechanism support), S14 (Mechanism support), S15 (Mechanism support), S16 (Mechanism support), S17, S18 (Mechanism support), S19 (Mechanism support), S20 (Mechanism support), S21 (Mechanism support), S22, S23 (Mechanism support)</t>
  </si>
  <si>
    <t>Reproducibility practice is unusually good at the top of this set. S5 archives a full study package with a persistent identifier; S8 publishes source, data and a live deployed instance; S20 deposits two citable replication packages covering code, baselines, prompts, raw model responses and results, and evaluates locally deployable models partly because closed-model training data cannot be inspected; S4 releases scripts and results; S1, S2 and S6 publish prompt transcripts and generated markup; S3 names model, framework and artefact repository; S13 reports token usage and latency as measured quantities.</t>
  </si>
  <si>
    <t>Timeliness and cost. Twenty-one studies touch cost or reproducibility and sixteen record an absence there ; the widest silence in the review. S13 is the only study that reports token usage and latency across problem sizes, and S15 the only other that reports per-component latency, identifying web access as the dominant cost. Everything else leaves the question open: S17 names orchestration cost as its scaling risk and reports no figure, S21 reports 210 seconds and 361 thousand tokens for the evolution phase against 621 seconds and 349 thousand tokens for the test phase, which are two different workloads rather than one workflow before and after, and gives no breakdown of either into the activities it pays for, S20 evaluates eleven models with no runtime or token data. Without these numbers there is no way to know whether a model-based loop fits inside an adaptation interval.</t>
  </si>
  <si>
    <t>MAPE-K: the timeliness of each loop activity. Rainbow: not engaged directly. Models@run.time: the cost of keeping a model current is the cost of the causal connection, and S14 and S20 both leave it unreported. Control-theoretic adaptation: settling time as the measure of how fast a loop converges, which only S13 and S15 come near. ActivFORMS: a formal check that is sound but too slow to sit inside an interval is the practical limit, and S18 treats latency as a design constraint with batching as the lever while publishing no timing table.</t>
  </si>
  <si>
    <t>Report latency per loop activity and cost per adaptation alongside accuracy, and treat the adaptation interval as the budget that decides what the loop may do. S13 shows the reporting ; accuracy, attempts-to-success, tokens and latency as separate quantities across problem sizes ; and S15 shows per-component attribution, which is what tells you which activity to make cheaper. Testable immediately as a reporting protocol, and then as a constraint: measure what fraction of adaptation situations the loop can serve within the interval. Preconditions: an interval to budget against; instrumentation per activity. Risks: cloud-hosted models whose latency and cost vary between runs (S4, S11); a pipeline of agents multiplying calls (S8, S14, S15, S17); a local model large enough to be useful needing heavy hardware (S7); and reproducibility traded against capability, which S10 did deliberately by pinning an older model because the newer one could not repeat itself.</t>
  </si>
  <si>
    <t>S1, S2, S3, S4, S5, S6, S7, S8 (Mechanism support), S10, S11, S12, S13 (Mechanism support), S15 (Mechanism support), S16 (Mechanism support), S17, S18 (Mechanism support), S19 (Mechanism support), S20 (Mechanism support), S21 (Mechanism support), S22, S23 (Mechanism support)</t>
  </si>
  <si>
    <t>RQ3</t>
  </si>
  <si>
    <t>The trajectory from single prompts to agents is explicit and nearly universal here. S1 replaces single-prompt use with a multi-step conditional chain and S2 pushes that fixed sequence toward interactive dialogue; S3 frames standalone prompting as superseded by design agents; S11 decomposes one process into three chained architecting activities and states that existing bots stop at question-answering; S17 gives single-model insufficiency as the explicit driver for role-specialised decomposition; S15 argues multi-agent specialisation as the route to reliability against single-model baselines; S25 (external anchor, outside the 23; identified on the Method sheet and listed under Withdrawn studies, and counted nowhere) catalogues the progression from prompting every task through autonomous agents to hybrid human-in-the-loop agents, and catalogues parallel and chained multi-model patterns as distinct options; S16 states the principle that not all sub-tasks need an agent and deterministic ones go to conventional tools.</t>
  </si>
  <si>
    <t>Decomposition of the agents. Fourteen studies move beyond a single prompt and the division is almost always by production step or by job title, not by adaptation activity. S17 divides four agents by human engineering role and then reports that an error introduced by the first compounds down the chain; S8 divides five copilots by task, which is closer; S14 divides four by production stage; S15 divides five by function and closes a loop with an optimiser that re-runs the pipeline on a reworded query when confidence falls below 0.65, which adapts the input rather than directing the agents; two studies have a model directing models, and only one of them built it: S16 implements a manager-operator hierarchy in which a Manager Agent interprets the task, decomposes it into machine skills and distributes them across automation modules, while an Operator Agent turns each skill into executable function calls and a Summarization Agent reports on the event log, realised on OPC UA and ROS ; though what it directs is physical-process control rather than architectural work; S17 specifies a Centralized Manager Agent that would govern inter-agent communication and check each stage’s output, and states that it remains at the architectural proposal stage; S3 directs an exploration rather than agents, expanding a tree of reasoning trajectories by Monte Carlo tree search; S21 divides nothing, holding the architect role end to end. One study comes close to mapping agents onto monitor, analyse, plan and execute: S16’s third case study runs an Observation and Reasoning pair, a Decision agent and a Summarization agent iteratively over a simulation, which is the loop’s shape in all but name ; over simulation parameters rather than over an architecture, and without the paper naming any reference model. No other study divides agents by adaptation activity.</t>
  </si>
  <si>
    <t>MAPE-K: agents mapped one to one onto loop activities. S16’s third case study is the only approach to it ; Observation and Reasoning agents read and interpret simulation state, a Decision agent emits control actions and a Summarization agent reports, iteratively ; and its object is a simulation’s parameters, so the activities line up while the thing adapted does not. Rainbow: S16’s Manager Agent holds the adaptation engine’s position of deciding what the other components do next, and holds it in a built system, though over a physical process rather than over an architecture. S17 specifies the same role for architectural work and does not build it. S15’s optimiser does something narrower, re-running the whole pipeline on a reworded query when confidence falls below its threshold. Models@run.time: not engaged. Three-layer: S16 states the principle that not every sub-task belongs to an agent, sending calculation, retrieval, pathfinding and specialised code to conventional tools because they run more efficiently and reliably there. That is a division by task suitability, which is the paper’s own ground; reading it as the reference architecture’s separation by authority and timescale is our analogy, and the per-study reading records that S16 does not claim it. FORMS: coordination between several adaptive units is the natural reading of cooperating agents. Dynamic product lines: S21’s configurable tool list makes the agent set itself variable.</t>
  </si>
  <si>
    <t>Map agents to loop activities or to adaptive units rather than to design roles, and put an automated check between each agent and the next so an error cannot propagate. S17 is the argument for it: single-model insufficiency drove its role-based decomposition, and then early error compounded along it with detection left to a human. S15 shows a supervising agent that re-directs rather than merely forwarding, and S16 shows which sub-tasks should not be given to a model at all. Testable by comparing a role-divided chain with an activity-divided one on the same adaptation task, counting how far an injected error travels before it is caught. Preconditions: a schema per artefact a check can test against; an activity boundary that matches what is measured. Risks: each added agent multiplying calls and cost (S8, S14, S15, S17); an agent declining to run its own check (S3); no study yet placing agents at runtime in the architectural sense; and inter-agent exchange over a cloud as an unaddressed exposure surface for runtime data (S17).</t>
  </si>
  <si>
    <t>S1, S2, S3, S7, S9, S11, S14 (Mechanism support), S15 (Mechanism support), S16 (Mechanism support), S17, S18 (Mechanism support), S19 (Mechanism support), S20 (Mechanism support), S21 (Mechanism support)</t>
  </si>
  <si>
    <t>Almost every source targets an established formalism rather than inventing one. S10 structures output around the C4 view model; S8 targets the MADR template; S11 targets established modelling and evaluation formalisms; S7 targets formalisms chosen to enable quantitative evaluation and conversion; S14 targets Mermaid grammar specifically so partial diagrams can be merged mechanically; S15 uses ontology-coded, schema-conforming structured output as the inter-agent interface; S16 builds on AAS, OPC UA and ROS rather than replacing them; S18 makes the modelling-language choice a stated part of the contribution, arguing that a textual modality in semantic sync with the graphical one is what makes model-driven material tractable, and builds an ontology that makes safety an attribute of the functional architecture rather than a separate view; S9 proposes that verification may draw on formal methods.</t>
  </si>
  <si>
    <t>Life of the model. Eighteen studies target an established formalism, and the artefacts stop when the paper does. The exceptions point the way: S21 formalises its architecture as a typed attributed graph with declared node schemas and converts it to diagram code so the model can read its own execution logic, then changes it and redeploys; S14 chooses Mermaid specifically so partial diagrams merge mechanically; S20 has generated component names consumed by a model-based toolchain; S18 specifies its framework in the same formal notation as the systems it analyses. Against those, S19 generates design artefacts as informal Markdown with no metamodel and no checkable semantics, and S21’s own graph has shape without semantics or correctness verification.</t>
  </si>
  <si>
    <t>MAPE-K: Knowledge, if the models were kept. Rainbow: the architecture model it depends on would come from here. Models@run.time: the natural bridge, with generated models kept at runtime and causally connected; S16’s digital twin is the only instance, and S21’s redeployed graph the only architectural one. EUREMA: generated models becoming parts of an executable megamodel, which S21’s executable workflow graph and S16’s procedural digital-twin knowledge both approach. FORMS: generated formal artefacts as reflective models of the subject system. ActivFORMS: S18’s insistence on a formal model as the precondition for using a generative model at all.</t>
  </si>
  <si>
    <t>Generate the runtime model rather than only design diagrams: the model a language model produces is the one the loop reads and changes, held under a metamodel so a proposed change can be checked against it. S21 shows this working over an architecture, S20 shows a generated model serving a real toolchain as well as a hand-built one, S14 shows partial models merging mechanically so the whole need not be regenerated. Testable by whether a model-based conformance check performs the same on a generated model as on a manual one, which is S20’s own experiment, and then by whether a proposed change can be validated against the metamodel. Preconditions: a metamodel for the runtime model; the causal connection in both directions, which only S16 and S21 have in any form. Risks: format non-adherence, with determinism controls failing on long structured prompts (S20) and two of six models breaking a required output format in the wider literature; a graph whose shape is checked but whose meaning is not (S21); informal artefacts that nothing can check (S19); and generated content silently dropped relative to the input (S6).</t>
  </si>
  <si>
    <t>S3, S5, S6, S7, S8 (Mechanism support), S9, S10, S11, S14 (Mechanism support), S15 (Mechanism support), S16 (Mechanism support), S17, S18 (Mechanism support), S19 (Mechanism support), S20 (Mechanism support), S21 (Mechanism support), S22, S23 (Mechanism support)</t>
  </si>
  <si>
    <t>The architect's role is redefined consistently across the set, and in one direction. S1 shifts it toward validating model output and frames iteration as building architect understanding; S2 casts the architect as evaluator; S10 reframes the role from deciding from scratch to filtering generated alternatives; S6 shifts it to prompt refinement and scoring; S8 maps human and AI roles explicitly onto an established reflection model and frames the tool as expanding exploration capacity rather than replacing judgement; S5 makes the verification obligation concept-specific rather than blanket; S3 starts from autonomy and adds human intervention points back; S9 elevates usability to a core requirement because manual tools go unused and tailors output to the role of the person asking; S19 makes human involvement the independent variable across three cohorts and quantifies effort per cohort.</t>
  </si>
  <si>
    <t>Timing of human involvement. Twenty-two studies say something about the architect’s role, and the pattern is that the human validates each output: S1 at every gate of the sequence, S8 at any point in the pipeline, S16 as a structurally required step in every task-solving cycle, S22 as the sign-off that closes each iteration, S17 because the automated check does not yet exist. A runtime loop can keep a human in it where the deadline and the risk allow, and for a change to a clinical or safety-related architecture it should; what it cannot do is wait for a person at every output, which is the pattern here. The three studies that move the human report what is left: S19 reframes the role towards governance, requirements and compliance; S13 shifts it from tuning parameters to stating intent; S21 removes the workflow designer and keeps no one.</t>
  </si>
  <si>
    <t>MAPE-K: the human as a source of goals and approvals in Knowledge. Rainbow: the human sets the constraints and the utility, not the individual decision. Models@run.time: not engaged. Three-layer: the human belongs at goal management, which is what S19 and S13 both describe without naming it. Awareness requirements: a human who states which requirements matter and how much their failure costs is supplying what the loop monitors against.</t>
  </si>
  <si>
    <t>Move the human from validating each output to supervising goals and constraints, and let the loop act inside them, keeping human review for structural changes where S7 and S10 both found judgement to matter. S13 shows the destination ; the human states intent in natural language and the system reconfigures ; and S19 shows what the role becomes when the agent holds execution authority. Testable by comparing goal-level supervision with per-decision approval on the same adaptation episodes, on both outcome and human effort, which S19 already reports separately per cohort. Preconditions: goals and constraints stated precisely enough to act inside; a risk boundary for what still escalates. Risks: trust that has to be established first, which S5 measures separately from accuracy and finds driven by provenance rather than fluency; uncritical acceptance of model output as a risk to quality and to architects’ own judgement (S10); the implicit knowledge S7 relies on the architect to supply; and S16’s validation mandate, which this extension removes ; and removing it is itself an assumption needing its own assurance, since the mandate is what currently stands in for one.</t>
  </si>
  <si>
    <t>This is the sub-theme RQ4 exists to answer, and the corpus reaches it in four distinct ways. Genuine runtime reconfiguration: S13 reconfigures a running system's decision logic from natural-language instruction without redeploying, demonstrated on a prototype DSS exercised on a vehicle-routing testbed rather than on a production deployment, and states a trajectory from human-instructed reconfiguration toward greater autonomy. Genuine monitor-detect-replan on a live process: S16 runs a replan-on-failure cycle over an executing physical process, with a continuous Data Observer translating field signals into events that trigger reasoning. A complete loop over an architecture: S21 closes execute-observe-diagnose-plan-validate-apply-redeploy over the architecture itself, and what changes is structure ; nodes, connectors and control-flow constructs ; together with the system prompts of individual nodes, which the same loop rewrites from the failures it analyses; what it does not change is the models or their parameters. Parametric self-tuning: S15's confidence-below-threshold trigger reorganises its own query strategy and re-runs, with the loop's contribution measured by ablation. Alongside these, S18 re-analyses on every run because the architecture may have evolved, and S20 motivates traceability by maintenance and root-cause tracing on an evolving system.</t>
  </si>
  <si>
    <t xml:space="preserve"> This is the sub-theme the review turns on, and it is the thinnest: ten studies evidenced against twenty coded silences. Five loops exist and none of them adapts a software architecture at runtime. S21 closes a complete loop over an architecture ; execute, observe, diagnose, plan, validate, apply, redeploy, with components and connectors reconfigured rather than parameters ; and then freezes it at convergence, so nothing adapts once deployed. S13 runs inside a live system’s own adaptive loop and reconfigures its decision logic, on a supervisor’s stated intent: the paper names no monitor and no trigger, so what is automatic is the reconfiguration, not the decision to reconfigure. S16 runs a monitor-detect-replan cycle over a live physical process and adapts a plan. S15 closes a loop over its own analytical output and adapts a query. S19’s loop corrects a pre-deployment artefact until a pipeline passes. The gap is specific: no study plans and executes a structural change to a running system.</t>
  </si>
  <si>
    <t>MAPE-K: S21 has all four activities over an architecture and S16 all four over a process. S15 has all four over its own analytical output. S13 has Plan and Execute over its decision logic, with Monitor and Analyse performed by the supervisor who states the intent, which is where the per-study reading places it. S19 closes all four over a pre-deployment artefact, correcting and resubmitting until a pipeline passes. For the remaining eighteen, Plan and Execute are missing, and no study at all plans and executes a structural change to a running software architecture. Rainbow: architecture-based adaptation, which S21 performs offline with an integrity gate and a deploy-if-valid rule, and which S16 approaches with a three-layer design and real-time gauges. Models@run.time: the representation continuous adaptation operates on; S21’s typed graph and S16’s digital twin are the only two, and S20 shows how such a model could be produced rather than hand-built. Three-layer: structural change beyond predefined variants is goal management, which no implemented study reaches; S7 states the question and does not run. Control-theoretic adaptation: S21 terminates on measured convergence rather than on a fixed budget, which is a settling criterion.</t>
  </si>
  <si>
    <t>Close the loop over architecture: monitor structural signals, have a model plan a structural change over a runtime architecture model, check it against the metamodel and the goals in force, and execute it ; then keep the loop running after deployment. Three studies supply the parts. S21 supplies the loop, the structural operation vocabulary and the integrity gate, and is the nearest starting point, though lifting its freeze is the smallest part of what that would take: the trigger would have to come from monitored degradation rather than a training epoch, and ground truth, safe application of a change to a live system, rollback, a cost budget per episode and an accountable owner for an automatic structural change would all have to be designed, none of which it has. S16 supplies the layering, the runtime model and the real-time observer. S13 supplies the verification phase and the evidence that the cost is affordable. Testable on a microservice exemplar by whether detected structural degradations yield valid reconfigurations, against static and rule-based baselines, with time to adapt and rejection rate reported. Preconditions: a runtime architecture model; a safe path for moving data when structure changes; a bound on how much may change per episode. Risks: structural change is slow and costly beside parameter adaptation ; S21’s evolution phase and test phase cost 210 and 621 seconds respectively, with no breakdown of either; graph integrity is not architectural correctness (S21); no existing loop does the thing being proposed, which is structural adaptation of a deployed running system: S21 adapts an architecture but offline, over a workflow graph and a training set, while the loops that do run live take a decision policy, an analytical answer or a process plan as their subject ; so the transfer is the claim being tested; and S21’s own motivation, distribution shift after deployment, is the scenario it does not handle.</t>
  </si>
  <si>
    <t>S3, S13 (Mechanism support), S15 (Mechanism support), S16 (Mechanism support), S17, S18 (Mechanism support), S19 (Mechanism support), S20 (Mechanism support), S21 (Mechanism support), S22</t>
  </si>
  <si>
    <t>Trust and governance are treated as design concerns rather than afterthoughts. S5 measures trustworthiness separately from accuracy and finds distrust tracing to absent arguments and missing provenance rather than to wrong answers, proposing provenance as the route to trust; S1 treats trust as earned through explicit validation; S4 frames data sovereignty as an adoption condition and offers locally hostable small models as the mitigation; S6 notes that architecture confidentiality limits what can be in public training data and flags authenticity and security as unresolved; S9 proposes a structural validity check rather than leaving validity to human judgement; S7 frames human gates and established formalisms as the response to unpredictability; S10 reports low output quality, copyright and IP leakage as the most-cited current adoption challenges, with over half of respondents expecting non-reproducibility and lost system understanding to persist; S2 raises vendor neutrality as a trust requirement.</t>
  </si>
  <si>
    <t>Accountability for autonomous change. Twenty-two studies discuss trust, governance or adoption, and none addresses who answers for a change a system makes to itself. The nearest things to an answer are a gate and a log. S21 bounds self-modification by a vocabulary, integrity checks, feasibility filters and a deploy-if-valid rule, and then records no regulatory, auditability or accountability discussion for a self-modifying clinical system. S15 retains sources, variation and confidence in auditable logs for clinician review. S18 treats compliance and auditability as the purpose and constructs no assurance argument. S13 frames its human-validation fallback as a deliberate accountability feature. Privacy is the recurring concrete exposure: S4, S10, S11 and S17 all name runtime or project data leaving the organisation.</t>
  </si>
  <si>
    <t>MAPE-K: Knowledge must keep the provenance of every adaptation. Rainbow: the constraint set is where an auditor’s requirement would be written down. Models@run.time: a versioned model gives the audit its before and after. ActivFORMS: guarantees verified before operation give the assurance an auditor would ask for, which is S18’s and S9’s position. Three-layer: accountability sits with goal management, which is where S16 puts the human. Awareness requirements: an explicit statement of which properties are watched is itself part of an audit trail.</t>
  </si>
  <si>
    <t>Combine an auditable adaptation log with constraints verified before execution: every change carries its trigger, its rationale, the check it passed and the model version that proposed it, and no change is applied until the check passes. S15’s auditable per-run logs and S21’s gate-then-deploy rule are the two halves, and S9’s Oracle Verifier is the specification for making the check formal. Testable by whether an auditor can reconstruct and justify every applied adaptation from the log alone, and by the proportion of changes the check refused. Preconditions: a log written at decision time, not reconstructed; constraints expressed outside the prompt. Risks: privacy leakage when runtime data reaches a hosted model (S4, S10, S11, S17); a log that is produced and never read, which is the pattern for rationale throughout the corpus; closed models whose undisclosed updates cannot be ruled out, so the version recorded may not identify the behaviour (S5); and benchmark and training-data opacity, which S20 names as a validity threat and partly answers with local models.</t>
  </si>
  <si>
    <t>Limitations are reported by twenty-one studies, and this is the better-evidenced half of the old combined sub-theme. The recurring ones bear directly on a loop. Reasoning quality: S4 finds format adherence achieved and decision content still below human level; S8 traces errors to a missing problem-framing step; S2 finds recommendations too generic for complex environments and attributes performance partly to abundant training material on microservices. Accuracy and its shape: S5 finds recall exceeding precision, errors that are within-concept confusions rather than category failures, and low quality driven more by vagueness than by outright error; S20 finds code-only extraction failing outright on one project; S12 finds competence that did not transfer to an unseen system. Cost and scale: S21 reports the workflows used in testing as structurally heavier than the training-phase average, 11 nodes against 8.7 and 5 branches against 4, and gives 210 seconds for the evolution phase against 621 for the test phase, which are two different workloads rather than one workflow before and after; S17 calls its own orchestration financially unsustainable at scale; S15 concedes higher computational cost than single models. Process and bias: S1 finds structured prompting slows the decision process and an over-constrained persona introduces rigidity and bias; S10 reports missing hierarchy, undefined boundaries and missing stakeholders. S3 reports its own in the Discussion: hallucinated options that were not patterns or tactics from the literature, recommendations that are overly general, and a dependence on the tools being grounded in appropriate architectural knowledge. Two studies report none: S14 states only gains, and S23 has nothing built to observe.</t>
  </si>
  <si>
    <t>Data consistency, domain knowledge and reasoning time. Twenty-one studies report a limitation in practice and three recur in a form that bears directly on a runtime loop. Domain knowledge: S8 traces its errors to a problem-framing step a human performs first, and S7 relies on the architect for requirements nobody wrote down ; a runtime planner has neither. Generalisation: S12 matched the state of the art under cross-validation and fell behind it on an unseen system, and S20 found code-only extraction failing outright on one project. Reasoning time and problem size: S21’s test phase costs 621 seconds against 210 for its evolution phase, two workloads reported without a breakdown, S15 needs up to three passes with web access dominating, S17 calls its own orchestration financially unsustainable at scale.</t>
  </si>
  <si>
    <t>MAPE-K: Execute over structure is the activity data consistency blocks. Rainbow: a strategy that cannot be applied safely is not a strategy, which is what restricts the repertoire. Models@run.time: the model-to-system direction is where data consistency bites. Control-theoretic adaptation: reasoning that does not fit the interval is a controller too slow for its plant, and S13 is the only study reporting latency across problem sizes, which is what judging it takes. Dynamic product lines: restricting change to predefined variants is how the corpus’s one architectural loop keeps the problem tractable (S21).</t>
  </si>
  <si>
    <t>Restrict runtime structural change at first to what can be undone or has a known data path ; stateless services, reversible reconfigurations, changes within a predefined variant set ; and give the planner the domain knowledge the corpus shows it lacking, as observed load and failure history rather than as prose. S21’s bounded operation vocabulary is the working example of a restricted space, and S8’s missing problem-framing step names what has to be supplied in its place. Testable by the success rate of adaptations inside the restricted set against the rate for unrestricted proposals, and by how much of the useful adaptation space the restriction removes. Preconditions: a classification of changes by reversibility; observed system data in a form a prompt can carry. Risks: the restriction narrowing the space to the point of uselessness; reasoning that still exceeds the interval (S15, S21); competence that does not transfer to an unseen system (S12); and cost that the corpus mostly does not report, so the budget is unknown (seventeen absences at 3.3).</t>
  </si>
  <si>
    <t>S1, S2, S3, S4, S5, S6, S7, S8 (Mechanism support), S9, S10, S11, S12, S13 (Mechanism support), S15 (Mechanism support), S16 (Mechanism support), S17, S18 (Mechanism support), S19 (Mechanism support), S20 (Mechanism support), S21 (Mechanism support), S22</t>
  </si>
  <si>
    <t>Reliability is the corpus's densest sub-theme and its findings are specific. S5 reports that errors are within-concept confusions rather than category failures, that low quality is driven more by vagueness than by outright error, that distrust traces to absent arguments and missing provenance rather than to wrong answers, and that output randomness is a stated threat; S10 chooses a model version specifically for reproducibility and shows two runs of one identical prompt producing different architectures; S3 reports hallucinated items returned as architectural patterns and an agent that skipped its own assessment step under tree search; S1 and S2 counter hallucination with mandated premise verification; S2 observes vendor bias in technology recommendations; S21 gates structural edits while applying prompt edits ungated, on the stated ground that only the former can break execution.</t>
  </si>
  <si>
    <t>Guarding execution. All 23 studies report a reliability problem of some kind, and six of them are silent on another facet of it ; S6, S9, S17, S19, S22 and S23 ; so positive evidence and absence sit together here rather than dividing the corpus. The problem reported is the one a loop cannot tolerate: S10 shows identical prompts producing structurally different architectures and concludes the technology is not an engineering technique; S11 finds the same query yielding different styles and the variation reaching the scripted artefacts; S20’s determinism controls fail on long structured prompts and are unavailable on one model; S17 reports a twenty per cent hallucination rate with detection left entirely to a human; S6 never tested repetition at all. Without a person, a malformed or hallucinated plan is simply executed.</t>
  </si>
  <si>
    <t>MAPE-K: Execute must be guarded by a check after Plan. Rainbow: the constraint evaluation is that check, and S8’s fail-closed retrieval and S19’s validation pipeline both occupy the position. Models@run.time: a model that differs between generations can still be the model a system relies on, but only if each generation is checked against a metamodel and reconciled with the one in force; S10’s result is that nothing in these studies does that, which makes variation a constraint on the engineering rather than a bar in principle. ActivFORMS: only changes consistent with a verified model are executed ; S18 states it as a precondition, S9 specifies a verifier for it, S13 implements the nearest working version. Three-layer: the gate belongs between change management and the component layer.</t>
  </si>
  <si>
    <t>Put a verification gate between the plan and its execution, checking format first and content second, with the content check independent of the model that produced the plan. The corpus supplies a graded set of working examples to build from: S8’s retrieval that returns nothing rather than something generic, S13’s comprehension verification against the stated intent at about 1.5 attempts, S18’s confidence value with an escape category for uncertainty, S19’s external validation pipeline that the agent must satisfy, S21’s integrity checks before a structural change is applied, and S9’s proposal to make the check formal. Testable by the rate of invalid plans blocked against valid plans wrongly blocked, with a same-model verifier and an independent checker as the two arms. Preconditions: a formal or rule-based model to check against; an interval that tolerates the check. Risks: a verifier sharing the generator’s blind spots, which S13’s second model call does and S5 makes likely by showing similar models sharing false answers; a gate the proposer can skip (S3); asymmetric gating that leaves the commonest change unchecked (S21); and a check that blocks everything, stalling a loop that must act (S8).</t>
  </si>
  <si>
    <t>S1, S2, S3, S4, S5, S6, S7, S8 (Mechanism support), S9, S10, S11, S12, S13 (Mechanism support), S14 (Mechanism support), S15 (Mechanism support), S16 (Mechanism support), S17, S18 (Mechanism support), S19 (Mechanism support), S20 (Mechanism support), S21 (Mechanism support), S22, S23 (Mechanism support)</t>
  </si>
  <si>
    <t>The field states its own open problems, and several are precisely the ones RQ4 inherits. S1 flags over-reliance, unvalidated assumptions, and correct-but-inapplicable output as unsolved; S3 sets a four-part agenda of interaction, multi-agent design, methods and grounding; S4 names larger fine-tunes, richer context and live studies, and notes that as of early 2024 the area was largely unexplored; S5 positions itself as the first baseline for its evaluation task and asks for more models and accuracy-improving tooling; S7 frames four explicit open research questions and calls itself a vision paper whose results are future work; S8 names the specific-versus-general copilot trade-off as open; S6 cites prior work reporting that architecture lags code performance.</t>
  </si>
  <si>
    <t>Runtime on the agenda. Twenty-two studies state future work and runtime barely appears in it. The agendas ask for more models, more projects, better prompts and richer retrieval: S4 for larger fine-tunes and live studies, S5 for more models then accuracy tooling, S10 for ongoing tracking of technology readiness, S20 for its own measured failures. Where runtime is named it is named narrowly: S13 asks for more autonomous agentic configurations, S17 for persistent project memory and platform integration, S21 positions itself as groundwork for future adaptive systems with adaptation as the destination and proposes no mechanism, S19 names event-driven and saga orchestration as architectural targets rather than as adaptation. S14 states no future work or open challenges at all. S21 states the direction quoted above and carries no limitations or threats-to-validity section of any kind, so its destination is named while nothing is said about what stands in the way.</t>
  </si>
  <si>
    <t>MAPE-K: integration across the lifecycle is, at runtime, a closed loop. Rainbow: the architecture-based adaptation the agenda does not ask for. Models@run.time: persistence is the one runtime property the agendas do request, as S17’s long-term memory and S9’s knowledge base. ActivFORMS: the verification S9 proposes and S18 requires, carried into operation. Three-layer: the separation of goal management from change management is the structure an agenda aiming at runtime would need and none of them states.</t>
  </si>
  <si>
    <t xml:space="preserve">Position the contribution against the agenda the corpus actually states: a runtime loop over architecture is the lifecycle integration several studies gesture at without specifying, and runtime verification is S9’s and S18’s formal check carried into operation. The two nearest studies mark the two things to supply ; S21 names adaptation as its destination and leaves the loop frozen, so the contribution is the trigger and the re-entry; S13 asks for greater autonomy and has instructed reconfiguration, so the contribution is the monitor. Testable in the form every claim here should take: an exemplar, repeated runs with injected change, baselines that are static and rule-based, and the reasoning time counted in. Risk: the agenda is drawn from studies that are almost all design-time, so it understates runtime rather than arguing against it ; and two studies state no agenda at all. </t>
  </si>
  <si>
    <t>S1, S2, S3, S4, S5, S6, S7, S8 (Mechanism support), S9, S10, S11, S12, S13 (Mechanism support), S15 (Mechanism support), S16 (Mechanism support), S17, S18 (Mechanism support), S19 (Mechanism support), S20 (Mechanism support), S21 (Mechanism support), S22, S23 (Mechanism support)</t>
  </si>
  <si>
    <t>Item</t>
  </si>
  <si>
    <t>Description</t>
  </si>
  <si>
    <t>Score (0)</t>
  </si>
  <si>
    <t>Score (1)</t>
  </si>
  <si>
    <t>Score (2)</t>
  </si>
  <si>
    <t>Q1</t>
  </si>
  <si>
    <t>Problem definition: does the paper say what problem it addresses?</t>
  </si>
  <si>
    <t>No problem definition.</t>
  </si>
  <si>
    <t>General problem definition.</t>
  </si>
  <si>
    <t>Explicit problem definition.</t>
  </si>
  <si>
    <t>Q2</t>
  </si>
  <si>
    <t>Problem context: does it describe the setting the problem sits in?</t>
  </si>
  <si>
    <t>No context description.</t>
  </si>
  <si>
    <t>General context description.</t>
  </si>
  <si>
    <t>Explicit context description.</t>
  </si>
  <si>
    <t>Q3</t>
  </si>
  <si>
    <t>Research design: does it describe how the research was done?</t>
  </si>
  <si>
    <t>No description of how research was done.</t>
  </si>
  <si>
    <t>General description of how research was done.</t>
  </si>
  <si>
    <t>Explicit description of how research was done.</t>
  </si>
  <si>
    <t>Q4</t>
  </si>
  <si>
    <t>Contributions: does it state what it contributes?</t>
  </si>
  <si>
    <t>No contributions description.</t>
  </si>
  <si>
    <t>General contributions description.</t>
  </si>
  <si>
    <t>Explicit contributions description.</t>
  </si>
  <si>
    <t>Q5</t>
  </si>
  <si>
    <t>Insights: does it report what was learned?</t>
  </si>
  <si>
    <t>No insights description.</t>
  </si>
  <si>
    <t>General insights description.</t>
  </si>
  <si>
    <t>Explicit insights description.</t>
  </si>
  <si>
    <t>Q6</t>
  </si>
  <si>
    <t>Limitations: does it state the limitations of the work?</t>
  </si>
  <si>
    <t>No limitations description.</t>
  </si>
  <si>
    <t>General limitations description.</t>
  </si>
  <si>
    <t>Explicit limitations description.</t>
  </si>
  <si>
    <t>Instrument</t>
  </si>
  <si>
    <t>Six items, each scored 0, 1 or 2, giving a total between 0 and 12. Carried over unchanged from the exploratory review so that the two studies remain comparable. Do not modify the items or the descriptors: their value is comparability.</t>
  </si>
  <si>
    <t>What it measures</t>
  </si>
  <si>
    <t>Reporting completeness, not methodological soundness. A study can score 12 and still have evaluated nothing, and a study with a strong evaluation can score low because it omits a limitations section. State this in the paper. Evidence strength is discussed separately under RQ2.</t>
  </si>
  <si>
    <t>Procedure</t>
  </si>
  <si>
    <t>Both authors score every study independently, recording per-item scores before any discussion so that initial rater agreement can be reported. Disagreements are then resolved by discussion to an agreed score. Every score is supported by a located piece of evidence from the source on the Quality evidence sheet.</t>
  </si>
  <si>
    <t>Remarks</t>
  </si>
  <si>
    <t>Only Q3 is borderline; research design is presented in a generalized way only.</t>
  </si>
  <si>
    <t>No contested item and all scores are based on a named section.</t>
  </si>
  <si>
    <t>Q3: Explicit description of artefact; evaluation is only general. Q6: acknowledgement but no limitations section.</t>
  </si>
  <si>
    <t>Neither contested nor explicit, Section IV and Section VII both are structured</t>
  </si>
  <si>
    <t>No item was contested.</t>
  </si>
  <si>
    <t>Q3 and Q6 both 1. The article was found to have three problems with independent verification of the verifiability and consistency of the discussions: (1) Fig. 9 is claimed to have generated a use-case diagram for the study presented as a study on the evaluation of GitHub Copilot, but this figure itself has been generated by ChatGPT; (2) Table III's class-diagram discussion refers to Fig. 14, which is captioned as sequence diagram; and (3) there are no sequence diagrams for space reasons, preventing independent verification of the authors' qualitative claim that Copilot was able to create more detailed and meaningful diagrams than those found in the literature. While a similarity score of 0.66 is claimed for sequence diagrams, reference diagrams that were not included in the paper do not allow for the visual similarity to be reproduced.</t>
  </si>
  <si>
    <t>Designing '24, IEEE/ACM International Workshop</t>
  </si>
  <si>
    <t>Both Q3 and Q6 are at the top end of 1. Section 4 tests LLaMA2 70-B and GPT-3.5 on the MobSTr dataset consisting of 91 requirements. Only proposed by architecture generation.</t>
  </si>
  <si>
    <t>Data for Q3 and Q6 both on the high end of 1. In the sessions, two of the authors did the role of Human and the same two authors judged the output. The names of the models and stack are (GPT-3.5, Langchain, Chroma, Streamlit).</t>
  </si>
  <si>
    <t>Family F3 with S4: Section V is the same study provided by S4, as mentioned in his/her report, which is cited as [4] and is therefore not independently sourced evidence. Section V summarizes the results of GPT models under zero-shot, few-shot and fine-tuning settings with 4 metrics and a results figure. The fact is, no model is run on the approach this paper proposes, which is unimplemented. This is a second occurrence of this error since S7.</t>
  </si>
  <si>
    <t>There is a threats heading but it contains only one sentence. This is a study on which the SAS extension depends in order to obtain the reproducibility protocol: Figure 3 is the direct evidence: two structurally different architectures from the same query</t>
  </si>
  <si>
    <t>First score of 0 for any item. Studies with no metric, no baseline and a single demonstrative case have the same 10/12 as does this sharpest illustration in the set of what the instrument cannot see: the strongest evaluation design in the corpus, with 30 pre-screened engineers, a counterbalanced within-subjects design, an ablation across two model families and effect sizes with confidence intervals throughout.</t>
  </si>
  <si>
    <t xml:space="preserve"> The strength of the consistency argument, which takes the place of an agreement coefficient, is enhanced by the fact that two of two anchors now reproduce exactly.</t>
  </si>
  <si>
    <t>2025 IEEE 30th International Conference on E</t>
  </si>
  <si>
    <t>Total matches 10 of 12 published in that review, and each of the items matches, 2 of 2, 2 of 2, 1 of 1, 2 of 2, 2 of 2, 1 of 1. This has been moved to the total anchor level from the item level and there are now 3 anchors for it.</t>
  </si>
  <si>
    <t>The headline claim is unmeasured; the abstract says that it eliminates manual effort by roughly half, and the conclusion corroborates that there is a significant decrease in manual effort, but no effort, timing or baseline measurement is found anywhere in the paper. (3) Mixed-up names: abstract says “orchestration” - LangChain/LangGraph, index terms says “CrewAI” - the implementation section and proof of concept says “CrewAI”. The system evaluated is not the claimed system: only the requirement-gathering agent was validated and the manager agent is just at the architectural proposal stage, thus the multi-agent coordination was never used.</t>
  </si>
  <si>
    <t>Foundational Analysis of Safety Engineering Requirements (safer)</t>
  </si>
  <si>
    <t>For all four AI cohorts, the prose provides Copilot Chat with 35 per cent, Claude Opus 92 per cent, Claude Sonnet 88 per cent and GPT-5.4 93 per cent. This is what the paper stands out for. Human effort reduction: according to the text, 78 per cent, and according to Table V, 57 per cent, and according to the numbers in Table V itself, it is 78 per cent (36 down to 8). The improvement column in Table V is also calculated with respect to varying baselines in varying rows, and states an increase of 57 per cent with respect to a metric whose agent's value is more than the human value of zero.</t>
  </si>
  <si>
    <t xml:space="preserve">ACM Transactions on Autonomous and Adaptive </t>
  </si>
  <si>
    <t xml:space="preserve"> The two strongest evaluation designs in the set differ by two points, entirely on the limitations item</t>
  </si>
  <si>
    <t xml:space="preserve">MM '25-33rd ACM International Conference on </t>
  </si>
  <si>
    <t>Zero on Q6, after S14. Produced without any restrictions or limitations.</t>
  </si>
  <si>
    <t>Developments in Information and Knowledge Management Systems for Business Applications, Studies in Systems, Decision and Control 602, Springer Cham</t>
  </si>
  <si>
    <t>Each time, there is a 40% reduction in design time; three times, with three referents: abstract, combination of the trade-off analysis method and AI validation, initial results (Section 5), and design time, decreased Architecture Realization Guidance and Line Length Models; no study, data, model run, measurement or citation exists for each of these on a seen page. Tense mismatch: Section 5 is about validation as it might happen, but in the abstract, Section 5 and the conclusions, is about validation as it happens. Undefined terms: Architecture Realization Guidance, Line Length Models are not defined anywhere on seen pages and only occur in the conclusions. The figure cited as "unattributed" seems to be a copy of Meta's published training diagram used for Llama 2-Chat, but the source of this figure is not referenced anywhere in the seen text, nor in the caption.</t>
  </si>
  <si>
    <t xml:space="preserve"> There are no results to report and it's difficult to say when there are no limits on what's done. </t>
  </si>
  <si>
    <t>Score</t>
  </si>
  <si>
    <t>Evidence location in the source</t>
  </si>
  <si>
    <t>Reasoning for each score</t>
  </si>
  <si>
    <t>Section 1, paragraphs 1-2 and the goal statement in paragraph 5; Problem field of each of the five patterns (Sections 3-7)</t>
  </si>
  <si>
    <t>Motivation and problem scope are not only referenced, but stated. While microservices are granular, they are tightly coupled with event-driven styles, making it difficult to get a general view of the overall system, and increasing the likelihood of errors and system behavior that has become too complex to be considered technical debt, according to Section 1. To assist architects with their creation of context-specific recommendations for specific projects based on their preferences. There is also a distinct Problem field for each of the five patterns, which ask questions like “How can we ensure the accuracy and contextuality of AI-generated software architecture content?”. Reached 2 in terms of level of expressed and motivated problem, paper and pattern.</t>
  </si>
  <si>
    <t>Section 1, technical background and the three scenario descriptions; Section 8.2; Context field of each pattern</t>
  </si>
  <si>
    <t>Descriptiveness is the setting stated at three levels. Technical context: microservices and event-driven enterprise systems, and current design patterns and prompt engineering. The three scenarios in the empirical context are a leading automobile financing bank's technological portal, a large network of retail pharmacies in Brazil with over 3,000 stores, and a cloud CRM for small and medium enterprises. Section 8.2 expands on the third aspect in greater detail, allowing for team composition, a 12-month timeline to first release, and angel-investor funding and a limited budget. Each pattern has its own Context field. For an explicit context description, they earned a score of 2.</t>
  </si>
  <si>
    <t>Section 8, opening paragraph; Section 8.1; Section 8.2. Absence of any method section in the paper structure (Sections 1-9)</t>
  </si>
  <si>
    <t>Scored 1, not 2: This paper is lacking of research questions, method or methodology, protocol, participant details, criteria, and baseline. The next section (Section 2) outlines the pattern documentation form, which is a presentation format, but not a research design. Scored 1, not 0: Section 8 does provide a general description of how the work was validated, though, stating that an experiment was done for one fictional case and two scenarios (both real-world) of software architects from different companies, various sequences were evaluated, and that the sequence that generated the most relevant responses was selected and applied in the companies; Section 8.2 then describes the procedure by which the five patterns were applied in order.</t>
  </si>
  <si>
    <t>Abstract; Section 1, paragraph 6; Section 8, the five-step sequence; Section 9; Specializes field of each pattern; Appendix A</t>
  </si>
  <si>
    <t>Contributions are explicitly and consistently enumerated in abstract, introduction and conclusion: five named prompt patterns and a prompt pattern sequence, and a conditional decision flow. The names of the five are given in full in Section 1 and their sequence is listed in order in Section 8. The paper is particularly honest about how new it is: three out of 5 specialise patterns published by White et al. (Persona, Question Refinement, Fact Check List) are declared as specialise in the Specialises field, two declare no specialisation, and Appendix A documents 6 patterns which borrow from the others. Scored 2.</t>
  </si>
  <si>
    <t>Consequences field of each pattern (Sections 3-7); Section 5, Iterations 1-3 and Table 1; Section 8.2 ChatGPT highlights; Section 9</t>
  </si>
  <si>
    <t>The results of learning are reported in two ways, and explicitly. The costs are also listed in Consequences with this pattern; this is unusual in this corpus as most patterns have only benefits listed in the Consequences list. Three iterations of the Quality Attribute Question pattern are made in concrete observations of model behavior: Section 5 reports three iterations of the Quality Attribute Question pattern and Table 1 prints the questions and answers to the 15 questions this model generated along with the answers provided by the authors, and Section 8.2 summarizes the 5 steps of model output for the CRM scenario. Scored 2.</t>
  </si>
  <si>
    <t>Section 9, final two paragraphs; Section 4 Known Uses; Consequences (-) entries throughout Sections 3-7</t>
  </si>
  <si>
    <t>Restrictions are expressed clearly as opposed to implied. The conclusion suggests that without human validation the model can provide technically correct answers but not relevant to the real problem, and that there is a danger of relying too much on the model and losing the critical design process; the model is suggested as complementary and not to replace critical design. Section 4 Known Uses admits that the pattern of Architectural Project Context may not be flexible enough in other contexts, and mentions the scenario of Company B. Scored 2.</t>
  </si>
  <si>
    <t>Section 1, paragraphs 2-3; Section 3, objective statement</t>
  </si>
  <si>
    <t>The problem is restated and motivated in domain terms: microservices offer modularity, scalability and fault isolation, but the challenge lies in setting up the service boundaries: badly defined boundaries lead to overly complex set of dependencies between services, poor fault tolerance, and overlapping of service responsibilities which leads to performance degradation, and it is an iterative task, and its errors are deeply rooted in the system and domain knowledge. The objective of the study is then clearly defined in Section 3: Can the proposed prompt pattern sequence help in architectural decision making in microservices scenarios? Scored 2.</t>
  </si>
  <si>
    <t>Section 1; Section 3.1 recruitment; Section 4 opening and 4.1</t>
  </si>
  <si>
    <t>Context is provided both technically and empirically and is more concrete than usual. The two organisations being Characterised: Company A is a leader in the car financing industry and uses over 18 000 software components across multiple technologies and frameworks, with a change-management process that blocked changes if the code coverage was lower than a certain threshold, or if a critical security finding or metric was identified, and this information was being captured manually, resulting in delays, and Company B is a leader in the pharmaceutical retail segment, with over 3 000 stores. The study window that is used and the model (GPT-4o) is explicitly declared. Scored 2.</t>
  </si>
  <si>
    <t>Section 3, Research Design; Section 3.1 Research Steps; Section 3.2 Interview Protocol and Table 1</t>
  </si>
  <si>
    <t>A description of the method used in the research and the best part of the paper. A research question is formulated completely from the view point of software architects on perceived benefits and challenges of the prompt sequence. The method is named and explained in terms of the characteristics of case study and retrospective study, and reasons are provided for borrowing each of these methods. The 5 research steps are identified from recruitment to immediate execution, interview and qualitative analysis. The three inclusion criteria are documented: Confidentiality constraints on access, Convenience sampling (named sampling strategy), and Three inclusion criteria. Interview protocol is detailed out: consent, recording permission, questions that screen for expertise, and semi-structured format; and Table 1 prints the interview question set, five of which are to the patterns and four of which are to the sequence. Scored 2.</t>
  </si>
  <si>
    <t>Abstract; Section 1, final paragraph; Section 2, opening paragraph</t>
  </si>
  <si>
    <t>The contributions are clearly explained: A prompt pattern sequence and evaluation in two industry retrospective cases. The paper also makes it clear that what is new from the other paper is the five patterns described in a practitioner-oriented pattern paper, on which nothing is said on their evaluation, and that the evaluation is contributed by the present paper. That self-positioning takes away any uncertainty of overlap between the two publications. Scored 2.</t>
  </si>
  <si>
    <t>Section 4.1 and 4.2, per-pattern architect responses; Section 5, Discussion</t>
  </si>
  <si>
    <t>Findings are presented in detail and are presented on both sides. The pattern is judged as follows: and the company is judged as follows: The architects' judgements are as follows: and the company: The security report is not available on the spot so the security report failed to meet the criteria for a pre-mature check. The discussion considers benefits, shortcomings, agreement with what was actually implemented and disagreement with what was implemented, including an underestimated delivery timeline and a recommendation that did not mention all the cloud vendors, the latter of which the authors describe as a potential bias regarding comprehensiveness. The sequence of questions as suggested by the architects (quality-attribute questions earlier) is also reported. Scored 2.</t>
  </si>
  <si>
    <t>Section 5, Limitations paragraphs</t>
  </si>
  <si>
    <t>The limitations are explicitly described and not the limitations of the technology. The three are as follows: the small number of participants interviewed and case studies (as the authors assert, they should have been larger for a more robust evaluation); that one researcher created all the prompts so the approach does not receive evaluation by professionals writing their own prompts, which likely increases the correctness and precision of the answers, so that the results should be interpreted accordingly; and that all the targeted decisions are presented in a popular microservices style and that this style has plenty of training material, which likely contributes to the correctness and precision of the answers, so that the results are interpreted accordingly. The third is a real attack on the validity of the central thesis, and is introduced by the authors themselves. Scored 2.</t>
  </si>
  <si>
    <t>Abstract; Section I, Introduction, paragraphs 2-4</t>
  </si>
  <si>
    <t>The problem is clearly and explicitly formulated and the gap is clearly named. There are automated methods of architecture exploration, but they are based on formal requirements specification and architectural models, and the authors believe that this is where they are struggling to be practically adopted. Architecture tools have not advanced as have the agents for coding and there is a stated challenge of how to further develop architecture tools into design agents, which existing work is dependent on standalone prompting. The authors also mention one constraint of their previous prototype: lack of the ability to perform chains of reasoning, because it needs the input of a human for each step of the search and evaluation. Scored 2.</t>
  </si>
  <si>
    <t>Section I; Section II Background, with Fig. 1; Section III implementation paragraph; Section IV case description</t>
  </si>
  <si>
    <t>There are three levels of developing context. The design process context is presented as analysis, synthesis and evaluation, with the two synthesis tasks being identified. A background section dedicated to the technical context is provided, which explains the concept of agents, the ReAct cycle for reflection and the LATS tree-search framework with a worked non-architectural example. The context of the implementation is mentioned, LlamaIndex with GPT-4o-mini. The evaluation context is the CampusBike mobility application, it has been identified its functional requirements and nine quality attributes are listed, and its reference solution is a microservices architecture with design patterns per service. Scored 2.</t>
  </si>
  <si>
    <t>Section III, approach and tools; Section IV, Initial Evaluation, opening paragraph and Table I; companion repository in footnote 1</t>
  </si>
  <si>
    <t>Given the wording of the item, which encourages learners to talk about the design of the research rather than the design of the artefact, I gave it 1, and the two were not discussed in an even-handed manner here. The artefact is explicitly specified: four named tools, how trajectories are planned, and a reflection prompt, where each trajectory is judged as correct, complete and satisfying the specified criteria of requirement satisfaction via an LLM-as-a-judge mechanism. The evaluation is only superficially described; only one case study is mentioned, the base requirements were adapted to incorporate aspects of quality attributes and passed to two different configurations of the agents, and the declared aim was to compare the alignment or overlap between the reference architecture and the architecture generated by the patterns, with artefacts made available in a companion repository. What is missing is the process used to conduct that comparison: there is no research question asked, no criterion for counting a pattern as aligned, no rater and no process to make judgements, no repetition and no discussion of threats-to-validity. Answered 1 (and not 0) since the setup, the case, the model and the comparison performed are all stated.</t>
  </si>
  <si>
    <t>Abstract; Section I, paragraphs 4-5; Section III opening; footnote 1</t>
  </si>
  <si>
    <t>Explicit contributions are made and their connection to previous work is made clear: The paper introduces ReArch, a proof of concept adaptation of the ReAct and LATS agent architectures, explicit design prompts and tools for exploring architecture more autonomously, as a progression of the authors previous prototype, ArchMind, which was limited and its limitation is named. Companion repository of supporting artefacts. Scored 2.</t>
  </si>
  <si>
    <t>Section IV, results paragraphs and Table I; Discussion paragraph at the end of Section IV</t>
  </si>
  <si>
    <t>Concrete and two sided findings are reported. The patterns created by each agent configuration are shown, against the patterns in the reference object-oriented design and the microservices solution, in Table I. The behavioural differences reported were that the ReAct agent was more likely to use the four tools in the assigned sequence, whereas the LATS agent would switch between pattern comparison and decision making and sometimes even omitted the decision-assessment tool. Negative results are reported, not left out, e.g., duplicate patterns from LATS leads to more inference work; output that doesn't match the patterns or tactics from literature, which the authors term hallucinations. Opportunities are distinguished from ongoing challenges in the discussion. Scored 2.</t>
  </si>
  <si>
    <t>Discussion paragraph at the end of Section IV; Section VI, Future Plans</t>
  </si>
  <si>
    <t>Scored 1. There are no limitations section and no discussion of threats to the validity of the results anywhere in the paper; only an acknowledged limitation, but not specified. The discussion acknowledges that generalization and hallucinations continue to be problematic and that additional validation in the real world with metrics is essential in order to reinforce reliability, which is a tacit acknowledgement that the current evaluation does not have either of these. Future Plans also recognizes other limitations, such as the lack of user intervention points and the necessity of retrieval augmentation for the grounding of the agents in the architecture concepts. No metric, no human assessment of the decisions produced, no repetition given the non-determinism that the authors point out: what is not said as a limitation is the evaluation design itself.</t>
  </si>
  <si>
    <t>The problem is asserted, not stated or evidenced. ADRs are crucial to AKM, but it is claimed that the use of them is slow to non-existent, and four reasons are given: lack of tool support, the costs of capturing architectural knowledge, the disruption of the design process due to the documentation and uncertainty about what to document. Thereafter it is explicitly claimed that there is no study of the effectiveness of language models in producing or comprehending such records. Scored 2.</t>
  </si>
  <si>
    <t>Section II, Background; Section III, Related Work; Section IV-C, study subject and Table I</t>
  </si>
  <si>
    <t>On both sides of the problem, there is a rich development of context. Architecture decision records, their components and their role in knowledge management are discussed in the architectural side. The technical side covers the concept of tokens, context length, the transformer encoder and transformer decoder, and three methods of text generation: zero-shot prompting, few-shot prompting and fine-tuning, along with the pros and cons of each and the suggested order of escalation. The empirical context is defined: 95 records from the five public repositories, all using a standard record format, every model used is listed in Table I, with its family, number of parameters, context length, and whether it accessed locally or via API. Scored 2.</t>
  </si>
  <si>
    <t>Section IV, Study Design and Execution, subsections A to E; Figure 1; Section VII</t>
  </si>
  <si>
    <t>An explicit description of how the research was done, structured as such. Section IV is organised into goal, research questions, study subject, experimental procedure and metrics, with the goal formulated using the Goal-Question-Metric approach and the process visualised in Figure 1. Three research questions are stated in full and map to the three methodologies, covering zero-shot generation, the effect of few-shot prompting and the effect of fine-tuning. The data collection procedure is described concretely, a web search over the top twenty results yielding five repositories with records in a standard format, and the fine-tuning split is given as 80 per cent training and 20 per cent test. Four evaluation metrics are named with justification for each, and one is designated the primary metric with a stated reason. Scored 2.</t>
  </si>
  <si>
    <t>Abstract; Section I, paragraphs 4-6; Section VIII, Conclusion</t>
  </si>
  <si>
    <t>The contribution is clearly and uniformly presented across the abstract, introduction and conclusion: an exploratory empirical study of whether language models can produce the Decision component of an architecture decision record from its Context, in an exploratory manner, under zero-shot and few-shot and fine-tuned setups with both commercial and locally hostable model families. The scope is also clearly restricted, leaving the creation of complete Records from a codebase as out of scope, to be done in the future. Scored 2.</t>
  </si>
  <si>
    <t>Section V, Results by research question with Main findings boxes; Section VI, Discussion; Section VIII</t>
  </si>
  <si>
    <t>Findings are presented quantitatively and summarised in separate boxes for each Research Question. Concrete figures are provided, such as GPT-4 attaining a BERTScore F1 of 0.849 and topping the chart on all metrics except BLEU and BERTScore precision. Practical advice: prompt-level observations are reported and are practically useful – the addition of the artefact type to the prompt improves adherence to the record format, but does not affect the content of the decision, adding the record title does not show any improvement in decisions, and longer and more descriptive contexts produce better decisions. The headline is not hyperbolic, but rather shows the models to be less than 100% reliable for this purpose, but useable as a tool to help architects and that small, fine-tuned models are viable if privacy or security issues prevent hosting. Scored 2.</t>
  </si>
  <si>
    <t>Section VII, Threats to Validity, subsections A to C; Section VI</t>
  </si>
  <si>
    <t>A threats-to-validity section with the threats categorised and a mitigation stated for each threat, cited. Internal validity includes the unresolved issue of text generation metric selection and the potential issue of how inconsistent style of record writing will affect a semantically correct generation, which is addressed by using several metrics and by incorporating a semantic metric as well as surface-overlap metrics. Construct validity acknowledges the small training set for the fine-tuning question, claims that this is due to a lack of open source repository of records, and announces the residual risk. The two issues of external validity are discussed: first, it is impossible to include all available models, and second, the collected records may not be representative, hence the selection strategy is explained for each. In the results, the limitations of hardware to fine-tune the biggest models are also highlighted. Scored 2.</t>
  </si>
  <si>
    <t>Abstract; Section I, Introduction, paragraphs 2-6</t>
  </si>
  <si>
    <t>Problem is constructed in the stages and gap is given explicitly. The knowledge about an existing system is stored across the version control, existing issue trackers, forums/ blogs and existing approaches to extract it, but each of these knowledge sources is limited in application, and the engineers have to manually combine the knowledge sources which is what the authors term as challenging, time consuming and missing from current approaches. There is a gap in the knowledge of how well language models can answer architectural questions contained in the data used for training, raising doubts about the accuracy, quality and trustworthiness of the answers. The objective is then given in just those three terms. Scored 2.</t>
  </si>
  <si>
    <t>Section I, paragraph 1; Section II-A, participant and system description; footnote 1</t>
  </si>
  <si>
    <t>An explanation about the context, participants, and subject system is provided and each option is explained. The concepts of architectural knowledge are explained and their differences discussed. Participants are described: 14 software engineers, all with at least a bachelor degree, an average of 3 years of industrial development experience, 1 year of architecture experience which has been published online. The subject system is motivated by 3 reasons: availability of architectural documents; the presence of enough architectural issues in its tracker; and the presence of a large community, whose material is expected to be in the training data, which is tested rather than assumed by asking the model about locations of sources, classes and issues. The version of the model is given and dated. Scored 2.</t>
  </si>
  <si>
    <t>Section II, Study Design, subsection A and the numbered steps with Figure 1; Table I; Section II step 3</t>
  </si>
  <si>
    <t>A detailed account of the research procedure, particularly in a more explicit way. The two research questions are fully formulated with reasons why the answer is important for researchers, and for practitioners. The design is named and justified as a single embedded case study and both the unit of analysis and the case are identified, presented in terms of a cited methodology. There are three numbered steps to the procedure, each having sub-steps. Ground truth construction is completely specified: filtering an existing dataset of 403 classified architectural issues to 46 verified architectural documents, selecting 7 sub-systems, forming 6 groups from the 14 participants, concept-specific methods, a source-code analysis tool for components and connectors, keyword search plus a tactics-detection tool with manual verification for quality solutions, and annotation of 5 named rationale concepts for design rationale, followed by verification of each identified concept by the first author. In Table I, the volume of questions reported according to concept is shown. The accuracy analysis was done by another researcher that was not involved in ground-truth construction, false positive, negative and true positive defined, precision, recall and F1 calculated per concept and averaged, micro-averaged. The Likert scales are both full printed with a descriptor for each of the five points. Throughout the text, a replication package is referenced. Scored 2.</t>
  </si>
  <si>
    <t>Abstract; Section I, aim statement; Section V, Implications for researchers and Implications for practitioners; Section VIII</t>
  </si>
  <si>
    <t>The contribution is clearly explained and put into action. The study is located as the first assessment of the accuracy of a language model, answer quality and trust of an existing system embedded in its own language model and is followed by separate implications sections for researchers and practitioners where each group is told what they should learn from the findings. Scored 2.</t>
  </si>
  <si>
    <t>Section III with the RQ1 key takeaways box; Section IV with the RQ2 key takeaways box; Section V, Discussion</t>
  </si>
  <si>
    <t>Findings are presented quantitatively and conceptually and also with negative findings at the forefront. The accuracy is reported as precision, recall and F1, respectively, for components, connectors, quality solutions and design rationale, showing moderate recall and lower precision, and the lowest precision and recall on quality solutions and rationale. In a confusion analysis 87 per cent of the wrong answers are reported. Participant evaluations are presented as Likert distributions by concept: There are 3 stated reasons for poor quality and 2 reasons for poor trustworthiness, quantified as percentages of reasons. There is a box of key-takeaways at the end of each research question. Scored 2.</t>
  </si>
  <si>
    <t>Section VI, Threats to Validity, construct, internal and external subsections</t>
  </si>
  <si>
    <t>A section on Explicit Threats to Validity after two cited sets of guidelines; one of which is specific to language model research; which is unusual in this corpus. Construct validity refers to three possible threats that can be mitigated: questions participants might ask could bias answers, which can be mitigated by having independent questions within a group; there is the possibility that the question formulation may lead to errors and biases in the mapping of concepts from the theoretical knowledge to the artefacts of the system, which can be mitigated by selecting the richest documented sub-systems and by triangulating documents, source code, and issues; and the prior knowledge of the participants in building the ground truth could influence the questions they ask and the evaluations they make, which can be mitigated by asking them to collaborate in separate groups and by triangulating documents, source code and issues. Participant fatigue and participant distraction are types of internal validity – the closed-source nature of the model with the risk of silent versions are addressed by directly calling the API instead of using the chat interface. External validity acknowledges the one system design and indicates there is no known comparable knowledge of the other systems in the model. Scored 2.</t>
  </si>
  <si>
    <t>Abstract; Section I, Introduction, the three numbered aims</t>
  </si>
  <si>
    <t>The gap is clearly articulated and the goals fall out of it: there have been a number of studies that have focused on developer productivity, while a few studies have focused on developer use of the tool as an assistant for solutions architecture. Three number goals are then enunciated, for generation to test against human designed ones from peer-reviewed literature, for comparing generation results mathematically, and for further improvements through prompt engineering. Marked 2 for an identified gap with clear objectives, but stated rather than evidenced and a lack of research question.</t>
  </si>
  <si>
    <t>Section III, overview of the four diagram types with Figures 1-4; Sections IV-VI on the tool with Figures 5-8; Section VII and Tables I-II</t>
  </si>
  <si>
    <t>Context is developed on both sides and is explicit. Architectural side specifies the four types of diagrams used in the study with worked examples. On the tool side, you'll find the launch date, the originating model provider, integration with the development environment, and five capabilities named with screenshots showing the tool in use. The empirical context is clearly stated, with Table I specifying the one source document (2007 university requirements specification for a book e-commerce system) and Table II breaking down the functionality into categories that will be the prompt content. The output format is defined as a textual diagram markup, using a standard diagramming tool. Scored 2.</t>
  </si>
  <si>
    <t>Section VIII, Methodology, four numbered steps; Section IX, similarity score formula; Section X and the repository cited as reference [20]</t>
  </si>
  <si>
    <t>This is the middle of the three studies to date included in the 'scored 1' category. To its credit, the procedure specifies four numbered steps for its generation of prompts in Table II, the computation of the similarity score, the refinement of the prompt, and repeated iteration until the score is above a specified threshold, with a secondary criterion of fewer iterations indicating better performance. The metric is described in a formula and its node and edge terms are provided, as are default weights, and the prompts, generated markup and scores are deposited in a public repository. Against 2: No research design is named, no research question is asked, the threshold is the 0.6 figure, without being explained, and, crucially, no criterion is provided of what constitutes a matching node or edge, and thus no central measure can be repeated by a reader. The reference diagrams are the only baseline, there is only one rater, and the rater is also the only author, and there is no discussion of threat to validity despite the non-determinism of the tool, or repetition.</t>
  </si>
  <si>
    <t>Abstract; Section I, the three numbered aims; Section X and the repository cited as reference [20]</t>
  </si>
  <si>
    <t>The contribution is clearly articulated in the introduction as three numbered aims, and again in the abstract, and supporting artefacts are made available: the prompts and generated markup, and the computed similarity scores are all in the repository. Scored 2.</t>
  </si>
  <si>
    <t>Table III with its Comments column; Section X; Section XII, Conclusion</t>
  </si>
  <si>
    <t>Findings are reported by diagram type (score) and specific statement of what is correct or incorrect (this is the best part of the paper). Named deviations are a) when a relationship was not detected in the stock-check phase; b) when a use case was relabelled even though the correct term was provided in the prompt; c) when a class was not detected but another class's relationship is stated in the prompt and d) when inter-class relationships are not captured, but a class was detected in the stock-check phase and e) when behaviour was not captured in two state diagrams. Positive results are reported as well and are not insignificant: the inventory steps of the sequence diagrams generated were more detailed and meaningful than those in the reference, which omitted a check, and the conclusion is clear: in some cases they were more detailed and meaningful than the human generated diagrams. Scored 2. A methodological observation that needs to be taken into the discussion: If the model has included correct material that the reference has not then the similarity score decreases, which penalises the behaviour the author considers to be a strength.</t>
  </si>
  <si>
    <t>Section XI, Future Scope and Challenges; Section XII, Conclusion</t>
  </si>
  <si>
    <t>Scored 1. No limitations section and no discussion of threats to validi ty. Even though the title of Section XI is “Future work”, it actually has four points indicating future work but not limitations of this study: repeat on another domain; use advanced prompt engineering; repeat across vendors; train an architecture-specific model; and observe that architectures are typically confidential, and so there is limited public training data. The only restriction (etc.) offered in the paper is that there are still limitations in output quality, which is related to the tool itself, and that the authenticity and security of generated code should be discussed more. The inherent weaknesses of the evaluation itself, one source document, one rater who is the sole author, no baseline, no repetition and an undefined matching criterion are never acknowledged. Not 0 as there is a general limitations statement.</t>
  </si>
  <si>
    <t>Section 1, Introduction, paragraphs 1-3; Section 2, Related Work, closing sentence</t>
  </si>
  <si>
    <t>The problem is presented followed by a statement of a specific gap. It is reported that designing an architecture to meet functional and non-functional requirements is difficult in "complex and unfamiliar" domains, time consuming and is often done using incomplete or contradictory requirements; new architects do not understand architecture and experienced ones resorted to their familiar concepts. As a result the consequence is called: Architects create one architecture instead of generating and exploring candidate architectures, resulting in design flaws only becoming apparent later as maintenance costs. The gap is then argued with respect to literature, as all literature surveyed is based on experience of the architect, the nearest semi-automatic approach demands highly manual work and because of the authors' knowledge, there were no automatic and comprehensive architecture evaluation that takes the requirements fully into account. Scored 2.</t>
  </si>
  <si>
    <t>Section 1; Section 2, Related Work; Section 3.2, model and format discussion</t>
  </si>
  <si>
    <t>There is four page paper where the four adjacent literatures, with named works, are context. The design context is also provided: The 4+1 view model and a component model are shown as possible target representations, and the two languages (textual diagrams) explicit: one that suits a language model, another that suits classic algorithms. Scored 2.</t>
  </si>
  <si>
    <t>Section 1, four research questions; Section 3 with Figure 1; Section 4, Exploratory Analysis with the repository in footnote 1; Section 5, Planned Evaluation</t>
  </si>
  <si>
    <t>Rated at 1, on the high end. In its favour, and more: four research questions are stated verbatim, the proposed process is given as six steps numbered, with a figure and a subsection step-by-step; the exploratory analysis names its dataset and its size (91 requirements from a public dataset cited), names both models used, states the task, and points to a repository for the exact process; the planned evaluation describes two studies concretely, with a figure and a subsection in each study, names three reference systems, adds expert-created architectures as a baseline, and specifies interviews before and after a period of deployment, with a named instrument for the acceptance of the model. With 2: no measure is defined anywhere in the paper. The actual analysis is reported impressionistically, the models will show concepts and that the result will be improved significantly - there is no criteria, no rater, no metric - and the planned evaluation is reported that the techniques of assessing architecture will be used manually, but no technique is named. Those things explicitly described are primarily what should be done, not what was done.</t>
  </si>
  <si>
    <t>Abstract; Section 1, paragraph 5; Section 6, Conclusion</t>
  </si>
  <si>
    <t>The contribution is explicitly stated, and its status is declared, rather than hidden: the paper states that it is a vision paper and proposes a method (a process and a tool) for generating architecture candidates semi-automatically from requirements, and an envisioned automatic evaluation/take-off analysis of the architecture candidates. It is restated in the conclusion as proposed research for a new process. Scored 2.</t>
  </si>
  <si>
    <t>Section 4, Exploratory Analysis; Section 1, paragraph 6; Section 3.2, rationale for technology choice</t>
  </si>
  <si>
    <t>Failure information is included in specific findings of the work actually done. In both cases domain concepts were extracted from the requirements by the models, although the first set of prompts were misinterpreted in that the models modelled the system and did not the domain, and both models had difficulties in delivering reasonable diagram mark-up; with the second iteration, the results were significantly improved when the prompt asked for domain concepts rather than markup. The conclusion reached is calibrated: Language models typically have a good grasp of the application domain, but there remains a need to improve prompt engineering and to translate the output into the target format. That is not a feature to be celebrated but a factor to be considered because it is used as a justification for the proposed method being “semi-automatic” and not automatic. The design rationale in Section 3.2 is also reported: language models are selected for the task in which requirement understanding is required while classic algorithms are selected for well-structured tasks, due to the unpredictability of the output of the language models. Scored 2.</t>
  </si>
  <si>
    <t>Section 1, paragraph 6; Section 3.3, fallback; Section 5.1, training-data threat</t>
  </si>
  <si>
    <t>Rated 1, and the highest rated of the studies rated this item 1 so far. No section on limitations and no section on threats to the validity; the paper does not report on the limitations of its own contribution, which is that it has not built or measured anything outside of a domain-model exploration. Rather, the limitations can be addressed as design contingencies: that no training data is available for the task and for this reason, unsupervised operation cannot be guaranteed, and that automatic evaluation will be unfeasible and the authors will have to rely on semi-automatic evaluation. One correct validity threat is anticipated explicitly and should be credited, that models could have been trained on the same reference architectures as the planned evaluation, and that a check is stated to be performed for whether the model is simply reproducing these; and a fall back to a new requirement set is stated. It is a data contamination that has been correctly recognized but in another study than the one presented here.</t>
  </si>
  <si>
    <t>Abstract; Section 1, Introduction, paragraphs 2-3</t>
  </si>
  <si>
    <t>The problem is not only named but stated and diagnosed. Design decisions are captured on a regular basis, but the quality of this is generally poor, and the diagnosis is that reflective criticism of decisions is rarely practiced by architecture teams, especially those involving novices. The impacted population is designated and three specific challenges are listed: identify good alternative decisions (e.g., alternative styles or patterns), prioritize quality-attribute trade-offs and make an effective comparison between design alternatives. Scored 2.</t>
  </si>
  <si>
    <t>Section 1; Section 2, Background; Section 3, benchmark description; Section 3.1 footnote 2; Section 4</t>
  </si>
  <si>
    <t>Context is given for the theory, the tooling and the empirical setting. The reflective-practice model the work is based upon is clarified and a previous use of this model in a classroom is described; the classroom use revealed that bias by students constrained the exploration of alternatives as a motivation for this work. The technical context includes retrieval augmentation or language models for factual content which were known to be weak. The empirical context is a student project of a student from an undergraduate study of architecture at a named university and the knowledge base that is loaded into the tool are four named textbooks. The implementation stack is declared and the size of the input scale is reported to be 10 lines of system context and 1 to 2 lines per requirement. Scored 2.</t>
  </si>
  <si>
    <t>Section 3, Study Design; Section 3.1, four-step protocol with Fig. 2; Section 4, Initial Evaluation</t>
  </si>
  <si>
    <t>At the extreme end, scored 1, for the same reasons as the companion paper by this group. The approach is explicitly outlined: in a named section of the text, the four-step protocol with the human and copilot roles indicated, four named copilots each with its task, and a possible Q&amp;A task, and two strategies compared with a four-point rationale for retrieval augmentation. The design explicitly makes two important qualifications: the student records are not intended as ground truth, but rather as a reference solution, and a systematic comparison of prompting techniques and user studies was not attempted. Against 2: no research question is raised, no metric or criterion is set, the assessment is by the authors' own judgement, which they state is based on our expertise, and two of the authors also have the human role in the sessions, meaning that the same people designed the tool, operated it and judged its output. Sixteen records were produced, five to which there was no stated rule and which were examined were selected as key and there is no threats-to-validity discussion.</t>
  </si>
  <si>
    <t>Abstract; Section 1, paragraph 4; Section 5, Conclusions, positioning against related work</t>
  </si>
  <si>
    <t>Explicit statement of the contribution, approach and prototype to support architects in generating decision records in a series of task-specific copilots, leveraging architectural knowledge and system information. The positioning is very exact: The paper mentions the nearest previous work, and indicates the difference, that it creates records through step-wise interactive activities rather than in one shot, more elaborate prompts and a different research question. Scored 2.</t>
  </si>
  <si>
    <t>Section 4, Initial Evaluation, results paragraphs</t>
  </si>
  <si>
    <t>Findings are reported specifically and are two-sided. The majority of the records that were created were judged correct in addressing the decision drivers, although there were some misleading ones; the reason for this is suspected to be that the model has less system context than the students had. Students came up with a problem statement from the requirement and then they looked at options, and the copilots did not repeat this process and come up with a problem statement of their own. Positive and negative behaviours are both reported, that the copilots suggested and justified more candidate patterns than the humans, but struggled to recognise when a functional module or a vendor-specific technology was a reasonable option. The two approaches are compared in detail, with retrieval augmentation returning very few answers when the context was not appropriate, but providing more detailed answers when it did, and zero-shot always returning answers, but in a generic way (e.g., providing the microservices pattern as a general idea rather than a specific one), giving answers with less options and less pros and cons. The lesson learned is a compromise between a more specific, yet limited, and a more general copilot, which is formulated as an open research question. Scored 2.</t>
  </si>
  <si>
    <t>Section 3 footnote 3; Section 4, opening and closing paragraphs; Section 5, Future Work</t>
  </si>
  <si>
    <t>Scored 1, at the upper end. The paper doesn't provide any limitations section, no threats-to-validity section, and several qualifications are made explicit and judicious. The student records are explicitly identified as only a reference solution for comparison in a footnote, which is a true construct-validity statement. The scope is open, the authors point out that it is still an experimental tool and do not plan to do a systematic comparison of prompting techniques, or user studies. The small input scale is reported and the necessity to further test with more complex problems, human interaction, varied context, other knowledge sources are stated. What is not recognized is the evaluation system itself, that the authors assessed their own tool with their own skill, that they also used the tool, and that five out of sixteen records were looked at without any expression of the selection rule.</t>
  </si>
  <si>
    <t>Abstract; Section I, Introduction, paragraphs 2-3; Section II, Related Work</t>
  </si>
  <si>
    <t>The problem is identified as a named problem and the cause is determined from evidence. Documentation of Architectural Knowledge (AK) is known to be essential but is often overlooked, the knowledge is distributed in source code, documentation and runtime logs, and the tools used are limited, deterministic and manual. The cause is cited from two reviews: the first indicates that the attempts to progress in capturing knowledge have been unsuccessful and the second indicates that cost of the capture of knowledge using current systems is high and this is the reason why such systems are not being used. Scored 2.</t>
  </si>
  <si>
    <t>Section I; Section II; Section III, Motivation and Challenges; Section IV with Figures 1 and 2</t>
  </si>
  <si>
    <t>The context is broken down by more than just being sketched. Section III refers to four different challenge areas and their explanations: aggregation of multi-modal knowledge distributed across diagrams, documentation and code; retrieval and integration of general world knowledge comparable to an expert architect; generation of contextually relevant answers, possibly including multimodal content; and achieving the usability required to be able to use the system for industrial use. Named concrete example artefacts are provided throughout, such as a public architectural knowledge base, a public decision-record repository, a source of a transcript of the podcast, and a running example of a worked scenario, from a named open-source repository to a named architecture profile. Scored 2.</t>
  </si>
  <si>
    <t>Section V, Initial Validation, with Figure 4; Section IV, which is entirely prospective</t>
  </si>
  <si>
    <t>Scored 1, at the lower end. The paper’s own contribution, the two-phase knowledge management approach of Section IV, has no research design at all: every element is stated in the future tense as what will be developed, leveraged or produced, and nothing in it is built, run or evaluated, nor is any planned evaluation described. What supports the score is Section V, which describes at a general level how the initial validation was carried out: pairs of context and decision were collected from decision-record repositories by web scraping, contexts were given to the models to generate decisions, three approaches were used across two model families, and four named text-generation metrics were applied, with one of them plotted for all models and approaches in Figure 4. Against 2: no research question is posed, no sample size, split or procedure detail is given in this paper, there is no threats-to-validity discussion, and the validation is a compressed restatement of a study reported in full in a separate publication by the same authors, cited as reference [4].</t>
  </si>
  <si>
    <t>Abstract; Section I, paragraph 4; Section IV, phase structure; Section VI, Conclusion</t>
  </si>
  <si>
    <t>The contribution is clearly and consistently stated, an automated approach to the knowledge management in architecture, divided into two phases: information-exraction phase and information-retrieval phase, both broken down into named parts. The retrieval phase is further qualified with a role-based retrieval-response structure and six retrieval-response templates. A public repository is mentioned to validate the study. Scored 2.</t>
  </si>
  <si>
    <t>Section V, results paragraph with Figure 4; Section III, challenge analysis</t>
  </si>
  <si>
    <t>The findings are given for a 4 page paper. For model families and prompting regimes, the results are reported as follows: the best performing commercial model makes relevant and correct decisions in the zero-shot setting with comparable performance to humans, but it's more expensive; a less expensive commercial model has a similar performance in the few-shot setting, and is also capable of making relevant and correct decisions in the zero-shot setting; the small model that can be fine-tuned on a single GPU and deployed locally is comparable in a few-shot setting and also capable of making relevant and correct decisions in the zero-shot setting. The main measure for each model and approach is shown in figure 4. The conclusion is not promotional but calibrated and that the potential is indeed real, but there's a need for further research to make it to human levels. In Section III, an analysis is added without relying on empirical evidence, with the name of the four obstacles that the approach needs to overcome. Scored 2.</t>
  </si>
  <si>
    <t>Section V, closing sentences; Section III, challenges; Section VI, Conclusion</t>
  </si>
  <si>
    <t>Scored 1. No limitations section or discussion of threats to validity. A general limitation that is stated is that the models are not yet as good as the humans and more research is necessary prior to the adoption of the models. The four challenges listed in Section III need not be seen as limitations of work done, but rather as challenges to be overcome by the proposed approach. What is not recognized is the restriction of this paper itself: that the suggested approach is not implemented at all; that the validation is done in one small aspect of one step and this validation is not presented here as a new evidence but presented elsewhere already.</t>
  </si>
  <si>
    <t>Abstract; Section I, Introduction, paragraphs 3-5 and the three research questions</t>
  </si>
  <si>
    <t>The problem is presented in an argument, not as a statement. Software architecture is differentiated from the other engineering disciplines because it lacks the empirical knowledge of long-lived designs, and it is still in the process of documenting and communicating sufficient solutions, and thus cannot build large, high quality systems with a higher rate of success. The gap is then expressed in two ways: first, lack of empirical surveys of the use and planned use of these models, and second, little is known about whether they are beneficial to the architect specifically. Three research questions are presented: What are the benefits and drawbacks of the model-assisted architectural design approach, how is the model used in the company, and how is the model intended to be used in the company. Scored 2.</t>
  </si>
  <si>
    <t>Section I, technical background; Section II, Related Work; Section IV-A, Setup; Section V-A, participants</t>
  </si>
  <si>
    <t>The technology, the literature and both groups of human subjects are provided in context. The technical background illustrates the way these models work and compares code (syntactically and semantically correct) with architectural problems (which can be expressed in natural language). The previous work includes code generation, program repair/summarisation and the fact that very little is known about the architectures that these models can generate. The experimental subjects are described concretely: five master thesis projects that were completed between October 2019 and May 2022, with two of the students coming from industry with more than five years of experience, all master thesis projects with a common structure that includes a problem context, stakeholders, use cases, an exhaustive requirement set that includes functional and quality requirements as well as business and constraint requirements. The spread of companies in the survey are characterised by the survey participant, one per company, and by experience, two companies with 3-6 years of experience, and thirteen companies with more than six years of experience. Scored 2.</t>
  </si>
  <si>
    <t>Section III, Design of the Study with Fig. 1; Section IV-A, Setup and technology choice; Section IV-C, success definition and Fig. 2; Section V-A; replication package in footnote 1</t>
  </si>
  <si>
    <t>Two coordinated parts of an explicit description of how the research was done. A dedicated design section and a process figure indicate that experiments answered the first research question, while the other two were answered by a survey and the survey was also used to validate the experimental conclusions with a broader audience. The experimental scale is measured: five projects, fifty experiments, with an expected yield of four solutions per experiment, forty solutions per project and two hundred solutions. The reported rates are interpretable because the return of a solution is considered as successful; even if the solution is not of high quality. The technology choice is founded on evidence; rather than preference; with the newer technology being rejected due to its tendency to block and poor reproduction, whereas roughly seventy per cent or better responded to the technology selected and zero-shot use is preferred over prompt optimisation with explanation. The survey instrument was adapted from literature, then further improved by conducting trial interviews with three of the experimental subjects and then it was finalized. Prompts and requirements are published as are generated results, discussion and survey results. Scored 2. The only exception is a cited methodological guideline for the case study design.</t>
  </si>
  <si>
    <t>Abstract; Section I, contributions paragraph; Section VI, Conclusion</t>
  </si>
  <si>
    <t>The contribution is clearly identified as a study integrating experiments and survey, with the intent of determining the state of practice about the use of these models in software engineering and to see if they could be used for a more complex task like proposing a software architecture from a set of requirements. Each half is reported and the conclusion is given to each. Scored 2.</t>
  </si>
  <si>
    <t>Section IV-C, results and test-subject feedback; Section IV-D with Fig. 2 and Fig. 3; Section V, survey tables</t>
  </si>
  <si>
    <t>Results are presented quantitatively and qualitatively and the most prominent negative result that has been obtained in the corpus is presented. Success rates are split on textual/visual output and vary widely - much better at text. An exact variance observation report is produced, each refined query has at least one failed experiment and at least one successful experiment with the same setup. Non-determinism is not just identified but shown: Figure 3 shows that two solutions, obtained independently, are very different for a given query statement. Test-subject feedback is grouped into what is new and useful, what is missing, and what is improper or misleading; but things like high-level concepts and low-level concepts are mixed up; there is no hierarchy; system boundaries are not well defined; and there was a lack of directionality. The results of the survey are presented in tabular form with percentages. It also mentions a pro business risk: being offered advice without tinkering with it, which affects both the solution and the architect's creativity. Scored 2.</t>
  </si>
  <si>
    <t>Section IV-D, Discussion, Lessons learned, and Threats to Validity, closing sentence</t>
  </si>
  <si>
    <t>Scored 1. There is a heading for threats to validity, but only one sentence: "This is particularly true of the survey and the number of projects and test subjects could have been increased. Would be a limitation of the study design, not of the technology, which is to their credit, but it's the only one mentioned. There are several significant threats that were not addressed in the survey: 1) the experimental subjects were those the authors personally knew, 2) they evaluated designs created by others for their own thesis projects, 3) only a single model and a single interaction mode was used, and 4) the gap between the projects and the model applied to them was as long as four years. There are no attempts to categorise threats, nor are there any mitigations offered.</t>
  </si>
  <si>
    <t>Abstract; Section 1, Introduction, paragraphs 1-2; Section 2, gap statement</t>
  </si>
  <si>
    <t>The problem is given and the gap is called out. Architecture-centric software engineering is said to have many problems due to the lack of a standardised process, socio-technical issues, and, especially, human expertise, with particular problems listed: mapping stakeholder perspectives to architectural requirements, managing drift, erosion and technical debt, and the lack of automation and expertise for emergent classes of software. The situation of the isolated architect with no process and tool support is cited from his work as the motivating situation. The gap is directly stated and no research explores or demonstrates an architecting process that includes the use of development bots to allow human-bot collaborative architecting. Scored 2.</t>
  </si>
  <si>
    <t>Section 1; Section 2, architectural languages and evaluation methods; Section 3, case description; Section 4, Related Work</t>
  </si>
  <si>
    <t>Context is provided for the discipline, the literature and the case. The context of the architecting covers what is specified by architecture and the role of architectural knowledge, languages, tools and decisions, including named evaluation methods, are introduced. The related work is arranged in two dimensions, the first being from the side of AI for software engineering and the second being from the side of software engineering for AI, containing named works and a specific proposal from the AI side for the degradation of the architecture via machine learning. The case is defined concretely: Campus Bike is an application with 5 named functions; the architect's profile: working knowledge of design notation, patterns, Implementation languages, architecture scenarios and evaluation methods. Scored 2.</t>
  </si>
  <si>
    <t>Section 2.2, Research Method with Fig. 2; Section 3 with Figs. 3-6; replication package cited as reference [2]</t>
  </si>
  <si>
    <t>At the top, marked 1. It is described explicitly what was done: a three-phase method, comprising an overview figure, phase one is the development of a textual architecture story capturing functionality, quality requirements and constraints, and phase two is the collaborative architecting, where three activities, borrowed from a cited general model of architecture design, are performed: analysis, synthesis and evaluation, and where a named and established scenario-based evaluation method is used as the supervisor for the model during evaluation. The interactions are reproduced in four figures and a replication package is referenced. The reason why a 2 is not allowed is because it's a demonstration design. No research question is asked, no measure per se is defined and the paper explicitly states a phase three, an empirical test of the collaborative architecting, is an extension of this study that remains to future research. The single case is demonstrative and not evaluative and the paper is explicit about this.</t>
  </si>
  <si>
    <t>Abstract; Section 1, context and motivation; Section 6, Conclusions</t>
  </si>
  <si>
    <t>The contribution is clearly expressed and its form is identified; a case study of a novice architect using a service model to architect a service-based application, and an account of the factors to take into account when integrating the use of such a model into the architecting process. The conclusion reiterates the contribution in two parts; how software can be architected in this manner and what needs to be taken into account when architected in this manner. Scored 2.</t>
  </si>
  <si>
    <t>Section 5.1, Socio-Technical Issues, three named issues with examples; Section 3, Figs. 3-6</t>
  </si>
  <si>
    <t>The findings are presented as three named socio-technical issues that are presented in terms of a specific example from the case, instead of as a general statement. Different styles were reported in response to the same question about the architectural style most appropriate to the case system – microservices, layered, and client/server were all reported; and a mitigation is proposed: iterative dialogue and architect oversight. The intellectual property / ethics issue is concretized by the creation of a location sensing component which might reveal user's location and be in violation with data-protection rules. Output bias is broken into input, training data, algorithmic sources, and applied to architecture specifically in the form of a recommendation bias for the widely adopted notations, tactics, patterns or styles. Scored 2.</t>
  </si>
  <si>
    <t>Section 5.2, Threats to Validity, three named categories; Section 2.2, Phase 3 deferral</t>
  </si>
  <si>
    <t>Section on explicit threats to validity organized in three categories with definitions prior to the threats. Internal validity is achieved by using an accepted architecting process and an accepted evaluation method. External validity is directly acknowledged, only a single moderated complexity case study was conducted, limiting generalisation, and three factors impacting it are identified: cross-organisational architecting, mission-critical software, and varying levels of architect expertise. Conclusion validity acknowledges that the productivity and efficacy of architects and the models can only be substantiated by additional experimentation in real contexts. In the methods section of this paper, it's also clear they aren't claiming that the demonstration is evidence for their work, but are stating that it will be validated in the future. The one category that is not covered is construct validity. Scored 2.</t>
  </si>
  <si>
    <t>Abstract; Section 1, Introduction, paragraphs 1-2</t>
  </si>
  <si>
    <t>The problem is given with its difficulty and its cost. Traceability provides the basis for coverage analysis, impact analysis, compliance verification and testing; the establishment and maintenance of the links is costly and is clearly the solution that can be automated, but is difficult. It then gets narrower to why this is more difficult than the other task, namely, that detecting architectural tactics is a special case of design pattern recognition but more difficult, because, unlike patterns, which are describable in terms of classes and their associations, tactics are not. So, while simple structural analyses yield limited results, the recognition of architectural tactics is more challenging. Scored 2.</t>
  </si>
  <si>
    <t>Section 1; Section 2, Related Work; Section 3, stated assumptions; Section 4, dataset description</t>
  </si>
  <si>
    <t>The context is provided for the task, technique and data. The technical context provides explanations of transfer learning using a pre-trained language model, the fine-tuning process, and the limitation of 512 tokens inputted, which restricts the design. The two assumptions on which the approach is based are made explicit and the work done before is cited in the same way as text. The context of the empirical data is completely described: it is a public, reused dataset of 5 named tactics, 50 classes of related, 50 classes of unrelated. Scored 2.</t>
  </si>
  <si>
    <t>Section 3, Our Approach; Section 4, Evaluation; Section 5, reproducibility statement; Zenodo package cited as reference [18]</t>
  </si>
  <si>
    <t>Explicit, the most reproducible design in the corpus evaluated so far. Each model parameter is reported: the pre-trained variant chosen, the classification head, the loss function, the optimiser, and how it was selected over other optimisers, and the entire hyperparameter configuration (including weight decay, both exponential decay rates, learning rate, batch size, and number of epochs), with the basis as a common default or from cited empirical work. Two truncation strategies are defined and compared, a confidence threshold mechanism is specified and it is argued that a multi-class approach is more appropriate than a multi-label approach as less than one per cent of the classes have more than one tactic. The purpose of the evaluation is stated, the three evaluation metrics are named, giving the reason that they are comparable with previous approaches, and the use of an established dataset is justified for the same reason. Also, they conduct ten-fold cross validation over a range of parameter settings, and then offer an independent case study as a second evaluation. Random seed is set and its value is displayed, the code and results are deposited. Scored 2.</t>
  </si>
  <si>
    <t>Abstract; Section 3 opening; Section 4 closing paragraph; Section 6, Conclusion</t>
  </si>
  <si>
    <t>The contribution is clear: it is to consider the problem of detecting tactics in code as a text classification problem, and to describe an approach to using a language model to fine-tune it for such a problem. The paper also explicitly states the value of its negative result: it maintains that negative results are still informative and are still lessons learned; it maintains that publishing the experience is a contribution to the community; for that position, it provides support. Scored 2.</t>
  </si>
  <si>
    <t>Section 4, cross-validation findings and Tables 1 and 2; Section 5, Discussion</t>
  </si>
  <si>
    <t>Findings are quantitative, comparative and include the failure. The findings of effects of the parameters are reported as directional; epochs, batch size and threshold have a positive effect on precision and a negative effect on recall, as described in the aforementioned work; increasing the amount of data improves the F1 score, as already pointed out, both oversampling and undersampling have detrimental effects; larger batches have a negative effect on the F1 score, as already mentioned, while the two truncation strategies only differ by one point. The independent case study then fails to replicate this, the approach is weaker than the best prior approach, and the lesson is explicitly drawn: Good cross validation does not necessarily carry over to case studies. Overall conclusion: It is a substantive negative finding, and code can't just be read as natural language, as the relations between tokens differ from the ones the model sees. Scored 2.</t>
  </si>
  <si>
    <t>Section 5, Discussion, threats paragraphs</t>
  </si>
  <si>
    <t>Threats are dealt with explicitly, construct and internal validity are identified and stated, mitigations are identified and stated (if taken), and residual threats are left visible. Construct validity is addressed by reproducing valid experimental designs to allow for comparisons. The re-use of existing datasets meets the criterion of internal validity, but the authors readily acknowledge that the training and evaluation data are from the same source, which they state is another threat and risk. The assumptions in the approach are listed as possible failure points: the classes are detected at the class-level, the assumption is that the developers use one programming language, and it is assumed that the people implementing the approach use expressive non-abbreviated identifiers that are present in the model vocabulary. Pre-processing is known to have a negative impact on results. The last, but most compelling, threat is unusual for this corpus: that the model is learning the task from a statistical signal in the training corpora, rather than from the task itself, and that this latter can be large, as cited. Scored 2.</t>
  </si>
  <si>
    <t>Abstract; Section I, Introduction; Section IV-C, opening paragraphs</t>
  </si>
  <si>
    <t>The problem is given in the form of "mechanism" and "cost". Many industries have gone from human planning to optimisation-based decision support systems that enhance efficiency, accuracy and scalability, but the algorithms they rely on are long since designed and hard-coded in the system after a comprehensive requirements analysis, meaning that if the conditions or operational needs change, the algorithms need to be re-evaluated or fully redesigned, which can be time-consuming and costly. This is followed in Section IV-C by a development of the three choices that a decision maker might have when new requirements occur: abandon, undertake a costly overhaul, or try to "steer" the system by changing the weights and parameters. Scored 2.</t>
  </si>
  <si>
    <t>Section I; Section II, Related Work; Section III, module descriptions with Algorithm 1; Section IV-A, experimental set-up</t>
  </si>
  <si>
    <t>The application domain is explained, the neighbouring literature and the implementation. The related work is presented in the following sections: generating linear programming formulations and generation of heuristics from textual descriptions. It is described as the use of named modules for dynamically generating metrics, multi-criteria decision making and decision justification, and an algorithm and a self-debugging loop. The experimental context is described in great detail: the difference between classical and rich routing problem, a detailed account of real operational criteria (early servicing against detour length, rejecting tightly constrained requests to preserve flexibility in the fleet, avoiding congested areas during the peak hours, workload balancing, capacity reservation for expected high priority requests, limiting returns after a certain hour to avoid overtime and labour regulation, limiting successive long routes to reduce driver fatigue, and customer/driver continuity). All three of the heursitics, the model and the orchestration framework are given versions. Scored 2.</t>
  </si>
  <si>
    <t>Section IV-B, criteria C1 to C6; Section IV-B Test C1, prompt taxonomy and generation procedure with Table 2; Section IV-C, comparison experiment</t>
  </si>
  <si>
    <t>An explicit design, organised around six evaluation criteria defined prior to the description of the tests: correctness of metric generation, correctness of multi-criteria selection, robustness to ill-defined metric prompts, robustness to contradictory company policies, computational efficiency with varying loads of fleet size and metric complexity, and interpretability of the resulting decisions. After each is described, a test is given for it. The prompt design is described as a three-level taxonomy of purely textual, text-plus-formula and text-plus-formula-plus-pseudocode descriptions and also accompanied by worked examples of each; the generation procedure is stated: a test set of thirty different prompts per prompt type was created by paraphrasing variations of the metrics that were defined in the purely textual description level. The number of alternative plans is changed among three levels to test the scalability. The comparison experiment recruits another 10 people not involved in the research as decision makers for comparison with the traditional system. Scored 2.</t>
  </si>
  <si>
    <t>Abstract; Section IV-C, explicit statement of the main contribution; Section V, Conclusion</t>
  </si>
  <si>
    <t>The contribution is explicitly mentioned and restated three times, in a novel architecture, and then in framework, towards the identified rigidity of existing optimisation-based decision support, where the capacity to interact with the system in natural language, to reconfigure the algorithmic components adaptively, to support decision according to preferences, and to provide human readable explanations about system behaviour are all highlighted. Scored 2.</t>
  </si>
  <si>
    <t>Section IV-B results with Tables 3 and 5; Section IV-C, Figure 2; Section V</t>
  </si>
  <si>
    <t>Findings are quantitative, and the results are presented that contradict the authors' own hypothesis, the best feature of the reporting. The combination of a textual metric description with a formula or pseudocode was usually helpful in this instance, although the results of the experiments were mixed: out of thirty attempts, five of the formula prompts failed, and three of the pseudocode prompts failed, and the authors note the awkward fact that these failures were precisely at the point where the textual version passed, so that a supervisor might have to try a few times to achieve a balance between simplicity and precision. The self-debugging loop is quantified as an average of roughly 1.5 attempts to arrive at a correct snippet, and a helpful note is that once validated a snippet will always pass the associated tests. The human comparison quantifies at an average of 19.8 parameter-adjustment attempts to reach a satisfactory solution with the spread displayed and not hidden within a boxplot and violin plot. Scored 2.</t>
  </si>
  <si>
    <t>Section IV-C, generalisability and quantifiability disclaimers; Section V, stated main limitation and future work</t>
  </si>
  <si>
    <t>Limitations are not left implicit, but rather identified explicitly and one of them is singled out. The main limitation of the methodology is directly stated in the conclusion: With an increasing number of alternative plans in the exponential growth common to metaheuristic techniques, one-shot comparison in the decision module becomes impractical, and a specific remedy iterative to a limited set of non-dominated alternatives is proposed. The comparison experiment has two more disclaimers: the numbers presented are not claimed to be generalisable and the experiment is offered as only illustrative and the benefits of the approach are hard to quantify as they are dependent on the context of the decision and the experience and mindset of the decision-maker. Wider empirical testing in other application areas is claimed. No section on threats to validity is included, nor is there an examination of single domain evaluation, single model, no repeated runs after the noted stochasticity, or the characterisation of the expertise of the 10 participants. Completed 2 on the strength of the explicit, located and prioritised limitation statements.</t>
  </si>
  <si>
    <t>Abstract; Section 1, Introduction, paragraphs 2-4</t>
  </si>
  <si>
    <t>The problem is communicated, then broken down into two obstacles named. The lack of documentation and difficulty in recovery of large industrial systems are due to the architectural drift that results from changes in requirements and the modification of the system in an ad hoc manner. Context is the first difficulty – the context window included within models is too small for industrial codebases, while retrieval-augmented prompts and tool protocols facilitate localised understanding but are not able to enable coherent system-level synthesis. The second one lacks business semantics: if the model is not documented, it can not divide the business logic from the auxiliary code, thus preventing meaningful abstraction. These two are each represented by one of the innovations in the paper. Scored 2.</t>
  </si>
  <si>
    <t>Section 1; Section 2, Related Work; Section 4.1, baseline description; benchmark description before Section 4.2</t>
  </si>
  <si>
    <t>The classical techniques, their followers and the evaluation material are presented in the context. There are three named classical recovery algorithms with the two limitations listed: sensitivity to granularity of the input and lack of semantic context. This is done to identify the industrial baseline and characterize it, and a rival tool is characterized as not succeeding past four thousand files as it loads the entire code base into the model and goes beyond the typical context window. The benchmark is defined: projects from 1000 to 22000 source files in 5 languages, and public documentation of the architecture of the projects provides ground truth in heterogeneous codebases and paradigms. Scored 2.</t>
  </si>
  <si>
    <t>Section 4, two experiments and case study; Participants paragraph; Setup and protocol; Section 4.2 Dataset, Participants and Procedure; benchmark repository cited in the abstract</t>
  </si>
  <si>
    <t>Explicit, and the most stringent evaluation design in the corpus to be evaluated yet. Thirty senior software engineers were recruited from various departments, all with a minimum of five years software development experience, and all maintaining a complex repository on their own — and all of whom were pre-screened to judge their ability to analyse the sample architecture diagrams. The design is two group (15 subjects per group) within-subjects and counterbalanced; in the former, group 1 received system 1 first and group 2 received system 2 first; in the latter, group 1 received system 2 first and group 2 received system 1 first.Two group within-subjects and counterbalanced, two systems presented in opposite order, explicitly to control learning and fatigue effects and mandatory breaks between system presentations. There are two systems and 16 diagrams per system per participant, with the architecture document, diagram, and a structured evaluation table that are broken down into layers, nodes and edges and indicate true or false, and where items are missing. The numbers of true positives, false positives and false negatives are summed over each category and then transformed to precision, recall and F1. The ablation highlights inter-service dependency, controls intra-repository structure, introduces two method variants, performs the tests in two model families, and employs paired tests in model and independent tests across models. Throughout, effect sizes and confidence intervals are provided in addition to the p-value; the benchmark dataset is open-sourced. Scored 2.</t>
  </si>
  <si>
    <t>Abstract; Section 1, the two key innovations; Section 5, Conclusion</t>
  </si>
  <si>
    <t>The contribution is clearly described and explicitly related to the two problems outlined in the introduction: scalable architecture understanding via summarisation with adaptive grouping and file clustering, and with contextual pruning; and business-oriented diagrams, including cross-repository information and operational heuristics, which identify business-critical modules for producing system-level views. As another contribution, a public benchmark dataset is released. Scored 2.</t>
  </si>
  <si>
    <t>Section 4.1 Results with Fig. 2; Section 4.2 Results with Fig. 3; Section 4.3, Case study with Fig. 4</t>
  </si>
  <si>
    <t>Findings are quantitative and fully reported, results are not suppressed, authors interpret null findings appropriately. It reports both the means and the standard deviations of the two systems, a paired test p-value, an effect size and a confidence interval, and highlights the largest difference between the two per repository on the figure. The ablation results show the contextual gain per model family, including the corresponding p-value, effect size and confidence interval, as well as a conclusion that dependency modelling is not redundant. The cross-model comparison does not show a significant difference and is reported as such, and not dropped but rather is considered to be robust across decoder architectures. The case study on a 621 file repository states that all business-critical modules were surfaced, and reveals that class-level detail was stripped away and identifiers anonymised prior to showing the diagram. Scored 2.</t>
  </si>
  <si>
    <t>Whole paper. Section 5, Conclusion, contains no limitation statement; there is no threats-to-validity section and no future work section</t>
  </si>
  <si>
    <t>Scored 0. All the uses of the word limitation in this paper are in the context of previous research or language models, not this research or this approach. No threats-to-validity section, no future work section, nothing of the sort generalisability caveat anywhere. This is a conspicuous absence, in the face of so much that can be said. The participants in the ablation were all chosen to develop and maintain a repository, thus providing the ground truth to which the output was compared. In the second experiment, the same 30 participants took part, which means that it is not independent of the first. The claim of cross-model robustness is based on two sets of models. A single industrial baseline will be compared. The case-study diagram presented as the result was also manually edited before its presentation, a process the paper mentions in passing, but does not consider to be a qualification of the finding. None of this is recognized.</t>
  </si>
  <si>
    <t>Abstract, opening and the paragraph contrasting existing protocols; Section I, Introduction, paragraphs 1-2</t>
  </si>
  <si>
    <t>The problem is defined, measured from a source and then focused to a gap. The complexity of clinical data and the urgency of decisions are cited as barriers to making a quick and accurate decision, and the cost is calculated at the basis of a national report that puts the loss of life in tens of thousands due to preventable medical errors each year. The existing systems are then identified in three specific terms: current decision support protocols are based on static modules or a single agent model, fall short on timeliness, multi-source evidence fusion and confidence calibration, and the proposed architecture is said to address each of the three. Scored 2.</t>
  </si>
  <si>
    <t>Section I; Section II, Methodology, agent descriptions; Section III, hardware, software and dataset descriptions; prototype paragraph</t>
  </si>
  <si>
    <t>Context is provided for the clinical domain, the implementation, and the evaluation material and the detail of the implementation is unusually complete. The architecture is defined as named agents with a distinguished function: retrieval, web search, data fusion, adaptive feedback and optimisation. The execution environment includes what is reported by processor, core count, memory speed, graphics memory, operating system and storage, and the name of the library stack. Each of the three evaluation datasets has its own characteristics: postgraduate multiple-choice, analytical questions based on biomedical articles and practical case-based material. The prototype deployed is a single-page symptom and history interface via REST services with an annotated report, typical case analysis in 2-4 minutes, auditable logs, no persistent patient data and role-based access – synthetic de-identified cases only. Scored 2.</t>
  </si>
  <si>
    <t>Section III, dataset rationale and sample size; metric definitions including the one-vs-all reduction; the a priori similarity threshold; hardware and library statement</t>
  </si>
  <si>
    <t>An explicit design (and this is more careful in metric reporting of this corpus than most). Three sets of data are used together, with a given rationale, and in combination they address a set of knowledge types and reasoning levels, while in comparison to published work with another rationale. 50 questions per dataset is indicated for the sample, with the same settings. Explicit true and false positive and negative counts are used to compute the metrics precisely as micro-averaged precision, recall, F1 and specificity, and as accuracy, while a one-versus-all reduction is explained contribution by contribution for the dataset with five choices. The authors then reveal the consequence of that formulation themselves, which is that micro-precision, micro-recall and micro-F1 are trivially equal to accuracy by construction, thus leaving only specificity as a measure with its own information. A fixed semantic similarity rule is specified with its formula, and the decision threshold is a priori fixed at a specified value, with justification and a held-out development set, for the free-text datasets. The versions of hardware, libraries etc. are mentioned for (re)production, the feedback iteration is limited to a certain number with a given reason, and the runtime complexity is described in terms of retrieved passages and crawled pages. Scored 2.</t>
  </si>
  <si>
    <t>Abstract; Section V, Conclusion</t>
  </si>
  <si>
    <t>Again, the contribution is clearly and equally described in both locations: a multi-layered adaptive architecture of interacting language-model agents, operating in the space of semantic retrieval over a biomedical vector database, complementing it with new information from the web, and triggering a loop of optimisation when confidence is low, contrasted to uncompromising single-agent approaches. Scored 2.</t>
  </si>
  <si>
    <t>Abstract, reported accuracies; Section III, results and Figure 6 worked case; Section IV, ablation findings</t>
  </si>
  <si>
    <t>The results are presented quantitatively for all three datasets at 94, 88 and 84 per cent accuracy and described as improvements on published works. The contribution of components is determined by ablation and the overall conclusion is that modular agent interaction leads to better decision quality. A worked case shows how the mechanism works, it does not just state it: fused data did not meet the confidence threshold at the first evaluation, the suggested directions for queries were returned to the retrieval and web agents, and they re-queried based on that. Operational findings are also reported, with typical cases taking 2-4 minutes and total time increasing linearly with the number of retrieved passages and pages that have been crawled. Scored 2.</t>
  </si>
  <si>
    <t>Section IV, Limitations and Discussion, the full section; Section V, closing limitation paragraph</t>
  </si>
  <si>
    <t>The sole one that occurs in its title, with a special limitations section where five different limitations are named, each with a remedy or a stated residual. The dataset being evaluated is not claimed to represent the spectrum of actual patients, rare cases and complexity in multiple disease states were cited as not being tested. It is accepted that effectiveness is dependent upon the quality and accessibility of external sources to which system refers. It is known that multi-agent design is more costly in terms of computation than the single models, and it can be time consuming in time-sensitive applications. Limits scope by stating that this is a "support" and not a "diagnostic" system and that a decision is still up to the physician. The risk of hallucination is not eliminated, it is said to be "minimized. . . ." and the mitigation is described but not claimed as a solution. The end restates the computational and rare case limitations and suggests that the generalisability should be assessed using the multicentre testing and expert assessment protocols. What is missing here is the small number of fifty questions per dataset, the selection of these questions, and the lack of repeated runs even though there is the acknowledged stochasticity. Scored 2.</t>
  </si>
  <si>
    <t>Abstract, opening sentences; Section I, Introduction, paragraph 2; Section II-A, The fundamental problem</t>
  </si>
  <si>
    <t>The problem is therefore articulated as a complementary deficit and the framing is clearly stated: language models provide flexibility in their reasoning, but they have no physical embodiment, whereas traditional automation systems perform physical processes, but lack cognitive capabilities; neither of these two approaches is enough to enable the adaptive control of industrial processes. The result is that the consequence of an event must be experienced over a long period of time, models cannot directly perceive and affect the real world systems, and so models are constrained to virtual representations of physical assets that connect the two. A special chapter is provided in which the basic problem is stated. Scored 2.</t>
  </si>
  <si>
    <t>Section II, conceptual architecture; Section III, the three layers; Section IV, design paradigms and failure modes; Section V, case setups; Table 1</t>
  </si>
  <si>
    <t>The architecture, the technology and the industrial environment are explored to develop context. The three layers are further detailed in their respective subsections, while the digital twin layer is detailed in three information-modelling paradigms. Failure modes of the technology are listed, as well as countermeasures for each type of failure: Misalignment with user intent; Ambiguous or under-specified input; Mis-match between task and reasoning complexity. The industrial context is real and concrete, with concrete industrial-communication, industrial-asset-administration and robotics standards mentioned in the implementations and the three progressive levels of integration in Table 1 presented side by side with regards to data access, modelling and interaction capability. Scored 2.</t>
  </si>
  <si>
    <t>Section V, three case studies, each attributed to prior publications [12], [10] and [11], and [9]; Section VI-B, laboratory-setup concession</t>
  </si>
  <si>
    <t>Scored 1, at the bottom. The paper poses no research question, defines no measure, states no evaluation protocol and reports no quantitative result. The three case studies that provide the empirical heft are all summarized here from the authors' previous work, and cited accordingly, and therefore the evidence can be found elsewhere and restated here to support the architecture. Their abstract says that they are proof of concept and prototypical demonstrations, and the discussion acknowledges that what's being provided is an architecture of the design and a use case demonstration in a lab environment. The manager and operator agent hierarchy, the task decomposition on two abstraction levels, the data observer that detects from low-semantic field events interpretable events, replanning due to exception events or execution failure, and the multi-agent parametrisation of simulation models, are described and described well, and that is what they are in each case. This is a general description of work and not a design to set up anything, hence the score of 1.</t>
  </si>
  <si>
    <t>Section I, the four-item contribution list; Section VII, Conclusion</t>
  </si>
  <si>
    <t>The contributions are explicitly listed in the introduction and summarized in the conclusion: a three-layer architecture for models, digital twins and physical automation; three paradigm approaches to representation of dynamic system information; realistic use cases for demonstration and concept for evaluative; and a set of practical strategies for dealing with known model failure modes: multi-agent design, human validation, test-driven development. Scored 2.</t>
  </si>
  <si>
    <t>Section IV-B, failure modes with countermeasures; Section VI-A; Section VI-B; Table 1 in Section VI-C; Section VI-D, the four-step methodology</t>
  </si>
  <si>
    <t>The insights are not empirical results, but are specific, structured and usable design guidance. The technology is recommended for applicability for three types of work: knowledge-intensive, flexibility demanding and communicative. An evaluative concept is offered on top of this, along with the realization that such systems are “frontloading” human effort in the development process, and then “returning” it. Table 1 outlines each successive level of integration and what it adds. A four-step development methodology is presented that goes from the definition of tasks and test cases, using automated benchmarking and model-as-judge evaluation, to the multi-agent decomposition of a task if one model is not sufficient, to the addition of knowledge and tools to the models, and finally to iterative refinement focused on the sub-tasks on which model reasoning is more effective. Case descriptions provide details at the mechanism level with a derivation of fine-tuning datasets from operational event logs. Scored 2.</t>
  </si>
  <si>
    <t>Section VI-B, laboratory-setup concession; Section IV-B-3, hallucination and failure-mode discussion; absence of any limitations or threats section</t>
  </si>
  <si>
    <t>Scored 1. No limitations section, no threats-to-validity section, and conclusion declares no limitation. One explicit and well-considered concession is that the paper offers a design architecture and a use case demonstration in a lab environment, and that decisions about the proposed return and the economic viability of integration will need to be made on specific use cases and products development. A fair statement of the main point. Anything else cited as a restriction is about the technology and is in terms of having been dealt with: hallucination, misalignment with user intent, and ambiguity of input and complexity mismatch all have countermeasures. It is important to note that this paper does not assess the three case studies, they are simply summarised from previous publications, nor does it report any measurement.</t>
  </si>
  <si>
    <t>Abstract; Section I, Introduction, paragraphs 2-3; Section III, Motivation and Problem Statement</t>
  </si>
  <si>
    <t>A problem is formulated, quantified based on the industry sources cited and allocated a specific section. Proponents claim that the first few stages of the development life cycle, requirements gathering, planning and system design, rely on manual effort and personal understanding while the later stages are automated leaving unclear requirements and inconsistent documentation/rework downstream. The cost is based on cited statistics: 1. A cost of change curve from a standard source, 2. An industry statistic claiming that approximately seventy per cent of projects do not achieve their initial objectives, and 3. A comparison with deployment and testing, where automation is said to be at approximately eighty per cent. Scored 2.</t>
  </si>
  <si>
    <t>Section II, SDLC process and workflow; Section IV, Problems and Challenges; Section VII, Implementation; Section IX, experimental set-up</t>
  </si>
  <si>
    <t>Context is given for the process, the obstacles and the implementation. Life cycle phases are explained and the initial three are defined as a "bottleneck. In a dedicated section, a list of four obstacles is presented: scalability and computational cost, reliability and model hallucination, security and privacy, and human-AI collaboration. The implementation stack is complete, including an orchestration framework for agents, a commercial model as the reasoning engine, a web interface toolkit for the prototype as the client face, a backend framework for managing prototype states. Scored 2.</t>
  </si>
  <si>
    <t>Section IX, Proof of Concept, opening and set-up; Section IX-A case study; Section IX-C error audit; Section IX-D user feedback</t>
  </si>
  <si>
    <t>Lower, scored 1. The following procedure is described, which keeps it above 0: a component-level validation towards the requirement-gathering agent, a named implementation stack, one worked example in which the unstructured client prompt is given in full, an audit of the five generated specification documents, and a qualitative assessment with the users. Lacking is much of what it would be interpretable. There is no research question asked. The rate of reported hallucinations is around twenty per cent but there is no definition of a hallucination and no denominator to indicate what proportion of what. The user assessment report does not say how many people took part (only a group of students and developers), nor does it specify any instrument behind the single clarity score of eight out of ten. No baseline, no comparison condition, no audit protocol and no statement of who did the audit or on what basis. One case is used up.</t>
  </si>
  <si>
    <t>Abstract; Section V, Methodologies; Section VII, Implementation via CrewAI; Section X, Conclusion</t>
  </si>
  <si>
    <t>It is clearly and consistently stated in the contribution with the concept of Automated Requirement Analysis, Scope Definition and Initial Architectural Modelling in the first 3 phases of the lifecycle, using a Multi-agent Architecture of domain specific agents, where named agent roles are the Requirement-gathering agent and the Supervising manager agent. Marked 2 for "statement of contribution. This is scored as a defect rather than a part of the orchestration, and is recorded in the abstract, but not in the index terms or in the implementation section or in the proof of concept.</t>
  </si>
  <si>
    <t>Section IX-B, case study result; Section IX-C, error rate analysis; Section IX-D, user feedback; Section X, Conclusion</t>
  </si>
  <si>
    <t>The findings reported are very clear and negative is included, to the paper's credit! The worked case is reported when the agent is able to identify the unique roles of the actors in an unstructured non-technical request and generate the output in an engineering format. It seems that the initial drafts produced had an error rate of about 20 per cent hallucinations, and the authors explicitly state that human review and correction is the only way to catch all of these errors, and that human oversight will be needed until the entire loop of the validation is in place. The user assessment rated the clarity as 8/10 and the qualitative assessment was that the output assisted users to overcome an initial stage of resource gathering. Reported 2 for what was found, an unsupported claim from the headline was designated as a defect.</t>
  </si>
  <si>
    <t>Section IV, Problems and Challenges; Section VIII, Risk Analysis; Section IX-C, admission about the manager agent; Section X, Conclusion</t>
  </si>
  <si>
    <t>Scored 1. Two specific problem and challenges and risks are discussed, but not related to the limitations of this study, but rather technology and the deployment environment generally, and the result is that the conclusion is that the technology is modular design &amp; enforced human oversight as effective solutions to mitigating the problems/challenges/risk. Only one study shortcoming is admitted, and it is a significant one, and it happens in passing within the results: the manager agent was reported at the architectural proposal stage; this means that the multi-agent coordination, and paper's contribution, was not used in the evaluation, and the error rate is reported subject to human correction. There is no indication of how big the evidence is (five documents), how many participants are involved (one case and an unspecified number), or that the central claim is unmeasured.</t>
  </si>
  <si>
    <t>Abstract; Section I, Introduction, paragraphs 1-3</t>
  </si>
  <si>
    <t>The problem is stated, instantiated and given a real world consequence. The safety requirements are defined by several stakeholders with non-coordinated goals resulting in gaps, duplications and contradictions, which pose a danger to safety and adherence to regulations; current methods are described as informal and inadequate. A concrete failure mode is identified, an undefined drift tolerance for an inertial navigation system and the implications of the failure are followed through to operational error and the lack of ability to verify performance. A cited commercial aviation accident is given to demonstrate that there is no hypothetical problem. Scalability argument is clearly stated: It can't be scaled to detect contradictions and gaps in hundreds of requirements manually. Scored 2.</t>
  </si>
  <si>
    <t>Section I, safety and modelling background; Section II, Related Work; Section III, the framework; Section IV, drone safety context with Figure 4</t>
  </si>
  <si>
    <t>There is development of context on three fronts. The distinction of functional from probabilistic safety requirements and the definition of what a safety architecture does, mapping the requirements to functions and integrating protective mechanisms, is the safety engineering context. The modelling context includes model-based systems engineering and model-based safety analysis and specifies the modelling paradigm being used, which unites structural and behavioral modelling in one. The application context summarizes the safety issues specific to the selected system, including cyber security risk exposure, physical collision risk, surveillance privacy and weather adverse, and provides a high-level safety architecture as an illustration. Scored 2.</t>
  </si>
  <si>
    <t>Section IV, phased application; classification expectations and consistency measurement; prompt refinement paragraph; Section V-C, run protocol and temperature setting; Table 1</t>
  </si>
  <si>
    <t>An explicit design, and one of the few in the corpus where the non-determinism is dealt with in a protocol, not just a remark. Requirements are addressed prior to measurement; each requirement was anticipated to be classified into a known safety function, and was expected to be functional or probabilistic. Performance is then compared to those expectations, and a consistency of 71.42 per cent is achieved. It is carried out in a number of stages with a given scale, increasing to 110 at the higher level of analysis, and each iteration of the exercise is repeated, adding one requirement at a time to see how the behaviour changes as it is added. These four changes to the prompt are explained as follows:These 4 changes to the prompt are explained below: Non-determinism is directly matched by setting temperature to 0 to get as deterministic of an answer as possible, dozens of runs were performed, and answer stabilisation was studied for an increasing number of runs, up to 40, and trade-offs with response time and token limits were stated. Scored 2.</t>
  </si>
  <si>
    <t>Abstract, the four enumerated outputs and the methodological claim; Section III; Section V</t>
  </si>
  <si>
    <t>Four outputs of the framework are explicitly listed, namely mapping requirements to system functions, finding functions where the requirement specification is not adequate, finding duplicate requirements and finding contradictions in requirement sets. In addition, there is a methodological claim that is also expressed as a contribution: Generative models need to be supplemented by formal models and systematically queried to generate meaningful early-stage specification of safety requirements. Scored 2.</t>
  </si>
  <si>
    <t>Section IV, consistency result and diagnosis; refinement outcome; Table 1; Section V-C, scale observation</t>
  </si>
  <si>
    <t>The surprising and commendable first failure is reported as finding. The first figure of 71.42 per cent is reported and then explicitly judged to be a failure, rather than it being presented as a success. The cause is diagnosed instead of left open: classification seems to depend on comparison with related requirements and too little context seems too little, too much context too confusing and misleading. The effect of the refinement is also reported honestly, as 18 of the requirements end up in the dummy ambiguous category and the authors investigate why, part of it being the poorly formulated requirements. The coverage results are reported for each function and indicate an explicit complete or missing verdict with five functions having a missing verdict. A scaling effect was reported and this effect was amplified with the number of requirements. Scored 2.</t>
  </si>
  <si>
    <t>Section V-C, Limitations of the Current Study, the full section; Section V-B; human-machine balance and domain-transfer paragraphs</t>
  </si>
  <si>
    <t>A well written, substantial limitations, and the limitations are stated explicitly, not gestured at. It is acknowledged that effectiveness relies upon a keyword match, and requirements that do not match predefined keywords are likely to remain undetected. Contradictions are finally recognized as depending on the architect's judgment, and human error is cited as the result. The classification inconsistencies in initial evaluation are reiterated as a limitation, not included in the results. There are indications that the results are not generalizable to other autonomous systems. Explicit and described: The evidence base is explicitly bounded: 110 requirements, which are medium sized and adequate to support a functional demonstration on a relatively familiar system; and intention to test on projects of thousands of requirements. Specifically, the following five future studies are listed: 1) to find an optimal batch size without compromising on consistency; 2) to feed back the classifications validated by experts to correct earlier classification errors by the model; 3) to extend from pairwise to higher order contradiction search. Domain transfer discussed with conditions attached; it is concluded that it's not a matter of reusing as is, but of carefully adapting out of safety-critical systems. The Human role is explicitly called out as strongly recommended and inescapable. Scored 2.</t>
  </si>
  <si>
    <t>Abstract; Section I, Introduction, paragraphs 1-2</t>
  </si>
  <si>
    <t>The problem is decomposed into five specific problems which are, defining the appropriate service boundary, maintaining the architectural consistency across the services, dealing with communication between different services and the consistency of data in each service, adding proper security measures and maintaining the code quality and maintainability over time. The drawbacks of the manual approach are identified as longer development time, ever increasingTechnical Debt, inconsistencies and missed vulnerabilities, and the amplifying context is distributed deployment on container orchestration. Scored 2.</t>
  </si>
  <si>
    <t>Section I; Section II, Related Work; Section III-C, environment and technology stack; Section IV with Table I</t>
  </si>
  <si>
    <t>A context is concrete and the stack is completely named. The system being studied is a multi-service architecture, with service-to-service communication, persistence, caching and API exposure, built atop a named application framework, a relational database and cache, with stateless RESTful interfaces exposed, and deployed under a container orchestration system. The development and validation infrastructure is also detailed including version control, continuous integration, static application security testing, industry security checklist, code quality platform and containerisation. The authorisation service is documented endpoint by endpoint with its method, purpose and security controls. Scored 2.</t>
  </si>
  <si>
    <t>Section III-A, Research Design; Section III-C, fairness controls and metrics; Section V, cohort description</t>
  </si>
  <si>
    <t>The design is explicitly described and is a real comparison and not demonstration. The following five cohorts are identified: a basic cohort (Humans Only), a cohort that gets chat support, and three cohorts that get independent agent implementations with three different and named commercial versions. Controls were stated, infrastructure was the same, repository, prompts and test suites were the same across all cohorts, and all cohorts performed the same validation pipeline with unit and integration testing, static security analysis, a security checklist, code quality analysis and container validation. The baseline is expressed at the 9 day. There are 5 evaluation metrics and 4 analysis dimensions. Scored 2. The two gaps are not hidden by the score in the paper, but they are not defined anywhere: two of the five headline metrics are never defined anywhere in the paper, so neither can be reproduced nor interpreted; the other is one implementation per cohort, without repetition, which means that every number reported is one observation.</t>
  </si>
  <si>
    <t>Abstract; Section I, closing paragraphs; Section VI, Conclusion</t>
  </si>
  <si>
    <t>The contribution is clearly expressed in the form of an empirical analysis of multi-agent AI-aided workflows for the design and validation of complex microservices architectures, highlighting the comparative aspect: outputs generated by the various agents and models are systematically compared to each other and to human and chat-assisted outputs. Scored 2.</t>
  </si>
  <si>
    <t>Section V, Empirical Results with Tables IV and V; Figures 6 and 7</t>
  </si>
  <si>
    <t>More comparative evidence than most of the studies in this set provide, findings are reported quantitatively across all five cohorts and all five metrics. Development time drops down from nine days for human baseline to five with chat assistance and about two days per agent cohort. The measure of Maintainability and Code Coverage is monotonically increased from human to chat-assisted to agent-generated while the security measure is monotonically decreased. Variability among agents is not smoothed out, one is the fastest and the other the more consistent according to quality measures. The security narrative is specific, pointing out that the human implementation has problems because it's inconsistent and the cohort with chat has problems because they rely on humans for assistance. Reported 2 for the scoring; internal contradictions of prose and tables are reported as defects.</t>
  </si>
  <si>
    <t>Section III-C, the validity paragraph; absence of any limitations or threats section</t>
  </si>
  <si>
    <t>Scored 1. A brief validity paragraph is present, which states that internal validity was achieved in the controlled environments and identical requirements, while construct validity was supported by standard tooling from the industry and by the fact that the model capability is continuously updated, and two valid "cautions": that results may differ with the quality of the prompt; that results may differ depending on the configuration of the agent; and that results may vary depending on the evolution of the model capabilities; that it is necessary to evaluate the results on larger distributed architectures before generalising them broadly. That isn't just a fleeting comment, it keeps it above the floor. There is no limitations or threats section, two validity categories are stated as having been ensured rather than analysed, and the most important features of the study are left unsaid, such as a single implementation per cohort (no repetition), a human baseline of nine days (one unreplicated measurement), no indication of who did the human implementation or who evaluated it, and two headline metrics that are never defined.</t>
  </si>
  <si>
    <t>Abstract; Section 1, Introduction, with six research questions</t>
  </si>
  <si>
    <t>The challenge here is to recover the trace links between architecture documentation and source code, the gap is quantified against the existing state of the art, and the problem is that creating these architecture models manually is time consuming. The disparity is accentuated by the baseline itself: the best baseline approach is to manually build models, and currently achieves an F1 score of 0.87, the question being whether it is possible to achieve something similar without manually building models. Six research questions are then stated, in two groups, covering both proposed approaches and their combination. Scored 2.</t>
  </si>
  <si>
    <t>Section 2, Related Work and Foundations, four subsections; Sections 3 and 4, the two approaches; Section 5.1 with Table 1</t>
  </si>
  <si>
    <t>Before any approach is introduced, four literatures about transitive trace links, language models for traceability, named entity recognition, and architecture recovery are developed. Evaluation material is characterized project by project, ranging from 50 to 8,240 sentences of documentation, 6 to 14 models, and 18 to 52 models to documentation, as well as 97 to 1,979 files of source. Scored 2.</t>
  </si>
  <si>
    <t>Section 5.1, data, metrics and models; Section 5.2, six baselines; Section 5.6, non-determinism protocol; replication packages cited as [20] and [21]</t>
  </si>
  <si>
    <t>The most explicit and full evaluation design in the corpus. The same metrics are used for the same reason because an established benchmark with published ground truth is reused on purpose, which enables the results to be compared directly with the previous state of the art. The formulas for Precision, Recall and F1 are provided with True Positive, False Positive and False Negative, all of which are defined against the gold standard. Two types of averaging are used with explanations for each type, one giving expected per-project performance and the other giving expected performance per link with the gold-standard links weighted the most. Each of eight models (five commercial and three locally deployed open weight models) is evaluated and compared against six baselines, including the manual-model approach the work seeks to replace. Non-determinism is addressed in three ways: temperature set to 0, fixed seed for each run and, when this is not enough due to longer prompts and structured output formatting, repeated runs represented as means and standard deviations. Each pipeline stage is assessed separately and together to allow the contribution of each to be isolated. Two packages of replication contain coding, prompts and responses. Scored 2.</t>
  </si>
  <si>
    <t>Abstract, the extension statement; Section 6, Conclusion</t>
  </si>
  <si>
    <t>The contribution is clearly stated and in an unusual development for an extension on a conference paper, the delta on the previous paper is broken down, a second new method is developed, and an extended evaluation of the original method and combined assessment of both methods. Relationship to the last publication is stated in the abstract and not implied by the reader. Scored 2.</t>
  </si>
  <si>
    <t>Abstract, headline comparisons; Section 5.3 and 5.4, results; Section 5.5; Section 6, Conclusion</t>
  </si>
  <si>
    <t>Findings are quantitative and compare to six baselines and reported against authors own interest when the evidence requires it. The headline result is that the approach doesn't require manual models to reach 0.86, compared to 0.87 for the approach that does require them, and that the latter approach is equal to the heuristic it is supposed to supersede. It is not the average but model-level differences which are reported. Most importantly, the conclusion indicates a metric that decreases with the proposed solution: The average recall drops from 0.77 to 0.87 and the average F1 from 0.80 to 0.85, while the weighted recall drops from 0.93 to 0.83 and the cause is diagnosed as projects with many links. It is not common in this corpus to report a metric that goes against the contribution, and to explain this. Scored 2.</t>
  </si>
  <si>
    <t>Section 5.6, Threats to Validity, four categories following two cited guideline sets</t>
  </si>
  <si>
    <t>The most comprehensive threats treatment in the corpus, based on general case study guidelines and, independently, guidelines for experiments involving language models. Construct validity refers to the dataset bias, prompt selection and metric selection, and acknowledges that the selection of prompts, as the study is designed not to optimise prompts, represent a threat to findings. Internal validity explicitly states that error propagation is a problem in the combined pipeline, and that some of the stage names are imprecise, which may lead to a loss of matches or misattribution of the matches in the second stage, mitigated by the evaluation of each stage independently and together. External validity refers to the small number of projects, the open source nature of the benchmark, the lack of model diversity and data leakage from closed models with unknown training data mitigated by releasing code, prompts and responses and by also deploying locally, while doing so. Non-determinism is considered a danger in itself and the honest confession that the temperature cannot be set to the latest model family is warranted: Even setting the temperature to zero, the second approach is different, and that's why repeated runs with standard deviations are reported. Reliability ends with the admission that there may be imperfect gold standards that already exist. Scored 2.</t>
  </si>
  <si>
    <t>The problem is phrased in terms of two specific consequences rather than in general terms. Current medical agent systems are based on pre-designed workflows created by domain experts and work well in limited situations, but can't cope with complex real-world diagnostic situations. The two expenses are referred to as: redesigning an existing workflow takes a lot longer and more effort when diagnostic methods improve or new imaging modalities emerge; when a new task or scenario comes along, a new workflow needs to be created, which is less scalable and requires more time to implement. The analogy used to motivate this automated machine learning is clearly expressed. Scored 2.</t>
  </si>
  <si>
    <t>Section 2, Related Work, two subsections; Section 3, Methodology and search space; Section 4.1, dataset descriptions and implementation details</t>
  </si>
  <si>
    <t>Context is given for the literature, the method and the data, and the data description is precise. These two dermatological image datasets are distinguished by origin, size and class structure, the first of which is an extension of the published skin disease dataset to 3,230 images, each of which is labeled with 48 clinically relevant concepts, and the second a synthetically augmented set of 2,394 images across six skin disease classes, with 399 images per class. For both, splits are explicitly listed, along with the reasoning behind the balancing, two test images for each disease type in the first case, and twenty images for each disease type in the second. The implementation is defined at the level of the orchestration library that it extends, the pre-trained vision-language model adopted for feature extraction, and the vector database that is adopted for the similarity search. Scored 2.</t>
  </si>
  <si>
    <t>Section 4.1, Experimental Setup: datasets and splits, data exclusion paragraph, baselines, implementation details, evaluation metrics; Section 4.3, ablation tables</t>
  </si>
  <si>
    <t>Explicit and complete. In addition to being cited, three baselines are implemented and described: direct diagnosis without intermediate reasoning, chain-of-thought prompting, and a multi-agent deliberation framework, where agents take turns making improvements to a common solution. Three models used and documented by exact dated versions. Sampling parameters are reported with reasoning and temperatures are set at 1.0 to promote multiple lines of thinking and the random seed is fixed and reported. The training, validation and test procedure is described, workflow is refined with diagnostic outcomes, validated after each batch and the final workflow is evaluated once on the held out test set. The metrics are Top-1, Top-3 and Top-5 accuracy against the ground-truth labels. The contribution of each operation and each operation combination is isolated using two ablations. The most creditably, the data exclusion is explicitly described – a number of pictures were filtered out by the content moderation of the model itself because they showed a sensitive body part, some of the pictures had broken source links and the authors mention how many images were actually rejected and why. Scored 2.</t>
  </si>
  <si>
    <t>Abstract; Section 1, closing paragraphs; Section 5, Conclusion</t>
  </si>
  <si>
    <t>The contribution is clearly outlined and scope is precisely claimed: a hierarchical search space is used to facilitate structured modification at node level, structural level and framework level and agents are represented as graph-based architectures composed of typed functional nodes and are improved iteratively based on the diagnostic feedback. The novelty claim is fully expressed since the first fully automated framework for medical agent architecture design. Scored 2.</t>
  </si>
  <si>
    <t>Section 4.2, Results with Table 1 and Figure 4; Section 4.3, Ablation Analysis with Tables 3 and 4</t>
  </si>
  <si>
    <t>Findings are quantitative, not just one across the three baselines, but also across the three models and two datasets, and the ablation results in a truly nuanced finding, not a uniform finding. It is observed that the accuracy improves with each iteration of evolution and the convergence is a sign of stabilisation. The cost of disabling each operation is shown in the drop column for the entire model in each cell, and the ablation shows that removing the prompt modification has the largest negative impact, followed by removing the tool node addition, and finally removing the node removal with a near-zero impact in terms of accuracy. Then the authors make the correct distinction, drawing from that last result: that the removal of nodes aids efficiency (not accuracy) of execution by eliminating redundancies, which is exactly the distinction between two things that one accuracy metric would not have made. Scored 2.</t>
  </si>
  <si>
    <t>Whole paper. No limitations section, no threats-to-validity section, no future work section, and no generalisability statement anywhere</t>
  </si>
  <si>
    <t>Scored 0. In this paper, the word limitation refers to either a rigid handcrafted workflows which the work is replacing or a technical limitation solved within the method. No restrictions are mentioned about the study itself, and there are considerable omissions. The evaluation is limited to one clinical domain (e.g., eating), one imaging modality (e.g., MRI), and the framework is stated as general. Test sets are of small size (224 and 120 images). The absolute accuracy is not high and the claimed improvements are over a weak base, which is never discussed. The sampling temperature intentionally is raised to allow for multiple lines of reasoning, but there is no repetition or variance reported on the single seed used. There are 50 images for the training split. The images excluded from the platform under the ground rules for content moderation but made public earlier are also a potential selection effect on which conditions could be tested, as they were disclosed as a processing step, but not subject to a test.</t>
  </si>
  <si>
    <t>Section 3, The Problem (pp. 337-338); Abstract (p. 335); Section 1, Introduction (pp. 335-336)</t>
  </si>
  <si>
    <t>Scored 2. The problem is given its own numbered section, which was not noted on the first pass. Section 3 contends that as systems grow, functional, non-functional and regulatory requirements become interdependent, conflict and are not scalable by manual design, which results in design delays, high costs and rework. It provides practical trade-offs, performance against non-functional requirements and maintainability and regulatory constraints, and also gives concrete examples of design innovation. A second thread runs: when stakeholder validation is continuous, it is costly at scale, and the nuances of dependencies are not validated. The abstract and Section 1 motivate the same problem of cost and error prone of manual design. No, the problem is called, it is not only referenced, it is also motivated and placed in its own section. The whole of Section 3 is on supplied pages and 2 is the ceiling, so the missing pages cannot change this item.</t>
  </si>
  <si>
    <t>Section 1 (pp. 335-336); Section 2, Related Works (pp. 336-337); Section 3 (pp. 337-338); Section 4.1 (p. 338); Fig. 3 (p. 341); Sections 4.3 and 4.4 with Figs. 4 and 5 (pp. 341-343); Section 5 with Figs. 6 and 7 (pp. 344-345)</t>
  </si>
  <si>
    <t xml:space="preserve">Scored 2. The design context is not sketched, but is written out in named parts. Section 4.1 identifies four types of design input: the goals that should be met in the design, functional requirements (as use cases), non-functional requirements (as quality attribute scenarios), and the regulatory, budgetary and dependency constraints. The eight-step attribute-driven design process that consumes them is presented in Fig. 3, and documented in Section 5 with Figs. The trade-off analysis method, the drivers, scenarios, decisions, sensitivity points and risk themes are defined in 6 and 7. The technical context is also clear: a pipeline of neural networks, self-attention and reinforcement learning from human feedback (Section 4.3, Fig. 4); a retrieval-augmented pipeline with a knowledge base of patterns, principles, industry requirements and prior solutions, a vector store and approximate nearest-neighbour search (Section 4.4, Fig. 5). Section 1 describes the context of the surrounding technology, and Section 2 the stakeholder, constraint and ethics literature. Not 1... because the setting is broken down and each is explained. </t>
  </si>
  <si>
    <t>Section 5, Testing Scenarios, all paragraphs, with Figs. 6-8 (pp. 344-345); Sections 4.3 and 4.4 (pp. 341-343); absence of any method section or research question.</t>
  </si>
  <si>
    <t>The item most in need of a second opinion, and scored from an incomplete source (10 of the 15 pages, printed 335 to 349; 339, 340, 346, 347 and 349 are absent). Not 0, but 1: Section 5 provides a general description of the validation of the approach, which is implemented via the trade-off analysis method, where the model performs the initial analysis of the quality attribute scenarios and uses priorities and previously made decisions to point out problem areas (Figs. There is the "process of design" (6 and 7) as well as a feedback and fine-tuning loop where architects compare the generated solutions to the requirements (Fig. 8). The approach itself is described in general terms in sections 4.3 and 4.4, which describe language-model support to the stages of the SEI design process, and a retrieval-augmented knowledge base, respectively. The calibration reserves 0 for a paper with no record of any of its work, and this chapter has something. Scored 1, not 2: there is no research question, there is no model, dataset, setting, participant, procedure or measure identified, and the writing of the validation is in the language of possibility; what it is written as is how validation could be done, not how it has been done. This is the lowest 1, which is below S9 and near S1, where a claimed experiment was also claimed rather than demonstrated.</t>
  </si>
  <si>
    <t>Abstract (p. 335); Section 4.3, closing paragraph (pp. 342-343); Section 4.4 (p. 343); Section 5 with Fig. 7 (pp. 344-345); Section 8, Conclusions (p. 348)</t>
  </si>
  <si>
    <t xml:space="preserve">Scored 2. The abstract summarizes in three named parts what the chapter offers, automates the interpretation of the requirements, generates solution options, and then iteratively improves with stakeholders as part of the process, using language models and retrieval augmentation as the means; the conclusions repeat the abstract. The body proposes the steps of the SEI design process one by one: language-model support for each step, with a loop of human feedback added (Section 4.3); a knowledge base that is retrieved (Section 4.4); and a variant of the trade-off analysis method in which a model carries out the analysis and produces a report (Fig. 7). </t>
  </si>
  <si>
    <t>Abstract, preliminary findings and the 40 per cent statement (p. 335); Section 5, initial results (p. 344); Section 8, Conclusions, first and second paragraphs (p. 348)</t>
  </si>
  <si>
    <t xml:space="preserve">When the calibration rule states that 1 should be used for studies that have actually had no empirical or reported result, but only a thin one, scored 2. Results are reported as such: in the abstract, preliminary results point to the fact that the use of AI can speed up the design review process by up to 40 per cent, with a low impact on costs; in Section 5, initial results confirm that the use of the trade-off analysis method combined with the use of AI validation has reduced the design review process up to 40 per cent; and in the conclusions, it is stated that results to date indicate a reduction in design time by up to 40 per cent, while retrieval-based models enable architects to rapidly try out design options. This study is not a premise-based study, which is what distinguishes it from S23. Then, the one outcome that it presents changes its referent every time it is used, (design time through retrieval augmentation; design review time with AI driven tradeoff analysis; design time with two terms that the conclusions never define), so what was learned is not ascertainable, and the rest of the sentences are vague. Both of these are entered in the notes cell, and since they are not deducted from the score of the paper, they are not considered findings about the paper but rather deductions from it. </t>
  </si>
  <si>
    <t xml:space="preserve">Abstract, final sentence (p. 335); Section 8, Conclusions, second and third paragraphs (p. 348); absence of any limitations or threats section. </t>
  </si>
  <si>
    <t xml:space="preserve">The abstract says that it will continue to work on retrieval accuracy, explainability of retrieved results and validation procedures, and the conclusions reiterate that. That's a general statement that the approach and that validation are not yet finished, as with S3 and S9, which concede that, but S14 or S21, nothing. Scored 1, not 2: there is no concrete statement here that this is limited to this study, and the one with some specificity that data privacy, transparency and bias should be carefully controlled is regarding the technology in general. </t>
  </si>
  <si>
    <t>Abstract; Section I, Introduction; Section III, problems P1 to P4</t>
  </si>
  <si>
    <t>The problem is quantified from a cited source, decomposed, and argued. The scale is established with a cited projection of the global cost of cybercrime. The limitations of penetration testing are then enumerated with citations for each: breaches found late in the lifecycle when they are expensive and difficult to fix, heavy dependence on the individual tester’s experience and creativity, and being time-consuming, skill-intensive, focused on known attacks and bounded by budget. Four problems are named formally, the fourth being the absence of design-level feedback for software architects. The connecting argument is stated explicitly, that most of these limitations arise from design flaws and poor architectural decisions that only surface later, when correcting them may require substantial architectural change. Scored 2.</t>
  </si>
  <si>
    <t>Section II, Background, three subsections; Section IV, metamodel and resource collections; Section VI, Related Work</t>
  </si>
  <si>
    <t>Context is given for the security practice, the modelling substrate and the technology. Penetration testing, threat modelling and language models each receive a background subsection, with threat modelling motivated by the principle that the earlier a problem is found the cheaper it is to fix. The architectural substrate is named as a well-established description language, with an explicit scope note that the approach is not restricted to it and applies to any model describing structure and behaviour. Three public vulnerability and attack-pattern collections are named and each defined. Related work situates the plan against several named architectural attack-analysis approaches. Scored 2.</t>
  </si>
  <si>
    <t>Section IV, Research Plan, research questions and preliminary strategies with Fig. 1; Section VII, evaluation plan</t>
  </si>
  <si>
    <t>Scored 1. A plan is described at a reasonable level: three research questions stated in full and mapped onto development phases in a figure, three strategies proposed for the first question, and an evaluation approach specified as case-study-based in the autonomous vehicle domain, measuring accuracy, precision and recall and benchmarking against similar existing methods. One design choice deserves particular credit and is unusual in this corpus: the plan is to build a non-model algorithm first, driven by the public weakness and attack-pattern collections, and to use it as the comparison baseline before introducing a language model, with the prior question of whether models contribute beneficially at all named as something to be examined rather than assumed. What prevents a higher score is that none of it has been carried out. No model is run, no dataset is named, no procedure is executed, no measure is applied and no result is reported, so what exists is a design for future research rather than a description of research done.</t>
  </si>
  <si>
    <t>Abstract; Section IV opening; Section VII, Conclusion</t>
  </si>
  <si>
    <t>The contribution is stated explicitly and in three parts that recur consistently across the abstract and conclusion: generating architecture-based penetration test cases, using them to evaluate and compare the attack surface of alternative architectures, and feeding the result back to support architects in making secure design decisions. The novelty claim is stated and bounded to the authors’ knowledge, that this would be the first use of language-model technology specifically for generating penetration test cases from architectural models. Scored 2.</t>
  </si>
  <si>
    <t>Section V, Benefits; Section III, analytical conclusions; absence of any empirical result</t>
  </si>
  <si>
    <t>Scored 1, and this is the first study in the set to fall below full marks on this item. The paper reports no findings, because nothing has been carried out: there is no experiment, no case, no data and no measurement anywhere. What it does offer is analytical rather than empirical: the diagnosis that penetration-testing limitations are consequences of design decisions, the judgement about which of the four identified problems can be addressed at design level, the methodological recognition that a baseline without a language model is needed before any benefit can be attributed to one, and a dedicated section setting out the expected industrial and academic benefits of the work. Those are the premises and the motivation of the research rather than its insights, which is why the score is 1 rather than 2.</t>
  </si>
  <si>
    <t>Section IV, the open question on model benefit; absence of any limitations or threats section</t>
  </si>
  <si>
    <t>Scored 1, at the lower end. There is no limitations section and no threats-to-validity section, and the conclusion states no limitation. One genuine acknowledgement is present and it is a substantive one: the author writes that the question of whether language models can contribute beneficially to generating architectural penetration test cases should itself be examined, and designs the non-model baseline accordingly. That is an explicit admission that the central premise of the work is unproven, which is more than many completed studies in this set concede. What is absent is any acknowledgement of the limitations of the plan itself, including that nothing has yet been executed, that the evaluation is confined to a single application domain, and that no threat to the planned case study is considered.</t>
  </si>
  <si>
    <r>
      <t>Thematic synthesis of primary research is performed, using the suggested process of Cruzes and Dyb are (2011) thematic synthesis in software engineering: extract data, code the extracted data, translate the codes into themes, develop a model of higher level themes, and evaluate the credibility of the synthesis. The analytic work is organized into the steps in the six-phase structure of Braun and Clarke (2006). The analysis is deductive at the level of theme and inductive at the lower levels. The themes were not discovered and were predetermined in terms of content, thus the structure of the themes is not an option and finding. Three passes (one per descriptive research question) were used in the first pass; the study has six passes (T1 answers RQ1, T2 and T3 answer RQ2, T4, T5 and T6 answer RQ3). Both are deductive on level of themes; the mapping of its themes and sub-themes are discussed in Themes and sub-themes. The data were structured into codes and sub-themes: a code book was created based on a two-study pilot, which was then applied to all other studies, new codes were created and old ones were merged as the corpus was processed, and the sub-themes were then formed by clustering codes instead of defining them at the start. This is a code-book methodology in the three-way typology of thematic analysis established by Braun and Clarke (2021): a structured code book and themes determined early, used by more than a single coder but without measuring inter-coder agreement which is a characteristic of coding-reliability thematic analysis. It is referred to as Braun &amp; Clarke (2006) as having a six-phase sequence, which is merely an organising structure of the analytic work, which that paper is authorized to permit in theoretical and deductive discussions and critique. Under '</t>
    </r>
    <r>
      <rPr>
        <b/>
        <sz val="12"/>
        <color rgb="FF000000"/>
        <rFont val="Times New Roman"/>
        <family val="1"/>
      </rPr>
      <t>Validation'</t>
    </r>
    <r>
      <rPr>
        <sz val="12"/>
        <color rgb="FF000000"/>
        <rFont val="Times New Roman"/>
        <family val="1"/>
      </rPr>
      <t xml:space="preserve"> how the code book was implemented and how conflict was solved is documented.</t>
    </r>
  </si>
  <si>
    <t>Related codes are clustered by sub-themes; themes are the broad structure which will respond to the research question or a single facet of it. Design applies six themes with T1 answering RQ1, T2 and T3 answering RQ2 and T4, T5 and T6 answering RQ3. 
Six themes: RQ1 is answered by T1, RQ2 by T2 and T3, RQ3 by T4, T5 and T6 with 20 sub-themes.
T1. LLMs Application / Usage for Architecture Design (RQ1)
    1.1 Architecture generation and synthesis from requirements
    1.2 Design decision support: pattern, tactic and technology recommendation
    1.3 Architecture documentation, decision records and rationale capture
    1.4 Architecture analysis, recovery, conformance and smell detection
    1.5 The role assigned to the model: assistant, co-designer or autonomous agent
    1.6 Reported benefits in practice
T2. Techniques for Optimization (RQ2)
    2.1 Prompting strategies: chain-of-thought, few-shot, role and self-refinement
    2.2 Knowledge grounding: RAG, knowledge graphs and architecture repositories
    2.3 Fine-tuning, model adaptation and multi-agent orchestration
T3. Techniques for Evaluation (RQ2)
    3.1 Evaluation designs: benchmarks, case studies, expert judgement, experiments
    3.2 Metrics and quality criteria used to judge generated architectures
    3.3 Cost, latency and reproducibility of the reported setups
T4. Emerging Trends (RQ3)
    4.1 From single-prompt assistance towards agentic and multi-agent architecting
    4.2 Integration with model-driven engineering and formal artefact generation
    4.3 Human-AI collaboration and the changing role of the architect
    4.4 Movement from design-time assistance towards runtime and continuous architecting
    4.5 Trust, governance and responsible adoption in industrial settings
T5. Limitations (RQ3)
    5.1 Reported limitations in practice
    5.2 Reported reliability problems: hallucination, inconsistency, non-determinism
T6. Challenges (RQ3)
    6.1 Open challenges and stated future work</t>
  </si>
  <si>
    <r>
      <t xml:space="preserve">In </t>
    </r>
    <r>
      <rPr>
        <b/>
        <sz val="12"/>
        <color theme="1"/>
        <rFont val="Times New Roman"/>
        <family val="1"/>
      </rPr>
      <t>'SAS extension'</t>
    </r>
    <r>
      <rPr>
        <sz val="12"/>
        <color theme="1"/>
        <rFont val="Times New Roman"/>
        <family val="1"/>
      </rPr>
      <t xml:space="preserve"> sheet, RQ4 is answered. It is not done by coding of the primary studies. Primary studies are about large language models (LLMs) for software architecture design support in general but they are not about self adaptive software systems (SASS). Every sub-theme that is developed based on RQ1 to RQ3 is carried forward and its analysis is done based on the requirements of SASS. Details about our idea of extension of studies towards SASS is also given in </t>
    </r>
    <r>
      <rPr>
        <b/>
        <sz val="12"/>
        <color theme="1"/>
        <rFont val="Times New Roman"/>
        <family val="1"/>
      </rPr>
      <t xml:space="preserve">'StudyWise_SAS_Extension'. </t>
    </r>
    <r>
      <rPr>
        <sz val="12"/>
        <color theme="1"/>
        <rFont val="Times New Roman"/>
        <family val="1"/>
      </rPr>
      <t xml:space="preserve">An answer is not pegged on MAPE-K alone but each study is read off against MAPE-K, Rainbow, and Models@run.time, and on one side a model or the other. According to study: The locus of the architecture object; that breaks down to a SASS, to be expressed as a named property; reading framework with link grade; the best fit and why others do not fit. Where applicable, other models are also suggested in support; for instance self-management systems, as the references are given:
- MAPE-K feedback loop: Kephart, J.O. &amp; Chess, D.M. (2003). The Vision of Autonomic Computing. Computer, 36(1), 41-50. DOI 10.1109/MC.2003.1160055
- Rainbow (architecture-based self-adaptation): Garlan, D., Cheng, S.-W., Huang, A.-C., Schmerl, B. &amp; Steenkiste, P. (2004). Rainbow: Architecture-Based Self-Adaptation with Reusable Infrastructure. Computer, 37(10), 46-54. DOI 10.1109/MC.2004.175
- Models@run.time: Blair, G., Bencomo, N. &amp; France, R.B. (2009). Models@run.time. Computer, 42(10), 22-27. DOI 10.1109/MC.2009.326
- Three-layer architecture for self-managed systems: Kramer, J. &amp; Magee, J. (2007). Self-Managed Systems: an Architectural Challenge. Future of Software Engineering (FOSE ’07), 259-268. DOI 10.1109/FOSE.2007.19
- FORMS reference model: Weyns, D., Malek, S. &amp; Andersson, J. (2012). FORMS: Unifying Reference Model for Formal Specification of Distributed Self-Adaptive Systems. ACM Transactions on Autonomous and Adaptive Systems, 7(1), 1-61. DOI 10.1145/2168260.2168268
- EUREMA (executable runtime megamodels): Vogel, T. &amp; Giese, H. (2014). Model-Driven Engineering of Self-Adaptive Software with EUREMA. ACM Transactions on Autonomous and Adaptive Systems, 8(4), 1-33. DOI 10.1145/2555612
- ActivFORMS (active formal models): Iftikhar, M.U. &amp; Weyns, D. (2014). ActivFORMS: Active Formal Models for Self-Adaptation. Proceedings of SEAMS 2014, 125-134. DOI 10.1145/2593929.2593944
- Dynamic software product lines: Hallsteinsen, S., Hinchey, M., Park, S. &amp; Schmid, K. (2008). Dynamic Software Product Lines. Computer, 41(4), 93-95. DOI 10.1109/MC.2008.123
- Control-theoretic adaptation: Filieri, A., Maggio, M., et al. (2015). Software Engineering Meets Control Theory. Proceedings of SEAMS 2015, 71-82. DOI 10.1109/SEAMS.2015.12
- Requirements-driven adaptation (awareness requirements): Souza, V.E.S., Lapouchnian, A., Robinson, W.N. &amp; Mylopoulos, J. (2011). Awareness Requirements for Adaptive Systems. Proceedings of SEAMS 2011, 60-69. DOI 10.1145/1988008.1988018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</si>
</sst>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charset val="1"/>
    </font>
    <font>
      <sz val="11"/>
      <color theme="1"/>
      <name val="Arial"/>
      <family val="2"/>
      <charset val="1"/>
    </font>
    <font>
      <sz val="16"/>
      <color theme="1"/>
      <name val="Calibri"/>
      <family val="2"/>
      <charset val="1"/>
    </font>
    <font>
      <sz val="16"/>
      <color theme="1"/>
      <name val="Arial"/>
      <family val="2"/>
      <charset val="1"/>
    </font>
    <font>
      <i/>
      <sz val="16"/>
      <name val="Arial"/>
      <family val="2"/>
      <charset val="1"/>
    </font>
    <font>
      <b/>
      <sz val="11"/>
      <color theme="1"/>
      <name val="Calibri"/>
      <family val="2"/>
      <charset val="1"/>
    </font>
    <font>
      <sz val="11"/>
      <name val="Arial"/>
      <family val="2"/>
      <charset val="1"/>
    </font>
    <font>
      <b/>
      <sz val="11"/>
      <name val="Arial"/>
      <family val="2"/>
      <charset val="1"/>
    </font>
    <font>
      <b/>
      <sz val="14"/>
      <color rgb="FFFFFFFF"/>
      <name val="Arial"/>
      <family val="1"/>
      <charset val="1"/>
    </font>
    <font>
      <sz val="12"/>
      <color theme="1"/>
      <name val="Times New Roman"/>
      <family val="1"/>
    </font>
    <font>
      <b/>
      <sz val="12"/>
      <color theme="1"/>
      <name val="Times New Roman"/>
      <family val="1"/>
    </font>
    <font>
      <b/>
      <sz val="20"/>
      <color theme="0"/>
      <name val="Times New Roman"/>
      <family val="1"/>
    </font>
    <font>
      <sz val="16"/>
      <color theme="1"/>
      <name val="Times New Roman"/>
      <family val="1"/>
    </font>
    <font>
      <b/>
      <sz val="16"/>
      <color theme="1"/>
      <name val="Times New Roman"/>
      <family val="1"/>
    </font>
    <font>
      <sz val="20"/>
      <color theme="1"/>
      <name val="Calibri"/>
      <family val="2"/>
      <charset val="1"/>
    </font>
    <font>
      <b/>
      <sz val="16"/>
      <color theme="1"/>
      <name val="Arial"/>
      <family val="2"/>
      <charset val="1"/>
    </font>
    <font>
      <b/>
      <sz val="16"/>
      <color theme="1"/>
      <name val="Calibri"/>
      <family val="2"/>
      <charset val="1"/>
    </font>
    <font>
      <b/>
      <sz val="16"/>
      <color theme="0"/>
      <name val="Times New Roman"/>
      <family val="1"/>
    </font>
    <font>
      <sz val="22"/>
      <name val="Times New Roman"/>
      <family val="1"/>
    </font>
    <font>
      <b/>
      <sz val="22"/>
      <name val="Times New Roman"/>
      <family val="1"/>
    </font>
    <font>
      <sz val="22"/>
      <color theme="1"/>
      <name val="Calibri"/>
      <family val="2"/>
      <charset val="1"/>
    </font>
    <font>
      <b/>
      <sz val="24"/>
      <color theme="0"/>
      <name val="Times New Roman"/>
      <family val="1"/>
    </font>
    <font>
      <sz val="11"/>
      <color theme="1"/>
      <name val="Times New Roman"/>
      <family val="1"/>
    </font>
    <font>
      <b/>
      <sz val="14"/>
      <color theme="1"/>
      <name val="Times New Roman"/>
      <family val="1"/>
    </font>
    <font>
      <sz val="14"/>
      <color theme="1"/>
      <name val="Times New Roman"/>
      <family val="1"/>
    </font>
    <font>
      <sz val="16"/>
      <color theme="0"/>
      <name val="Calibri"/>
      <family val="2"/>
      <charset val="1"/>
    </font>
    <font>
      <i/>
      <sz val="16"/>
      <color theme="1"/>
      <name val="Times New Roman"/>
      <family val="1"/>
    </font>
    <font>
      <sz val="14"/>
      <color theme="1"/>
      <name val="Times New Roman"/>
      <family val="1"/>
    </font>
    <font>
      <b/>
      <sz val="14"/>
      <color rgb="FFFFFFFF"/>
      <name val="Times New Roman"/>
      <family val="1"/>
    </font>
    <font>
      <sz val="14"/>
      <name val="Times New Roman"/>
      <family val="1"/>
    </font>
    <font>
      <b/>
      <sz val="14"/>
      <name val="Times New Roman"/>
      <family val="1"/>
    </font>
    <font>
      <sz val="11"/>
      <color rgb="FF000000"/>
      <name val="Calibri"/>
      <family val="2"/>
    </font>
    <font>
      <i/>
      <sz val="10"/>
      <name val="Arial"/>
      <family val="2"/>
    </font>
    <font>
      <sz val="14"/>
      <color rgb="FFFF0000"/>
      <name val="Times New Roman"/>
      <family val="1"/>
    </font>
    <font>
      <sz val="12"/>
      <color rgb="FF000000"/>
      <name val="Times New Roman"/>
      <family val="1"/>
    </font>
    <font>
      <b/>
      <sz val="12"/>
      <color rgb="FF000000"/>
      <name val="Times New Roman"/>
      <family val="1"/>
    </font>
  </fonts>
  <fills count="8">
    <fill>
      <patternFill patternType="none"/>
    </fill>
    <fill>
      <patternFill patternType="gray125"/>
    </fill>
    <fill>
      <patternFill patternType="solid">
        <fgColor theme="1"/>
        <bgColor rgb="FF003300"/>
      </patternFill>
    </fill>
    <fill>
      <patternFill patternType="solid">
        <fgColor theme="0"/>
        <bgColor rgb="FFFFF7DB"/>
      </patternFill>
    </fill>
    <fill>
      <patternFill patternType="solid">
        <fgColor theme="1"/>
        <bgColor indexed="64"/>
      </patternFill>
    </fill>
    <fill>
      <patternFill patternType="solid">
        <fgColor theme="0"/>
        <bgColor indexed="64"/>
      </patternFill>
    </fill>
    <fill>
      <patternFill patternType="solid">
        <fgColor rgb="FF000000"/>
        <bgColor rgb="FF000000"/>
      </patternFill>
    </fill>
    <fill>
      <patternFill patternType="solid">
        <fgColor rgb="FFFFC7CE"/>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theme="0"/>
      </right>
      <top style="thin">
        <color auto="1"/>
      </top>
      <bottom style="thin">
        <color auto="1"/>
      </bottom>
      <diagonal/>
    </border>
    <border>
      <left/>
      <right style="thin">
        <color theme="0"/>
      </right>
      <top style="thin">
        <color auto="1"/>
      </top>
      <bottom style="thin">
        <color auto="1"/>
      </bottom>
      <diagonal/>
    </border>
    <border>
      <left style="thin">
        <color theme="0"/>
      </left>
      <right style="thin">
        <color theme="0"/>
      </right>
      <top style="thin">
        <color auto="1"/>
      </top>
      <bottom style="thin">
        <color auto="1"/>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bottom style="thin">
        <color theme="1"/>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right style="thin">
        <color indexed="64"/>
      </right>
      <top/>
      <bottom style="thin">
        <color indexed="64"/>
      </bottom>
      <diagonal/>
    </border>
    <border>
      <left/>
      <right/>
      <top style="thin">
        <color indexed="64"/>
      </top>
      <bottom style="thin">
        <color indexed="64"/>
      </bottom>
      <diagonal/>
    </border>
    <border>
      <left style="thin">
        <color rgb="FFFFFFFF"/>
      </left>
      <right/>
      <top style="thin">
        <color indexed="64"/>
      </top>
      <bottom style="thin">
        <color indexed="64"/>
      </bottom>
      <diagonal/>
    </border>
    <border>
      <left style="thin">
        <color rgb="FFFFFFFF"/>
      </left>
      <right style="thin">
        <color rgb="FFFFFFFF"/>
      </right>
      <top style="thin">
        <color indexed="64"/>
      </top>
      <bottom style="thin">
        <color indexed="64"/>
      </bottom>
      <diagonal/>
    </border>
    <border>
      <left/>
      <right style="thin">
        <color rgb="FFFFFFFF"/>
      </right>
      <top style="thin">
        <color indexed="64"/>
      </top>
      <bottom style="thin">
        <color indexed="64"/>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s>
  <cellStyleXfs count="1">
    <xf numFmtId="0" fontId="0" fillId="0" borderId="0"/>
  </cellStyleXfs>
  <cellXfs count="93">
    <xf numFmtId="0" fontId="0" fillId="0" borderId="0" xfId="0"/>
    <xf numFmtId="0" fontId="1" fillId="0" borderId="0" xfId="0" applyFont="1"/>
    <xf numFmtId="0" fontId="2" fillId="0" borderId="1" xfId="0" applyFont="1" applyBorder="1"/>
    <xf numFmtId="0" fontId="2" fillId="0" borderId="1" xfId="0" applyFont="1" applyBorder="1" applyAlignment="1">
      <alignment horizontal="center"/>
    </xf>
    <xf numFmtId="0" fontId="3" fillId="0" borderId="1" xfId="0" applyFont="1" applyBorder="1"/>
    <xf numFmtId="0" fontId="4" fillId="0" borderId="1" xfId="0" applyFont="1" applyBorder="1" applyAlignment="1">
      <alignment vertical="top" wrapText="1"/>
    </xf>
    <xf numFmtId="0" fontId="3" fillId="0" borderId="1" xfId="0" applyFont="1" applyBorder="1" applyAlignment="1">
      <alignment wrapText="1"/>
    </xf>
    <xf numFmtId="0" fontId="5" fillId="0" borderId="0" xfId="0" applyFont="1"/>
    <xf numFmtId="0" fontId="0" fillId="0" borderId="0" xfId="0" applyAlignment="1">
      <alignment horizontal="center"/>
    </xf>
    <xf numFmtId="0" fontId="9" fillId="0" borderId="1" xfId="0" applyFont="1" applyBorder="1" applyAlignment="1">
      <alignment vertical="top" wrapText="1"/>
    </xf>
    <xf numFmtId="0" fontId="10" fillId="0" borderId="1" xfId="0" applyFont="1" applyBorder="1" applyAlignment="1">
      <alignment horizontal="left" vertical="center"/>
    </xf>
    <xf numFmtId="0" fontId="10" fillId="0" borderId="1" xfId="0" applyFont="1" applyBorder="1" applyAlignment="1">
      <alignment horizontal="left" vertical="center" wrapText="1"/>
    </xf>
    <xf numFmtId="0" fontId="12" fillId="3" borderId="4" xfId="0" applyFont="1" applyFill="1" applyBorder="1" applyAlignment="1">
      <alignment vertical="top" wrapText="1"/>
    </xf>
    <xf numFmtId="0" fontId="13" fillId="3" borderId="4" xfId="0" applyFont="1" applyFill="1" applyBorder="1" applyAlignment="1">
      <alignment vertical="top" wrapText="1"/>
    </xf>
    <xf numFmtId="0" fontId="12" fillId="3" borderId="1" xfId="0" applyFont="1" applyFill="1" applyBorder="1" applyAlignment="1">
      <alignment vertical="top" wrapText="1"/>
    </xf>
    <xf numFmtId="0" fontId="13" fillId="3" borderId="1" xfId="0" applyFont="1" applyFill="1" applyBorder="1" applyAlignment="1">
      <alignment vertical="top" wrapText="1"/>
    </xf>
    <xf numFmtId="0" fontId="11" fillId="2" borderId="2" xfId="0" applyFont="1" applyFill="1" applyBorder="1" applyAlignment="1">
      <alignment horizontal="center" vertical="center" wrapText="1"/>
    </xf>
    <xf numFmtId="0" fontId="14" fillId="0" borderId="3" xfId="0" applyFont="1" applyBorder="1" applyAlignment="1">
      <alignment horizontal="center"/>
    </xf>
    <xf numFmtId="0" fontId="14" fillId="0" borderId="1" xfId="0" applyFont="1" applyBorder="1" applyAlignment="1">
      <alignment horizontal="center"/>
    </xf>
    <xf numFmtId="0" fontId="13" fillId="3" borderId="4" xfId="0" applyFont="1" applyFill="1" applyBorder="1" applyAlignment="1">
      <alignment horizontal="center" vertical="top" wrapText="1"/>
    </xf>
    <xf numFmtId="0" fontId="13" fillId="3" borderId="1" xfId="0" applyFont="1" applyFill="1" applyBorder="1" applyAlignment="1">
      <alignment horizontal="center" vertical="top" wrapText="1"/>
    </xf>
    <xf numFmtId="0" fontId="12" fillId="3" borderId="1" xfId="0" applyFont="1" applyFill="1" applyBorder="1" applyAlignment="1">
      <alignment horizontal="center" vertical="top" wrapText="1"/>
    </xf>
    <xf numFmtId="0" fontId="3" fillId="0" borderId="1" xfId="0" applyFont="1" applyBorder="1" applyAlignment="1">
      <alignment horizontal="center"/>
    </xf>
    <xf numFmtId="0" fontId="12" fillId="3" borderId="4" xfId="0" applyFont="1" applyFill="1" applyBorder="1" applyAlignment="1">
      <alignment horizontal="center" vertical="top" wrapText="1"/>
    </xf>
    <xf numFmtId="0" fontId="15" fillId="0" borderId="1" xfId="0" applyFont="1" applyBorder="1" applyAlignment="1">
      <alignment horizontal="center"/>
    </xf>
    <xf numFmtId="0" fontId="16" fillId="0" borderId="1" xfId="0" applyFont="1" applyBorder="1" applyAlignment="1">
      <alignment horizontal="center"/>
    </xf>
    <xf numFmtId="0" fontId="18" fillId="0" borderId="1" xfId="0" applyFont="1" applyBorder="1" applyAlignment="1">
      <alignment vertical="top" wrapText="1"/>
    </xf>
    <xf numFmtId="0" fontId="19" fillId="0" borderId="1" xfId="0" applyFont="1" applyBorder="1" applyAlignment="1">
      <alignment vertical="top" wrapText="1"/>
    </xf>
    <xf numFmtId="0" fontId="18" fillId="0" borderId="1" xfId="0" applyFont="1" applyBorder="1" applyAlignment="1">
      <alignment horizontal="center" vertical="top" wrapText="1"/>
    </xf>
    <xf numFmtId="0" fontId="20" fillId="0" borderId="0" xfId="0" applyFont="1" applyAlignment="1">
      <alignment vertical="center"/>
    </xf>
    <xf numFmtId="0" fontId="21" fillId="2" borderId="5" xfId="0" applyFont="1" applyFill="1" applyBorder="1" applyAlignment="1">
      <alignment horizontal="center" vertical="center" wrapText="1"/>
    </xf>
    <xf numFmtId="0" fontId="21" fillId="2" borderId="6" xfId="0" applyFont="1" applyFill="1" applyBorder="1" applyAlignment="1">
      <alignment horizontal="center" vertical="center" wrapText="1"/>
    </xf>
    <xf numFmtId="0" fontId="21" fillId="2" borderId="7" xfId="0" applyFont="1" applyFill="1" applyBorder="1" applyAlignment="1">
      <alignment horizontal="center" vertical="center" wrapText="1"/>
    </xf>
    <xf numFmtId="0" fontId="13" fillId="0" borderId="1" xfId="0" applyFont="1" applyBorder="1" applyAlignment="1">
      <alignment horizontal="center" vertical="top" wrapText="1"/>
    </xf>
    <xf numFmtId="0" fontId="6" fillId="0" borderId="0" xfId="0" applyFont="1" applyAlignment="1">
      <alignment horizontal="center" vertical="top" wrapText="1"/>
    </xf>
    <xf numFmtId="0" fontId="1" fillId="0" borderId="0" xfId="0" applyFont="1" applyAlignment="1">
      <alignment horizontal="center"/>
    </xf>
    <xf numFmtId="0" fontId="7" fillId="0" borderId="0" xfId="0" applyFont="1" applyAlignment="1">
      <alignment horizontal="center" vertical="top" wrapText="1"/>
    </xf>
    <xf numFmtId="0" fontId="24" fillId="0" borderId="1" xfId="0" applyFont="1" applyBorder="1" applyAlignment="1">
      <alignment horizontal="center" vertical="top"/>
    </xf>
    <xf numFmtId="0" fontId="24" fillId="0" borderId="1" xfId="0" applyFont="1" applyBorder="1" applyAlignment="1">
      <alignment vertical="top" wrapText="1"/>
    </xf>
    <xf numFmtId="0" fontId="24" fillId="0" borderId="1" xfId="0" applyFont="1" applyBorder="1"/>
    <xf numFmtId="0" fontId="24" fillId="0" borderId="4" xfId="0" applyFont="1" applyBorder="1" applyAlignment="1">
      <alignment horizontal="center" vertical="top"/>
    </xf>
    <xf numFmtId="0" fontId="24" fillId="0" borderId="4" xfId="0" applyFont="1" applyBorder="1" applyAlignment="1">
      <alignment vertical="top" wrapText="1"/>
    </xf>
    <xf numFmtId="0" fontId="8" fillId="2" borderId="2" xfId="0" applyFont="1" applyFill="1" applyBorder="1" applyAlignment="1">
      <alignment horizontal="center" vertical="center" wrapText="1"/>
    </xf>
    <xf numFmtId="0" fontId="13" fillId="0" borderId="8" xfId="0" applyFont="1" applyBorder="1" applyAlignment="1">
      <alignment vertical="center"/>
    </xf>
    <xf numFmtId="0" fontId="13" fillId="0" borderId="8" xfId="0" applyFont="1" applyBorder="1" applyAlignment="1">
      <alignment horizontal="center" vertical="center"/>
    </xf>
    <xf numFmtId="0" fontId="13" fillId="0" borderId="8" xfId="0" applyFont="1" applyBorder="1" applyAlignment="1">
      <alignment vertical="center" wrapText="1"/>
    </xf>
    <xf numFmtId="0" fontId="12" fillId="0" borderId="8" xfId="0" applyFont="1" applyBorder="1" applyAlignment="1">
      <alignment vertical="center" wrapText="1"/>
    </xf>
    <xf numFmtId="0" fontId="12" fillId="0" borderId="8" xfId="0" applyFont="1" applyBorder="1" applyAlignment="1">
      <alignment horizontal="center" vertical="center"/>
    </xf>
    <xf numFmtId="0" fontId="12" fillId="0" borderId="0" xfId="0" applyFont="1" applyAlignment="1">
      <alignment vertical="center"/>
    </xf>
    <xf numFmtId="0" fontId="25" fillId="0" borderId="2" xfId="0" applyFont="1" applyBorder="1" applyAlignment="1">
      <alignment horizontal="center" vertical="center"/>
    </xf>
    <xf numFmtId="0" fontId="17" fillId="4" borderId="9" xfId="0" applyFont="1" applyFill="1" applyBorder="1" applyAlignment="1">
      <alignment horizontal="center" vertical="center" wrapText="1"/>
    </xf>
    <xf numFmtId="0" fontId="17" fillId="4" borderId="9" xfId="0" applyFont="1" applyFill="1" applyBorder="1" applyAlignment="1">
      <alignment horizontal="center" vertical="center"/>
    </xf>
    <xf numFmtId="0" fontId="23" fillId="0" borderId="8" xfId="0" applyFont="1" applyBorder="1" applyAlignment="1">
      <alignment horizontal="center" vertical="top"/>
    </xf>
    <xf numFmtId="0" fontId="24" fillId="0" borderId="8" xfId="0" applyFont="1" applyBorder="1" applyAlignment="1">
      <alignment vertical="top" wrapText="1"/>
    </xf>
    <xf numFmtId="0" fontId="24" fillId="0" borderId="8" xfId="0" applyFont="1" applyBorder="1" applyAlignment="1">
      <alignment horizontal="center" vertical="top"/>
    </xf>
    <xf numFmtId="0" fontId="23" fillId="0" borderId="10" xfId="0" applyFont="1" applyBorder="1" applyAlignment="1">
      <alignment horizontal="center" vertical="top"/>
    </xf>
    <xf numFmtId="0" fontId="24" fillId="0" borderId="10" xfId="0" applyFont="1" applyBorder="1" applyAlignment="1">
      <alignment vertical="top" wrapText="1"/>
    </xf>
    <xf numFmtId="0" fontId="24" fillId="5" borderId="10" xfId="0" applyFont="1" applyFill="1" applyBorder="1" applyAlignment="1">
      <alignment vertical="top" wrapText="1"/>
    </xf>
    <xf numFmtId="0" fontId="24" fillId="0" borderId="10" xfId="0" applyFont="1" applyBorder="1" applyAlignment="1">
      <alignment horizontal="center" vertical="top"/>
    </xf>
    <xf numFmtId="0" fontId="17" fillId="4" borderId="2" xfId="0" applyFont="1" applyFill="1" applyBorder="1" applyAlignment="1">
      <alignment horizontal="center" vertical="center" wrapText="1"/>
    </xf>
    <xf numFmtId="0" fontId="23" fillId="0" borderId="8" xfId="0" applyFont="1" applyBorder="1" applyAlignment="1">
      <alignment vertical="top" wrapText="1"/>
    </xf>
    <xf numFmtId="0" fontId="22" fillId="0" borderId="0" xfId="0" applyFont="1" applyAlignment="1">
      <alignment vertical="center"/>
    </xf>
    <xf numFmtId="0" fontId="24" fillId="0" borderId="1" xfId="0" quotePrefix="1" applyFont="1" applyBorder="1" applyAlignment="1">
      <alignment vertical="top" wrapText="1"/>
    </xf>
    <xf numFmtId="0" fontId="27" fillId="0" borderId="0" xfId="0" applyFont="1" applyAlignment="1">
      <alignment horizontal="center" vertical="center" wrapText="1"/>
    </xf>
    <xf numFmtId="0" fontId="27" fillId="0" borderId="8" xfId="0" applyFont="1" applyBorder="1" applyAlignment="1">
      <alignment horizontal="center" vertical="center" wrapText="1"/>
    </xf>
    <xf numFmtId="0" fontId="28" fillId="6" borderId="11" xfId="0" applyFont="1" applyFill="1" applyBorder="1" applyAlignment="1">
      <alignment horizontal="center" vertical="center"/>
    </xf>
    <xf numFmtId="0" fontId="28" fillId="6" borderId="12" xfId="0" applyFont="1" applyFill="1" applyBorder="1" applyAlignment="1">
      <alignment horizontal="center" vertical="center"/>
    </xf>
    <xf numFmtId="0" fontId="31" fillId="0" borderId="0" xfId="0" applyFont="1"/>
    <xf numFmtId="0" fontId="32" fillId="0" borderId="0" xfId="0" applyFont="1" applyAlignment="1">
      <alignment wrapText="1"/>
    </xf>
    <xf numFmtId="0" fontId="28" fillId="6" borderId="11" xfId="0" applyFont="1" applyFill="1" applyBorder="1" applyAlignment="1">
      <alignment horizontal="center" vertical="center" wrapText="1"/>
    </xf>
    <xf numFmtId="0" fontId="28" fillId="6" borderId="12" xfId="0" applyFont="1" applyFill="1" applyBorder="1" applyAlignment="1">
      <alignment horizontal="center" vertical="center" wrapText="1"/>
    </xf>
    <xf numFmtId="0" fontId="28" fillId="6" borderId="15" xfId="0" applyFont="1" applyFill="1" applyBorder="1" applyAlignment="1">
      <alignment horizontal="center" vertical="center" wrapText="1"/>
    </xf>
    <xf numFmtId="0" fontId="28" fillId="6" borderId="16" xfId="0" applyFont="1" applyFill="1" applyBorder="1" applyAlignment="1">
      <alignment horizontal="center" vertical="center" wrapText="1"/>
    </xf>
    <xf numFmtId="0" fontId="28" fillId="6" borderId="14" xfId="0" applyFont="1" applyFill="1" applyBorder="1" applyAlignment="1">
      <alignment horizontal="center" vertical="center" wrapText="1"/>
    </xf>
    <xf numFmtId="0" fontId="28" fillId="6" borderId="17" xfId="0" applyFont="1" applyFill="1" applyBorder="1" applyAlignment="1">
      <alignment horizontal="center" vertical="center" wrapText="1"/>
    </xf>
    <xf numFmtId="0" fontId="29" fillId="0" borderId="4" xfId="0" applyFont="1" applyBorder="1" applyAlignment="1">
      <alignment horizontal="center" vertical="center" wrapText="1"/>
    </xf>
    <xf numFmtId="0" fontId="29" fillId="0" borderId="13" xfId="0" applyFont="1" applyBorder="1" applyAlignment="1">
      <alignment horizontal="center" vertical="center" wrapText="1"/>
    </xf>
    <xf numFmtId="0" fontId="29" fillId="0" borderId="18" xfId="0" applyFont="1" applyBorder="1" applyAlignment="1">
      <alignment vertical="center" wrapText="1"/>
    </xf>
    <xf numFmtId="0" fontId="29" fillId="0" borderId="19" xfId="0" applyFont="1" applyBorder="1" applyAlignment="1">
      <alignment vertical="center" wrapText="1"/>
    </xf>
    <xf numFmtId="0" fontId="29" fillId="0" borderId="19" xfId="0" applyFont="1" applyBorder="1" applyAlignment="1">
      <alignment horizontal="center" vertical="center" wrapText="1"/>
    </xf>
    <xf numFmtId="0" fontId="29" fillId="0" borderId="4" xfId="0" applyFont="1" applyBorder="1" applyAlignment="1">
      <alignment horizontal="center" vertical="center"/>
    </xf>
    <xf numFmtId="0" fontId="29" fillId="0" borderId="13" xfId="0" applyFont="1" applyBorder="1" applyAlignment="1">
      <alignment horizontal="left" vertical="center"/>
    </xf>
    <xf numFmtId="0" fontId="29" fillId="0" borderId="13" xfId="0" applyFont="1" applyBorder="1" applyAlignment="1">
      <alignment horizontal="center" vertical="center"/>
    </xf>
    <xf numFmtId="0" fontId="30" fillId="0" borderId="4" xfId="0" applyFont="1" applyBorder="1" applyAlignment="1">
      <alignment horizontal="center" vertical="center"/>
    </xf>
    <xf numFmtId="0" fontId="33" fillId="7" borderId="13" xfId="0" applyFont="1" applyFill="1" applyBorder="1" applyAlignment="1">
      <alignment horizontal="center" vertical="center" wrapText="1"/>
    </xf>
    <xf numFmtId="0" fontId="8" fillId="0" borderId="2" xfId="0" applyFont="1" applyBorder="1" applyAlignment="1">
      <alignment horizontal="center" vertical="center" wrapText="1"/>
    </xf>
    <xf numFmtId="0" fontId="23" fillId="0" borderId="4" xfId="0" applyFont="1" applyBorder="1" applyAlignment="1">
      <alignment horizontal="center" vertical="top"/>
    </xf>
    <xf numFmtId="0" fontId="23" fillId="0" borderId="1" xfId="0" applyFont="1" applyBorder="1" applyAlignment="1">
      <alignment horizontal="center" vertical="top"/>
    </xf>
    <xf numFmtId="0" fontId="34" fillId="0" borderId="1" xfId="0" applyFont="1" applyBorder="1" applyAlignment="1">
      <alignment vertical="top" wrapText="1"/>
    </xf>
    <xf numFmtId="0" fontId="11" fillId="2" borderId="1" xfId="0" applyFont="1" applyFill="1" applyBorder="1" applyAlignment="1">
      <alignment horizontal="center" vertical="center" wrapText="1"/>
    </xf>
    <xf numFmtId="0" fontId="26" fillId="0" borderId="0" xfId="0" applyFont="1" applyAlignment="1">
      <alignment vertical="center" wrapText="1"/>
    </xf>
    <xf numFmtId="0" fontId="29" fillId="0" borderId="14" xfId="0" applyFont="1" applyBorder="1" applyAlignment="1">
      <alignment horizontal="left" vertical="center"/>
    </xf>
    <xf numFmtId="0" fontId="29" fillId="0" borderId="3" xfId="0" applyFont="1" applyBorder="1" applyAlignment="1">
      <alignment horizontal="left" vertical="center"/>
    </xf>
  </cellXfs>
  <cellStyles count="1">
    <cellStyle name="Normal" xfId="0" builtinId="0"/>
  </cellStyles>
  <dxfs count="4">
    <dxf>
      <fill>
        <patternFill>
          <bgColor rgb="FFFFC7CE"/>
        </patternFill>
      </fill>
    </dxf>
    <dxf>
      <font>
        <color rgb="FF9C5700"/>
      </font>
      <fill>
        <patternFill>
          <bgColor rgb="FFFFEB9C"/>
        </patternFill>
      </fill>
    </dxf>
    <dxf>
      <fill>
        <patternFill>
          <bgColor rgb="FFFFC7CE"/>
        </patternFill>
      </fill>
    </dxf>
    <dxf>
      <font>
        <color rgb="FF9C0006"/>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8EEF7"/>
      <rgbColor rgb="FF808080"/>
      <rgbColor rgb="FF9999FF"/>
      <rgbColor rgb="FF993366"/>
      <rgbColor rgb="FFFFF7DB"/>
      <rgbColor rgb="FFE9F3EC"/>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4ECF4"/>
      <rgbColor rgb="FFEFF6E8"/>
      <rgbColor rgb="FFFCF0E6"/>
      <rgbColor rgb="FFF3EEF8"/>
      <rgbColor rgb="FFFF99CC"/>
      <rgbColor rgb="FFCC99FF"/>
      <rgbColor rgb="FFFBEBEB"/>
      <rgbColor rgb="FF3366FF"/>
      <rgbColor rgb="FF33CCCC"/>
      <rgbColor rgb="FF99CC00"/>
      <rgbColor rgb="FFFFCC00"/>
      <rgbColor rgb="FFFF9900"/>
      <rgbColor rgb="FFFF6600"/>
      <rgbColor rgb="FF595959"/>
      <rgbColor rgb="FF9AA7B4"/>
      <rgbColor rgb="FF1F3864"/>
      <rgbColor rgb="FF339966"/>
      <rgbColor rgb="FF003300"/>
      <rgbColor rgb="FF333300"/>
      <rgbColor rgb="FF993300"/>
      <rgbColor rgb="FF993366"/>
      <rgbColor rgb="FF333399"/>
      <rgbColor rgb="FF2F4858"/>
      <rgbColor rgb="00003366"/>
      <rgbColor rgb="00339966"/>
      <rgbColor rgb="00003300"/>
      <rgbColor rgb="00333300"/>
      <rgbColor rgb="00993300"/>
      <rgbColor rgb="00993366"/>
      <rgbColor rgb="00333399"/>
      <rgbColor rgb="00333333"/>
    </indexedColors>
    <mruColors>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showGridLines="0" tabSelected="1" zoomScale="140" zoomScaleNormal="140" workbookViewId="0">
      <selection activeCell="F3" sqref="F3"/>
    </sheetView>
  </sheetViews>
  <sheetFormatPr baseColWidth="10" defaultColWidth="8.6640625" defaultRowHeight="15" x14ac:dyDescent="0.2"/>
  <cols>
    <col min="1" max="1" width="3" customWidth="1"/>
    <col min="2" max="2" width="39" customWidth="1"/>
    <col min="3" max="3" width="95" bestFit="1" customWidth="1"/>
  </cols>
  <sheetData>
    <row r="1" spans="1:3" ht="51.75" customHeight="1" x14ac:dyDescent="0.2">
      <c r="A1" s="1"/>
      <c r="B1" s="89" t="s">
        <v>0</v>
      </c>
      <c r="C1" s="89"/>
    </row>
    <row r="2" spans="1:3" ht="119" x14ac:dyDescent="0.2">
      <c r="A2" s="1"/>
      <c r="B2" s="11" t="s">
        <v>1</v>
      </c>
      <c r="C2" s="9" t="s">
        <v>2</v>
      </c>
    </row>
    <row r="3" spans="1:3" ht="289" x14ac:dyDescent="0.2">
      <c r="A3" s="1"/>
      <c r="B3" s="11" t="s">
        <v>3</v>
      </c>
      <c r="C3" s="88" t="s">
        <v>3183</v>
      </c>
    </row>
    <row r="4" spans="1:3" ht="68" x14ac:dyDescent="0.2">
      <c r="A4" s="1"/>
      <c r="B4" s="11" t="s">
        <v>4</v>
      </c>
      <c r="C4" s="9" t="s">
        <v>5</v>
      </c>
    </row>
    <row r="5" spans="1:3" ht="68" x14ac:dyDescent="0.2">
      <c r="A5" s="1"/>
      <c r="B5" s="11" t="s">
        <v>6</v>
      </c>
      <c r="C5" s="9" t="s">
        <v>7</v>
      </c>
    </row>
    <row r="6" spans="1:3" ht="68" x14ac:dyDescent="0.2">
      <c r="A6" s="1"/>
      <c r="B6" s="11" t="s">
        <v>8</v>
      </c>
      <c r="C6" s="9" t="s">
        <v>9</v>
      </c>
    </row>
    <row r="7" spans="1:3" ht="51" x14ac:dyDescent="0.2">
      <c r="A7" s="1"/>
      <c r="B7" s="11" t="s">
        <v>10</v>
      </c>
      <c r="C7" s="9" t="s">
        <v>11</v>
      </c>
    </row>
    <row r="8" spans="1:3" ht="170" x14ac:dyDescent="0.2">
      <c r="A8" s="1"/>
      <c r="B8" s="11" t="s">
        <v>12</v>
      </c>
      <c r="C8" s="9" t="s">
        <v>13</v>
      </c>
    </row>
    <row r="9" spans="1:3" ht="408" customHeight="1" x14ac:dyDescent="0.2">
      <c r="A9" s="1"/>
      <c r="B9" s="11" t="s">
        <v>14</v>
      </c>
      <c r="C9" s="9" t="s">
        <v>3184</v>
      </c>
    </row>
    <row r="10" spans="1:3" ht="102" x14ac:dyDescent="0.2">
      <c r="A10" s="1"/>
      <c r="B10" s="11" t="s">
        <v>15</v>
      </c>
      <c r="C10" s="9" t="s">
        <v>16</v>
      </c>
    </row>
    <row r="11" spans="1:3" ht="409.6" x14ac:dyDescent="0.2">
      <c r="A11" s="1"/>
      <c r="B11" s="11" t="s">
        <v>17</v>
      </c>
      <c r="C11" s="9" t="s">
        <v>3185</v>
      </c>
    </row>
    <row r="12" spans="1:3" ht="136" x14ac:dyDescent="0.2">
      <c r="A12" s="1"/>
      <c r="B12" s="11" t="s">
        <v>18</v>
      </c>
      <c r="C12" s="88" t="s">
        <v>19</v>
      </c>
    </row>
    <row r="13" spans="1:3" ht="136" x14ac:dyDescent="0.2">
      <c r="A13" s="1"/>
      <c r="B13" s="11" t="s">
        <v>20</v>
      </c>
      <c r="C13" s="9" t="s">
        <v>21</v>
      </c>
    </row>
    <row r="14" spans="1:3" ht="255" x14ac:dyDescent="0.2">
      <c r="A14" s="1"/>
      <c r="B14" s="11" t="s">
        <v>22</v>
      </c>
      <c r="C14" s="88" t="s">
        <v>23</v>
      </c>
    </row>
    <row r="15" spans="1:3" ht="204" x14ac:dyDescent="0.2">
      <c r="A15" s="1"/>
      <c r="B15" s="11" t="s">
        <v>24</v>
      </c>
      <c r="C15" s="9" t="s">
        <v>25</v>
      </c>
    </row>
    <row r="16" spans="1:3" ht="170" x14ac:dyDescent="0.2">
      <c r="A16" s="1"/>
      <c r="B16" s="11" t="s">
        <v>26</v>
      </c>
      <c r="C16" s="9" t="s">
        <v>27</v>
      </c>
    </row>
    <row r="17" spans="1:3" ht="68" x14ac:dyDescent="0.2">
      <c r="A17" s="1"/>
      <c r="B17" s="10" t="s">
        <v>28</v>
      </c>
      <c r="C17" s="9" t="s">
        <v>29</v>
      </c>
    </row>
    <row r="18" spans="1:3" ht="255" x14ac:dyDescent="0.2">
      <c r="A18" s="1"/>
      <c r="B18" s="10" t="s">
        <v>30</v>
      </c>
      <c r="C18" s="9" t="s">
        <v>31</v>
      </c>
    </row>
  </sheetData>
  <mergeCells count="1">
    <mergeCell ref="B1:C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1"/>
  <sheetViews>
    <sheetView showGridLines="0" zoomScaleNormal="100" workbookViewId="0">
      <pane xSplit="2" ySplit="1" topLeftCell="C2" activePane="bottomRight" state="frozen"/>
      <selection pane="topRight" activeCell="C1" sqref="C1"/>
      <selection pane="bottomLeft" activeCell="A2" sqref="A2"/>
      <selection pane="bottomRight" activeCell="D5" sqref="D5"/>
    </sheetView>
  </sheetViews>
  <sheetFormatPr baseColWidth="10" defaultColWidth="8.6640625" defaultRowHeight="21" x14ac:dyDescent="0.25"/>
  <cols>
    <col min="1" max="1" width="8" style="25" customWidth="1"/>
    <col min="2" max="2" width="11.5" style="3" customWidth="1"/>
    <col min="3" max="3" width="29.33203125" style="2" customWidth="1"/>
    <col min="4" max="4" width="51.6640625" style="2" customWidth="1"/>
    <col min="5" max="5" width="13.33203125" style="3" customWidth="1"/>
    <col min="6" max="6" width="30" style="3" customWidth="1"/>
    <col min="7" max="7" width="48.6640625" style="2" customWidth="1"/>
    <col min="8" max="8" width="34.6640625" style="3" customWidth="1"/>
    <col min="9" max="9" width="65.5" style="2" customWidth="1"/>
    <col min="10" max="10" width="69.1640625" style="2" customWidth="1"/>
    <col min="11" max="11" width="12.1640625" style="3" customWidth="1"/>
    <col min="12" max="12" width="255.6640625" style="2" customWidth="1"/>
    <col min="13" max="16384" width="8.6640625" style="2"/>
  </cols>
  <sheetData>
    <row r="1" spans="1:13" s="18" customFormat="1" ht="38" customHeight="1" x14ac:dyDescent="0.3">
      <c r="A1" s="16" t="s">
        <v>32</v>
      </c>
      <c r="B1" s="16" t="s">
        <v>33</v>
      </c>
      <c r="C1" s="16" t="s">
        <v>34</v>
      </c>
      <c r="D1" s="16" t="s">
        <v>35</v>
      </c>
      <c r="E1" s="16" t="s">
        <v>36</v>
      </c>
      <c r="F1" s="16" t="s">
        <v>37</v>
      </c>
      <c r="G1" s="16" t="s">
        <v>38</v>
      </c>
      <c r="H1" s="16" t="s">
        <v>39</v>
      </c>
      <c r="I1" s="16" t="s">
        <v>40</v>
      </c>
      <c r="J1" s="16" t="s">
        <v>41</v>
      </c>
      <c r="K1" s="16" t="s">
        <v>42</v>
      </c>
      <c r="L1" s="16" t="s">
        <v>43</v>
      </c>
      <c r="M1" s="17"/>
    </row>
    <row r="2" spans="1:13" ht="409.6" x14ac:dyDescent="0.25">
      <c r="A2" s="19">
        <v>1</v>
      </c>
      <c r="B2" s="19" t="s">
        <v>44</v>
      </c>
      <c r="C2" s="12" t="s">
        <v>45</v>
      </c>
      <c r="D2" s="13" t="s">
        <v>46</v>
      </c>
      <c r="E2" s="23">
        <v>2024</v>
      </c>
      <c r="F2" s="23" t="s">
        <v>47</v>
      </c>
      <c r="G2" s="12" t="s">
        <v>48</v>
      </c>
      <c r="H2" s="23" t="s">
        <v>49</v>
      </c>
      <c r="I2" s="12" t="s">
        <v>50</v>
      </c>
      <c r="J2" s="12" t="s">
        <v>51</v>
      </c>
      <c r="K2" s="23" t="s">
        <v>52</v>
      </c>
      <c r="L2" s="12" t="s">
        <v>53</v>
      </c>
    </row>
    <row r="3" spans="1:13" ht="147" x14ac:dyDescent="0.25">
      <c r="A3" s="20">
        <v>2</v>
      </c>
      <c r="B3" s="20" t="s">
        <v>54</v>
      </c>
      <c r="C3" s="14" t="s">
        <v>55</v>
      </c>
      <c r="D3" s="15" t="s">
        <v>56</v>
      </c>
      <c r="E3" s="21">
        <v>2025</v>
      </c>
      <c r="F3" s="21" t="s">
        <v>57</v>
      </c>
      <c r="G3" s="14" t="s">
        <v>58</v>
      </c>
      <c r="H3" s="21" t="s">
        <v>59</v>
      </c>
      <c r="I3" s="14" t="s">
        <v>60</v>
      </c>
      <c r="J3" s="14" t="s">
        <v>61</v>
      </c>
      <c r="K3" s="21" t="s">
        <v>52</v>
      </c>
      <c r="L3" s="14" t="s">
        <v>62</v>
      </c>
    </row>
    <row r="4" spans="1:13" ht="84" x14ac:dyDescent="0.25">
      <c r="A4" s="20">
        <v>3</v>
      </c>
      <c r="B4" s="20" t="s">
        <v>63</v>
      </c>
      <c r="C4" s="14" t="s">
        <v>64</v>
      </c>
      <c r="D4" s="15" t="s">
        <v>65</v>
      </c>
      <c r="E4" s="21">
        <v>2025</v>
      </c>
      <c r="F4" s="21" t="s">
        <v>66</v>
      </c>
      <c r="G4" s="14" t="s">
        <v>67</v>
      </c>
      <c r="H4" s="21" t="s">
        <v>68</v>
      </c>
      <c r="I4" s="14" t="s">
        <v>69</v>
      </c>
      <c r="J4" s="14" t="s">
        <v>70</v>
      </c>
      <c r="K4" s="21" t="s">
        <v>71</v>
      </c>
      <c r="L4" s="14" t="s">
        <v>72</v>
      </c>
    </row>
    <row r="5" spans="1:13" ht="84" x14ac:dyDescent="0.25">
      <c r="A5" s="20">
        <v>4</v>
      </c>
      <c r="B5" s="20" t="s">
        <v>73</v>
      </c>
      <c r="C5" s="14" t="s">
        <v>74</v>
      </c>
      <c r="D5" s="15" t="s">
        <v>75</v>
      </c>
      <c r="E5" s="21">
        <v>2024</v>
      </c>
      <c r="F5" s="21" t="s">
        <v>76</v>
      </c>
      <c r="G5" s="14" t="s">
        <v>77</v>
      </c>
      <c r="H5" s="21" t="s">
        <v>78</v>
      </c>
      <c r="I5" s="14" t="s">
        <v>79</v>
      </c>
      <c r="J5" s="14" t="s">
        <v>80</v>
      </c>
      <c r="K5" s="21" t="s">
        <v>81</v>
      </c>
      <c r="L5" s="14" t="s">
        <v>82</v>
      </c>
    </row>
    <row r="6" spans="1:13" ht="105" x14ac:dyDescent="0.25">
      <c r="A6" s="20">
        <v>5</v>
      </c>
      <c r="B6" s="20" t="s">
        <v>83</v>
      </c>
      <c r="C6" s="14" t="s">
        <v>84</v>
      </c>
      <c r="D6" s="15" t="s">
        <v>85</v>
      </c>
      <c r="E6" s="21">
        <v>2025</v>
      </c>
      <c r="F6" s="21" t="s">
        <v>86</v>
      </c>
      <c r="G6" s="14" t="s">
        <v>87</v>
      </c>
      <c r="H6" s="21" t="s">
        <v>88</v>
      </c>
      <c r="I6" s="14" t="s">
        <v>89</v>
      </c>
      <c r="J6" s="14" t="s">
        <v>90</v>
      </c>
      <c r="K6" s="21" t="s">
        <v>91</v>
      </c>
      <c r="L6" s="14" t="s">
        <v>92</v>
      </c>
    </row>
    <row r="7" spans="1:13" ht="409.6" x14ac:dyDescent="0.25">
      <c r="A7" s="20">
        <v>6</v>
      </c>
      <c r="B7" s="20" t="s">
        <v>93</v>
      </c>
      <c r="C7" s="14" t="s">
        <v>94</v>
      </c>
      <c r="D7" s="15" t="s">
        <v>95</v>
      </c>
      <c r="E7" s="21">
        <v>2025</v>
      </c>
      <c r="F7" s="21" t="s">
        <v>96</v>
      </c>
      <c r="G7" s="14" t="s">
        <v>97</v>
      </c>
      <c r="H7" s="21" t="s">
        <v>98</v>
      </c>
      <c r="I7" s="14" t="s">
        <v>99</v>
      </c>
      <c r="J7" s="14" t="s">
        <v>100</v>
      </c>
      <c r="K7" s="21" t="s">
        <v>101</v>
      </c>
      <c r="L7" s="14" t="s">
        <v>102</v>
      </c>
    </row>
    <row r="8" spans="1:13" ht="126" x14ac:dyDescent="0.25">
      <c r="A8" s="20">
        <v>7</v>
      </c>
      <c r="B8" s="20" t="s">
        <v>103</v>
      </c>
      <c r="C8" s="14" t="s">
        <v>104</v>
      </c>
      <c r="D8" s="15" t="s">
        <v>105</v>
      </c>
      <c r="E8" s="21">
        <v>2024</v>
      </c>
      <c r="F8" s="21" t="s">
        <v>106</v>
      </c>
      <c r="G8" s="14" t="s">
        <v>107</v>
      </c>
      <c r="H8" s="21" t="s">
        <v>108</v>
      </c>
      <c r="I8" s="14" t="s">
        <v>109</v>
      </c>
      <c r="J8" s="14" t="s">
        <v>110</v>
      </c>
      <c r="K8" s="21" t="s">
        <v>111</v>
      </c>
      <c r="L8" s="14" t="s">
        <v>112</v>
      </c>
    </row>
    <row r="9" spans="1:13" ht="105" x14ac:dyDescent="0.25">
      <c r="A9" s="20">
        <v>8</v>
      </c>
      <c r="B9" s="20" t="s">
        <v>113</v>
      </c>
      <c r="C9" s="14" t="s">
        <v>114</v>
      </c>
      <c r="D9" s="15" t="s">
        <v>115</v>
      </c>
      <c r="E9" s="21">
        <v>2024</v>
      </c>
      <c r="F9" s="21" t="s">
        <v>116</v>
      </c>
      <c r="G9" s="14" t="s">
        <v>117</v>
      </c>
      <c r="H9" s="21" t="s">
        <v>118</v>
      </c>
      <c r="I9" s="14" t="s">
        <v>119</v>
      </c>
      <c r="J9" s="14" t="s">
        <v>120</v>
      </c>
      <c r="K9" s="21" t="s">
        <v>71</v>
      </c>
      <c r="L9" s="14" t="s">
        <v>121</v>
      </c>
    </row>
    <row r="10" spans="1:13" ht="399" x14ac:dyDescent="0.25">
      <c r="A10" s="20">
        <v>9</v>
      </c>
      <c r="B10" s="20" t="s">
        <v>122</v>
      </c>
      <c r="C10" s="14" t="s">
        <v>74</v>
      </c>
      <c r="D10" s="15" t="s">
        <v>123</v>
      </c>
      <c r="E10" s="21">
        <v>2024</v>
      </c>
      <c r="F10" s="21" t="s">
        <v>124</v>
      </c>
      <c r="G10" s="14" t="s">
        <v>125</v>
      </c>
      <c r="H10" s="21" t="s">
        <v>126</v>
      </c>
      <c r="I10" s="14" t="s">
        <v>127</v>
      </c>
      <c r="J10" s="14" t="s">
        <v>128</v>
      </c>
      <c r="K10" s="21" t="s">
        <v>81</v>
      </c>
      <c r="L10" s="14" t="s">
        <v>129</v>
      </c>
    </row>
    <row r="11" spans="1:13" ht="84" x14ac:dyDescent="0.25">
      <c r="A11" s="20">
        <v>10</v>
      </c>
      <c r="B11" s="20" t="s">
        <v>130</v>
      </c>
      <c r="C11" s="14" t="s">
        <v>131</v>
      </c>
      <c r="D11" s="15" t="s">
        <v>132</v>
      </c>
      <c r="E11" s="21">
        <v>2024</v>
      </c>
      <c r="F11" s="21" t="s">
        <v>124</v>
      </c>
      <c r="G11" s="14" t="s">
        <v>133</v>
      </c>
      <c r="H11" s="21" t="s">
        <v>134</v>
      </c>
      <c r="I11" s="14" t="s">
        <v>135</v>
      </c>
      <c r="J11" s="14" t="s">
        <v>136</v>
      </c>
      <c r="K11" s="21" t="s">
        <v>137</v>
      </c>
      <c r="L11" s="14" t="s">
        <v>138</v>
      </c>
    </row>
    <row r="12" spans="1:13" ht="147" x14ac:dyDescent="0.25">
      <c r="A12" s="20">
        <v>11</v>
      </c>
      <c r="B12" s="20" t="s">
        <v>139</v>
      </c>
      <c r="C12" s="14" t="s">
        <v>140</v>
      </c>
      <c r="D12" s="15" t="s">
        <v>141</v>
      </c>
      <c r="E12" s="21">
        <v>2023</v>
      </c>
      <c r="F12" s="21" t="s">
        <v>142</v>
      </c>
      <c r="G12" s="14" t="s">
        <v>143</v>
      </c>
      <c r="H12" s="21" t="s">
        <v>144</v>
      </c>
      <c r="I12" s="14" t="s">
        <v>145</v>
      </c>
      <c r="J12" s="14" t="s">
        <v>146</v>
      </c>
      <c r="K12" s="21" t="s">
        <v>147</v>
      </c>
      <c r="L12" s="14" t="s">
        <v>148</v>
      </c>
    </row>
    <row r="13" spans="1:13" ht="126" x14ac:dyDescent="0.25">
      <c r="A13" s="20">
        <v>12</v>
      </c>
      <c r="B13" s="20" t="s">
        <v>149</v>
      </c>
      <c r="C13" s="14" t="s">
        <v>150</v>
      </c>
      <c r="D13" s="15" t="s">
        <v>151</v>
      </c>
      <c r="E13" s="21">
        <v>2020</v>
      </c>
      <c r="F13" s="21" t="s">
        <v>152</v>
      </c>
      <c r="G13" s="14" t="s">
        <v>153</v>
      </c>
      <c r="H13" s="21" t="s">
        <v>154</v>
      </c>
      <c r="I13" s="14" t="s">
        <v>155</v>
      </c>
      <c r="J13" s="14" t="s">
        <v>156</v>
      </c>
      <c r="K13" s="21" t="s">
        <v>157</v>
      </c>
      <c r="L13" s="14" t="s">
        <v>158</v>
      </c>
    </row>
    <row r="14" spans="1:13" ht="357" x14ac:dyDescent="0.25">
      <c r="A14" s="20">
        <v>13</v>
      </c>
      <c r="B14" s="20" t="s">
        <v>159</v>
      </c>
      <c r="C14" s="14" t="s">
        <v>160</v>
      </c>
      <c r="D14" s="15" t="s">
        <v>161</v>
      </c>
      <c r="E14" s="21">
        <v>2025</v>
      </c>
      <c r="F14" s="21" t="s">
        <v>162</v>
      </c>
      <c r="G14" s="14" t="s">
        <v>163</v>
      </c>
      <c r="H14" s="21" t="s">
        <v>164</v>
      </c>
      <c r="I14" s="14" t="s">
        <v>165</v>
      </c>
      <c r="J14" s="14" t="s">
        <v>166</v>
      </c>
      <c r="K14" s="21" t="s">
        <v>167</v>
      </c>
      <c r="L14" s="14" t="s">
        <v>168</v>
      </c>
    </row>
    <row r="15" spans="1:13" ht="231" x14ac:dyDescent="0.25">
      <c r="A15" s="20">
        <v>14</v>
      </c>
      <c r="B15" s="20" t="s">
        <v>169</v>
      </c>
      <c r="C15" s="14" t="s">
        <v>170</v>
      </c>
      <c r="D15" s="15" t="s">
        <v>171</v>
      </c>
      <c r="E15" s="21">
        <v>2026</v>
      </c>
      <c r="F15" s="21" t="s">
        <v>172</v>
      </c>
      <c r="G15" s="14" t="s">
        <v>173</v>
      </c>
      <c r="H15" s="21" t="s">
        <v>174</v>
      </c>
      <c r="I15" s="14" t="s">
        <v>175</v>
      </c>
      <c r="J15" s="14" t="s">
        <v>176</v>
      </c>
      <c r="K15" s="21" t="s">
        <v>177</v>
      </c>
      <c r="L15" s="14" t="s">
        <v>178</v>
      </c>
    </row>
    <row r="16" spans="1:13" ht="409.6" x14ac:dyDescent="0.25">
      <c r="A16" s="33">
        <v>15</v>
      </c>
      <c r="B16" s="20" t="s">
        <v>179</v>
      </c>
      <c r="C16" s="14" t="s">
        <v>180</v>
      </c>
      <c r="D16" s="15" t="s">
        <v>181</v>
      </c>
      <c r="E16" s="21">
        <v>2025</v>
      </c>
      <c r="F16" s="21" t="s">
        <v>162</v>
      </c>
      <c r="G16" s="14" t="s">
        <v>182</v>
      </c>
      <c r="H16" s="21" t="s">
        <v>183</v>
      </c>
      <c r="I16" s="14" t="s">
        <v>184</v>
      </c>
      <c r="J16" s="14" t="s">
        <v>185</v>
      </c>
      <c r="K16" s="21" t="s">
        <v>186</v>
      </c>
      <c r="L16" s="14" t="s">
        <v>187</v>
      </c>
    </row>
    <row r="17" spans="1:12" ht="231" x14ac:dyDescent="0.25">
      <c r="A17" s="20">
        <v>16</v>
      </c>
      <c r="B17" s="20" t="s">
        <v>188</v>
      </c>
      <c r="C17" s="14" t="s">
        <v>189</v>
      </c>
      <c r="D17" s="15" t="s">
        <v>190</v>
      </c>
      <c r="E17" s="21">
        <v>2025</v>
      </c>
      <c r="F17" s="21" t="s">
        <v>191</v>
      </c>
      <c r="G17" s="14" t="s">
        <v>192</v>
      </c>
      <c r="H17" s="21" t="s">
        <v>193</v>
      </c>
      <c r="I17" s="14" t="s">
        <v>194</v>
      </c>
      <c r="J17" s="14" t="s">
        <v>195</v>
      </c>
      <c r="K17" s="21" t="s">
        <v>196</v>
      </c>
      <c r="L17" s="14" t="s">
        <v>197</v>
      </c>
    </row>
    <row r="18" spans="1:12" ht="409.6" x14ac:dyDescent="0.25">
      <c r="A18" s="20">
        <v>17</v>
      </c>
      <c r="B18" s="20" t="s">
        <v>198</v>
      </c>
      <c r="C18" s="14" t="s">
        <v>199</v>
      </c>
      <c r="D18" s="15" t="s">
        <v>200</v>
      </c>
      <c r="E18" s="21">
        <v>2026</v>
      </c>
      <c r="F18" s="21" t="s">
        <v>201</v>
      </c>
      <c r="G18" s="14" t="s">
        <v>202</v>
      </c>
      <c r="H18" s="21" t="s">
        <v>203</v>
      </c>
      <c r="I18" s="14" t="s">
        <v>204</v>
      </c>
      <c r="J18" s="14" t="s">
        <v>205</v>
      </c>
      <c r="K18" s="21" t="s">
        <v>206</v>
      </c>
      <c r="L18" s="14" t="s">
        <v>207</v>
      </c>
    </row>
    <row r="19" spans="1:12" ht="409.6" x14ac:dyDescent="0.25">
      <c r="A19" s="20">
        <v>18</v>
      </c>
      <c r="B19" s="20" t="s">
        <v>208</v>
      </c>
      <c r="C19" s="14" t="s">
        <v>209</v>
      </c>
      <c r="D19" s="15" t="s">
        <v>210</v>
      </c>
      <c r="E19" s="21">
        <v>2026</v>
      </c>
      <c r="F19" s="21" t="s">
        <v>211</v>
      </c>
      <c r="G19" s="14" t="s">
        <v>212</v>
      </c>
      <c r="H19" s="21" t="s">
        <v>213</v>
      </c>
      <c r="I19" s="14" t="s">
        <v>214</v>
      </c>
      <c r="J19" s="14" t="s">
        <v>215</v>
      </c>
      <c r="K19" s="21" t="s">
        <v>216</v>
      </c>
      <c r="L19" s="14" t="s">
        <v>217</v>
      </c>
    </row>
    <row r="20" spans="1:12" ht="294" x14ac:dyDescent="0.25">
      <c r="A20" s="20">
        <v>19</v>
      </c>
      <c r="B20" s="20" t="s">
        <v>218</v>
      </c>
      <c r="C20" s="14" t="s">
        <v>94</v>
      </c>
      <c r="D20" s="15" t="s">
        <v>219</v>
      </c>
      <c r="E20" s="21">
        <v>2026</v>
      </c>
      <c r="F20" s="21" t="s">
        <v>220</v>
      </c>
      <c r="G20" s="14" t="s">
        <v>221</v>
      </c>
      <c r="H20" s="21" t="s">
        <v>222</v>
      </c>
      <c r="I20" s="14" t="s">
        <v>223</v>
      </c>
      <c r="J20" s="14" t="s">
        <v>224</v>
      </c>
      <c r="K20" s="21" t="s">
        <v>225</v>
      </c>
      <c r="L20" s="14" t="s">
        <v>226</v>
      </c>
    </row>
    <row r="21" spans="1:12" ht="357" x14ac:dyDescent="0.25">
      <c r="A21" s="20">
        <v>20</v>
      </c>
      <c r="B21" s="20" t="s">
        <v>227</v>
      </c>
      <c r="C21" s="14" t="s">
        <v>228</v>
      </c>
      <c r="D21" s="15" t="s">
        <v>229</v>
      </c>
      <c r="E21" s="21">
        <v>2026</v>
      </c>
      <c r="F21" s="21" t="s">
        <v>230</v>
      </c>
      <c r="G21" s="14" t="s">
        <v>231</v>
      </c>
      <c r="H21" s="21" t="s">
        <v>232</v>
      </c>
      <c r="I21" s="14" t="s">
        <v>233</v>
      </c>
      <c r="J21" s="14" t="s">
        <v>234</v>
      </c>
      <c r="K21" s="21" t="s">
        <v>235</v>
      </c>
      <c r="L21" s="14" t="s">
        <v>236</v>
      </c>
    </row>
    <row r="22" spans="1:12" ht="399" x14ac:dyDescent="0.25">
      <c r="A22" s="20">
        <v>21</v>
      </c>
      <c r="B22" s="21" t="s">
        <v>237</v>
      </c>
      <c r="C22" s="14" t="s">
        <v>238</v>
      </c>
      <c r="D22" s="15" t="s">
        <v>239</v>
      </c>
      <c r="E22" s="21">
        <v>2025</v>
      </c>
      <c r="F22" s="21" t="s">
        <v>240</v>
      </c>
      <c r="G22" s="14" t="s">
        <v>241</v>
      </c>
      <c r="H22" s="21" t="s">
        <v>242</v>
      </c>
      <c r="I22" s="14" t="s">
        <v>243</v>
      </c>
      <c r="J22" s="14" t="s">
        <v>244</v>
      </c>
      <c r="K22" s="21" t="s">
        <v>245</v>
      </c>
      <c r="L22" s="14" t="s">
        <v>246</v>
      </c>
    </row>
    <row r="23" spans="1:12" ht="399" x14ac:dyDescent="0.25">
      <c r="A23" s="20">
        <v>22</v>
      </c>
      <c r="B23" s="20" t="s">
        <v>247</v>
      </c>
      <c r="C23" s="14" t="s">
        <v>248</v>
      </c>
      <c r="D23" s="15" t="s">
        <v>249</v>
      </c>
      <c r="E23" s="21">
        <v>2026</v>
      </c>
      <c r="F23" s="21" t="s">
        <v>250</v>
      </c>
      <c r="G23" s="14" t="s">
        <v>251</v>
      </c>
      <c r="H23" s="21" t="s">
        <v>252</v>
      </c>
      <c r="I23" s="14" t="s">
        <v>253</v>
      </c>
      <c r="J23" s="14" t="s">
        <v>254</v>
      </c>
      <c r="K23" s="21" t="s">
        <v>255</v>
      </c>
      <c r="L23" s="14" t="s">
        <v>256</v>
      </c>
    </row>
    <row r="24" spans="1:12" ht="273" x14ac:dyDescent="0.25">
      <c r="A24" s="20">
        <v>23</v>
      </c>
      <c r="B24" s="20" t="s">
        <v>257</v>
      </c>
      <c r="C24" s="14" t="s">
        <v>258</v>
      </c>
      <c r="D24" s="15" t="s">
        <v>259</v>
      </c>
      <c r="E24" s="21">
        <v>2025</v>
      </c>
      <c r="F24" s="21" t="s">
        <v>66</v>
      </c>
      <c r="G24" s="14" t="s">
        <v>260</v>
      </c>
      <c r="H24" s="21" t="s">
        <v>261</v>
      </c>
      <c r="I24" s="14" t="s">
        <v>262</v>
      </c>
      <c r="J24" s="14" t="s">
        <v>263</v>
      </c>
      <c r="K24" s="21" t="s">
        <v>264</v>
      </c>
      <c r="L24" s="14" t="s">
        <v>265</v>
      </c>
    </row>
    <row r="25" spans="1:12" ht="15" customHeight="1" x14ac:dyDescent="0.25">
      <c r="A25" s="24"/>
      <c r="B25" s="22"/>
      <c r="C25" s="4"/>
      <c r="D25" s="4"/>
      <c r="E25" s="22"/>
      <c r="F25" s="22"/>
      <c r="G25" s="4"/>
      <c r="H25" s="22"/>
      <c r="I25" s="4"/>
      <c r="J25" s="4"/>
      <c r="K25" s="22"/>
      <c r="L25" s="4"/>
    </row>
    <row r="26" spans="1:12" ht="15" customHeight="1" x14ac:dyDescent="0.25">
      <c r="A26" s="24"/>
      <c r="B26" s="22"/>
      <c r="C26" s="5"/>
      <c r="D26" s="4"/>
      <c r="E26" s="22"/>
      <c r="F26" s="22"/>
      <c r="G26" s="4"/>
      <c r="H26" s="22"/>
      <c r="I26" s="4"/>
      <c r="J26" s="4"/>
      <c r="K26" s="22"/>
      <c r="L26" s="6"/>
    </row>
    <row r="27" spans="1:12" ht="15" customHeight="1" x14ac:dyDescent="0.25"/>
    <row r="28" spans="1:12" ht="15" customHeight="1" x14ac:dyDescent="0.25"/>
    <row r="29" spans="1:12" ht="15" customHeight="1" x14ac:dyDescent="0.25"/>
    <row r="30" spans="1:12" ht="15" customHeight="1" x14ac:dyDescent="0.25"/>
    <row r="31" spans="1:12" ht="15" customHeight="1" x14ac:dyDescent="0.25"/>
    <row r="32" spans="1:1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1" ht="51.75" customHeight="1" x14ac:dyDescent="0.25"/>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9"/>
  <sheetViews>
    <sheetView zoomScale="80" zoomScaleNormal="80" workbookViewId="0">
      <pane ySplit="1" topLeftCell="A2" activePane="bottomLeft" state="frozen"/>
      <selection pane="bottomLeft" activeCell="G2" sqref="G2"/>
    </sheetView>
  </sheetViews>
  <sheetFormatPr baseColWidth="10" defaultColWidth="8.6640625" defaultRowHeight="15" x14ac:dyDescent="0.2"/>
  <cols>
    <col min="1" max="1" width="39.5" style="8" customWidth="1"/>
    <col min="2" max="2" width="26" customWidth="1"/>
    <col min="3" max="3" width="50" style="7" customWidth="1"/>
    <col min="4" max="4" width="14.1640625" style="8" customWidth="1"/>
    <col min="5" max="5" width="16" style="8" customWidth="1"/>
    <col min="6" max="6" width="36.1640625" style="8" customWidth="1"/>
    <col min="7" max="7" width="173.6640625" customWidth="1"/>
  </cols>
  <sheetData>
    <row r="1" spans="1:7" s="29" customFormat="1" ht="66" customHeight="1" x14ac:dyDescent="0.2">
      <c r="A1" s="30" t="s">
        <v>266</v>
      </c>
      <c r="B1" s="31" t="s">
        <v>34</v>
      </c>
      <c r="C1" s="32" t="s">
        <v>267</v>
      </c>
      <c r="D1" s="32" t="s">
        <v>36</v>
      </c>
      <c r="E1" s="32" t="s">
        <v>268</v>
      </c>
      <c r="F1" s="32" t="s">
        <v>269</v>
      </c>
      <c r="G1" s="32" t="s">
        <v>270</v>
      </c>
    </row>
    <row r="2" spans="1:7" ht="406" x14ac:dyDescent="0.2">
      <c r="A2" s="28" t="s">
        <v>130</v>
      </c>
      <c r="B2" s="26" t="s">
        <v>271</v>
      </c>
      <c r="C2" s="27" t="s">
        <v>272</v>
      </c>
      <c r="D2" s="28">
        <v>2023</v>
      </c>
      <c r="E2" s="28" t="s">
        <v>255</v>
      </c>
      <c r="F2" s="28">
        <v>8</v>
      </c>
      <c r="G2" s="26" t="s">
        <v>273</v>
      </c>
    </row>
    <row r="3" spans="1:7" ht="319" x14ac:dyDescent="0.2">
      <c r="A3" s="28" t="s">
        <v>188</v>
      </c>
      <c r="B3" s="26" t="s">
        <v>274</v>
      </c>
      <c r="C3" s="27" t="s">
        <v>275</v>
      </c>
      <c r="D3" s="28">
        <v>2026</v>
      </c>
      <c r="E3" s="28" t="s">
        <v>186</v>
      </c>
      <c r="F3" s="28">
        <v>23</v>
      </c>
      <c r="G3" s="26" t="s">
        <v>276</v>
      </c>
    </row>
    <row r="4" spans="1:7" ht="203" x14ac:dyDescent="0.2">
      <c r="A4" s="28" t="s">
        <v>198</v>
      </c>
      <c r="B4" s="26" t="s">
        <v>277</v>
      </c>
      <c r="C4" s="27" t="s">
        <v>278</v>
      </c>
      <c r="D4" s="28">
        <v>2026</v>
      </c>
      <c r="E4" s="28" t="s">
        <v>196</v>
      </c>
      <c r="F4" s="28">
        <v>29</v>
      </c>
      <c r="G4" s="26" t="s">
        <v>279</v>
      </c>
    </row>
    <row r="5" spans="1:7" ht="145" x14ac:dyDescent="0.2">
      <c r="A5" s="28" t="s">
        <v>208</v>
      </c>
      <c r="B5" s="26" t="s">
        <v>280</v>
      </c>
      <c r="C5" s="27" t="s">
        <v>281</v>
      </c>
      <c r="D5" s="28">
        <v>2026</v>
      </c>
      <c r="E5" s="28" t="s">
        <v>206</v>
      </c>
      <c r="F5" s="28">
        <v>28</v>
      </c>
      <c r="G5" s="26" t="s">
        <v>282</v>
      </c>
    </row>
    <row r="6" spans="1:7" ht="174" x14ac:dyDescent="0.2">
      <c r="A6" s="28" t="s">
        <v>218</v>
      </c>
      <c r="B6" s="26" t="s">
        <v>283</v>
      </c>
      <c r="C6" s="27" t="s">
        <v>284</v>
      </c>
      <c r="D6" s="28">
        <v>2026</v>
      </c>
      <c r="E6" s="28" t="s">
        <v>216</v>
      </c>
      <c r="F6" s="28">
        <v>32</v>
      </c>
      <c r="G6" s="26" t="s">
        <v>285</v>
      </c>
    </row>
    <row r="7" spans="1:7" ht="232" x14ac:dyDescent="0.2">
      <c r="A7" s="28" t="s">
        <v>247</v>
      </c>
      <c r="B7" s="26" t="s">
        <v>286</v>
      </c>
      <c r="C7" s="27" t="s">
        <v>287</v>
      </c>
      <c r="D7" s="28">
        <v>2025</v>
      </c>
      <c r="E7" s="28" t="s">
        <v>225</v>
      </c>
      <c r="F7" s="28">
        <v>26</v>
      </c>
      <c r="G7" s="26" t="s">
        <v>288</v>
      </c>
    </row>
    <row r="8" spans="1:7" ht="116" x14ac:dyDescent="0.2">
      <c r="A8" s="28" t="s">
        <v>257</v>
      </c>
      <c r="B8" s="26" t="s">
        <v>289</v>
      </c>
      <c r="C8" s="27" t="s">
        <v>290</v>
      </c>
      <c r="D8" s="28">
        <v>2026</v>
      </c>
      <c r="E8" s="28" t="s">
        <v>235</v>
      </c>
      <c r="F8" s="28">
        <v>25</v>
      </c>
      <c r="G8" s="26" t="s">
        <v>291</v>
      </c>
    </row>
    <row r="9" spans="1:7" ht="174" x14ac:dyDescent="0.2">
      <c r="A9" s="28" t="s">
        <v>292</v>
      </c>
      <c r="B9" s="26" t="s">
        <v>293</v>
      </c>
      <c r="C9" s="27" t="s">
        <v>294</v>
      </c>
      <c r="D9" s="28">
        <v>2025</v>
      </c>
      <c r="E9" s="28" t="s">
        <v>295</v>
      </c>
      <c r="F9" s="28">
        <v>25</v>
      </c>
      <c r="G9" s="26" t="s">
        <v>291</v>
      </c>
    </row>
    <row r="10" spans="1:7" ht="261" x14ac:dyDescent="0.2">
      <c r="A10" s="28" t="s">
        <v>296</v>
      </c>
      <c r="B10" s="26" t="s">
        <v>297</v>
      </c>
      <c r="C10" s="27" t="s">
        <v>298</v>
      </c>
      <c r="D10" s="28">
        <v>2024</v>
      </c>
      <c r="E10" s="28" t="s">
        <v>299</v>
      </c>
      <c r="F10" s="28">
        <v>38</v>
      </c>
      <c r="G10" s="26" t="s">
        <v>300</v>
      </c>
    </row>
    <row r="11" spans="1:7" ht="145" x14ac:dyDescent="0.2">
      <c r="A11" s="28" t="s">
        <v>301</v>
      </c>
      <c r="B11" s="26" t="s">
        <v>302</v>
      </c>
      <c r="C11" s="27" t="s">
        <v>303</v>
      </c>
      <c r="D11" s="28">
        <v>2026</v>
      </c>
      <c r="E11" s="28" t="s">
        <v>304</v>
      </c>
      <c r="F11" s="28">
        <v>28</v>
      </c>
      <c r="G11" s="26" t="s">
        <v>305</v>
      </c>
    </row>
    <row r="12" spans="1:7" ht="174" x14ac:dyDescent="0.2">
      <c r="A12" s="28" t="s">
        <v>306</v>
      </c>
      <c r="B12" s="26" t="s">
        <v>307</v>
      </c>
      <c r="C12" s="27" t="s">
        <v>308</v>
      </c>
      <c r="D12" s="28">
        <v>2025</v>
      </c>
      <c r="E12" s="28" t="s">
        <v>309</v>
      </c>
      <c r="F12" s="28">
        <v>33</v>
      </c>
      <c r="G12" s="26" t="s">
        <v>310</v>
      </c>
    </row>
    <row r="13" spans="1:7" ht="87" x14ac:dyDescent="0.2">
      <c r="A13" s="28" t="s">
        <v>311</v>
      </c>
      <c r="B13" s="26" t="s">
        <v>312</v>
      </c>
      <c r="C13" s="27" t="s">
        <v>313</v>
      </c>
      <c r="D13" s="28">
        <v>2025</v>
      </c>
      <c r="E13" s="28" t="s">
        <v>314</v>
      </c>
      <c r="F13" s="28">
        <v>27</v>
      </c>
      <c r="G13" s="26" t="s">
        <v>315</v>
      </c>
    </row>
    <row r="14" spans="1:7" ht="232" x14ac:dyDescent="0.2">
      <c r="A14" s="28" t="s">
        <v>316</v>
      </c>
      <c r="B14" s="26" t="s">
        <v>317</v>
      </c>
      <c r="C14" s="27" t="s">
        <v>318</v>
      </c>
      <c r="D14" s="28">
        <v>2025</v>
      </c>
      <c r="E14" s="28" t="s">
        <v>319</v>
      </c>
      <c r="F14" s="28">
        <v>36</v>
      </c>
      <c r="G14" s="26" t="s">
        <v>320</v>
      </c>
    </row>
    <row r="15" spans="1:7" ht="116" x14ac:dyDescent="0.2">
      <c r="A15" s="28" t="s">
        <v>321</v>
      </c>
      <c r="B15" s="26" t="s">
        <v>322</v>
      </c>
      <c r="C15" s="27" t="s">
        <v>323</v>
      </c>
      <c r="D15" s="28">
        <v>2026</v>
      </c>
      <c r="E15" s="28" t="s">
        <v>235</v>
      </c>
      <c r="F15" s="28">
        <v>24</v>
      </c>
      <c r="G15" s="26" t="s">
        <v>324</v>
      </c>
    </row>
    <row r="16" spans="1:7" ht="203" x14ac:dyDescent="0.2">
      <c r="A16" s="28" t="s">
        <v>325</v>
      </c>
      <c r="B16" s="26" t="s">
        <v>326</v>
      </c>
      <c r="C16" s="27" t="s">
        <v>327</v>
      </c>
      <c r="D16" s="28">
        <v>2024</v>
      </c>
      <c r="E16" s="28" t="s">
        <v>299</v>
      </c>
      <c r="F16" s="28">
        <v>37</v>
      </c>
      <c r="G16" s="26" t="s">
        <v>328</v>
      </c>
    </row>
    <row r="17" spans="1:7" ht="116" x14ac:dyDescent="0.2">
      <c r="A17" s="28" t="s">
        <v>329</v>
      </c>
      <c r="B17" s="26" t="s">
        <v>330</v>
      </c>
      <c r="C17" s="27" t="s">
        <v>331</v>
      </c>
      <c r="D17" s="28">
        <v>2025</v>
      </c>
      <c r="E17" s="28" t="s">
        <v>332</v>
      </c>
      <c r="F17" s="28">
        <v>26</v>
      </c>
      <c r="G17" s="26" t="s">
        <v>333</v>
      </c>
    </row>
    <row r="18" spans="1:7" ht="116" x14ac:dyDescent="0.2">
      <c r="A18" s="28" t="s">
        <v>334</v>
      </c>
      <c r="B18" s="26" t="s">
        <v>335</v>
      </c>
      <c r="C18" s="27" t="s">
        <v>336</v>
      </c>
      <c r="D18" s="28">
        <v>2025</v>
      </c>
      <c r="E18" s="28" t="s">
        <v>337</v>
      </c>
      <c r="F18" s="28">
        <v>33</v>
      </c>
      <c r="G18" s="26" t="s">
        <v>338</v>
      </c>
    </row>
    <row r="19" spans="1:7" ht="145" x14ac:dyDescent="0.2">
      <c r="A19" s="28" t="s">
        <v>339</v>
      </c>
      <c r="B19" s="26" t="s">
        <v>340</v>
      </c>
      <c r="C19" s="27" t="s">
        <v>341</v>
      </c>
      <c r="D19" s="28">
        <v>2026</v>
      </c>
      <c r="E19" s="28" t="s">
        <v>342</v>
      </c>
      <c r="F19" s="28">
        <v>36</v>
      </c>
      <c r="G19" s="26" t="s">
        <v>343</v>
      </c>
    </row>
    <row r="20" spans="1:7" ht="116" x14ac:dyDescent="0.2">
      <c r="A20" s="28" t="s">
        <v>344</v>
      </c>
      <c r="B20" s="26" t="s">
        <v>345</v>
      </c>
      <c r="C20" s="27" t="s">
        <v>346</v>
      </c>
      <c r="D20" s="28">
        <v>2025</v>
      </c>
      <c r="E20" s="28" t="s">
        <v>347</v>
      </c>
      <c r="F20" s="28">
        <v>32</v>
      </c>
      <c r="G20" s="26" t="s">
        <v>348</v>
      </c>
    </row>
    <row r="21" spans="1:7" ht="261" x14ac:dyDescent="0.2">
      <c r="A21" s="28" t="s">
        <v>349</v>
      </c>
      <c r="B21" s="26" t="s">
        <v>350</v>
      </c>
      <c r="C21" s="27" t="s">
        <v>351</v>
      </c>
      <c r="D21" s="28">
        <v>2026</v>
      </c>
      <c r="E21" s="28" t="s">
        <v>352</v>
      </c>
      <c r="F21" s="28">
        <v>35</v>
      </c>
      <c r="G21" s="26" t="s">
        <v>353</v>
      </c>
    </row>
    <row r="22" spans="1:7" ht="87" x14ac:dyDescent="0.2">
      <c r="A22" s="28" t="s">
        <v>354</v>
      </c>
      <c r="B22" s="26" t="s">
        <v>355</v>
      </c>
      <c r="C22" s="27" t="s">
        <v>356</v>
      </c>
      <c r="D22" s="28">
        <v>2026</v>
      </c>
      <c r="E22" s="28" t="s">
        <v>357</v>
      </c>
      <c r="F22" s="28">
        <v>34</v>
      </c>
      <c r="G22" s="26" t="s">
        <v>358</v>
      </c>
    </row>
    <row r="23" spans="1:7" ht="87" x14ac:dyDescent="0.2">
      <c r="A23" s="28" t="s">
        <v>359</v>
      </c>
      <c r="B23" s="26" t="s">
        <v>360</v>
      </c>
      <c r="C23" s="27" t="s">
        <v>361</v>
      </c>
      <c r="D23" s="28">
        <v>2025</v>
      </c>
      <c r="E23" s="28" t="s">
        <v>362</v>
      </c>
      <c r="F23" s="28">
        <v>34</v>
      </c>
      <c r="G23" s="26" t="s">
        <v>363</v>
      </c>
    </row>
    <row r="24" spans="1:7" ht="145" x14ac:dyDescent="0.2">
      <c r="A24" s="28" t="s">
        <v>364</v>
      </c>
      <c r="B24" s="26" t="s">
        <v>365</v>
      </c>
      <c r="C24" s="27" t="s">
        <v>366</v>
      </c>
      <c r="D24" s="28">
        <v>2025</v>
      </c>
      <c r="E24" s="28" t="s">
        <v>367</v>
      </c>
      <c r="F24" s="28">
        <v>34</v>
      </c>
      <c r="G24" s="26" t="s">
        <v>368</v>
      </c>
    </row>
    <row r="25" spans="1:7" ht="116" x14ac:dyDescent="0.2">
      <c r="A25" s="28" t="s">
        <v>369</v>
      </c>
      <c r="B25" s="26" t="s">
        <v>370</v>
      </c>
      <c r="C25" s="27" t="s">
        <v>371</v>
      </c>
      <c r="D25" s="28">
        <v>2026</v>
      </c>
      <c r="E25" s="28" t="s">
        <v>372</v>
      </c>
      <c r="F25" s="28">
        <v>38</v>
      </c>
      <c r="G25" s="26" t="s">
        <v>373</v>
      </c>
    </row>
    <row r="26" spans="1:7" ht="232" x14ac:dyDescent="0.2">
      <c r="A26" s="28" t="s">
        <v>374</v>
      </c>
      <c r="B26" s="26" t="s">
        <v>375</v>
      </c>
      <c r="C26" s="27" t="s">
        <v>376</v>
      </c>
      <c r="D26" s="28">
        <v>2025</v>
      </c>
      <c r="E26" s="28" t="s">
        <v>377</v>
      </c>
      <c r="F26" s="28">
        <v>39</v>
      </c>
      <c r="G26" s="26" t="s">
        <v>378</v>
      </c>
    </row>
    <row r="27" spans="1:7" ht="116" x14ac:dyDescent="0.2">
      <c r="A27" s="28" t="s">
        <v>379</v>
      </c>
      <c r="B27" s="26" t="s">
        <v>380</v>
      </c>
      <c r="C27" s="27" t="s">
        <v>381</v>
      </c>
      <c r="D27" s="28">
        <v>2025</v>
      </c>
      <c r="E27" s="28" t="s">
        <v>382</v>
      </c>
      <c r="F27" s="28">
        <v>41</v>
      </c>
      <c r="G27" s="26" t="s">
        <v>383</v>
      </c>
    </row>
    <row r="28" spans="1:7" ht="87" x14ac:dyDescent="0.2">
      <c r="A28" s="28" t="s">
        <v>384</v>
      </c>
      <c r="B28" s="26" t="s">
        <v>385</v>
      </c>
      <c r="C28" s="27" t="s">
        <v>386</v>
      </c>
      <c r="D28" s="28">
        <v>2025</v>
      </c>
      <c r="E28" s="28" t="s">
        <v>387</v>
      </c>
      <c r="F28" s="28">
        <v>42</v>
      </c>
      <c r="G28" s="26" t="s">
        <v>388</v>
      </c>
    </row>
    <row r="29" spans="1:7" ht="174" x14ac:dyDescent="0.2">
      <c r="A29" s="28" t="s">
        <v>389</v>
      </c>
      <c r="B29" s="26" t="s">
        <v>390</v>
      </c>
      <c r="C29" s="27" t="s">
        <v>391</v>
      </c>
      <c r="D29" s="28">
        <v>2025</v>
      </c>
      <c r="E29" s="28" t="s">
        <v>392</v>
      </c>
      <c r="F29" s="28">
        <v>41</v>
      </c>
      <c r="G29" s="26" t="s">
        <v>393</v>
      </c>
    </row>
    <row r="30" spans="1:7" ht="145" x14ac:dyDescent="0.2">
      <c r="A30" s="28" t="s">
        <v>394</v>
      </c>
      <c r="B30" s="26" t="s">
        <v>395</v>
      </c>
      <c r="C30" s="27" t="s">
        <v>396</v>
      </c>
      <c r="D30" s="28">
        <v>2026</v>
      </c>
      <c r="E30" s="28" t="s">
        <v>397</v>
      </c>
      <c r="F30" s="28">
        <v>37</v>
      </c>
      <c r="G30" s="26" t="s">
        <v>398</v>
      </c>
    </row>
    <row r="31" spans="1:7" ht="87" x14ac:dyDescent="0.2">
      <c r="A31" s="28" t="s">
        <v>399</v>
      </c>
      <c r="B31" s="26" t="s">
        <v>400</v>
      </c>
      <c r="C31" s="27" t="s">
        <v>401</v>
      </c>
      <c r="D31" s="28">
        <v>2026</v>
      </c>
      <c r="E31" s="28" t="s">
        <v>402</v>
      </c>
      <c r="F31" s="28">
        <v>43</v>
      </c>
      <c r="G31" s="26" t="s">
        <v>403</v>
      </c>
    </row>
    <row r="32" spans="1:7" ht="261" x14ac:dyDescent="0.2">
      <c r="A32" s="28" t="s">
        <v>404</v>
      </c>
      <c r="B32" s="26" t="s">
        <v>405</v>
      </c>
      <c r="C32" s="27" t="s">
        <v>406</v>
      </c>
      <c r="D32" s="28">
        <v>2026</v>
      </c>
      <c r="E32" s="28" t="s">
        <v>407</v>
      </c>
      <c r="F32" s="28">
        <v>45</v>
      </c>
      <c r="G32" s="26" t="s">
        <v>408</v>
      </c>
    </row>
    <row r="33" spans="1:7" ht="145" x14ac:dyDescent="0.2">
      <c r="A33" s="28" t="s">
        <v>409</v>
      </c>
      <c r="B33" s="26" t="s">
        <v>410</v>
      </c>
      <c r="C33" s="27" t="s">
        <v>411</v>
      </c>
      <c r="D33" s="28">
        <v>2026</v>
      </c>
      <c r="E33" s="28" t="s">
        <v>412</v>
      </c>
      <c r="F33" s="28">
        <v>43</v>
      </c>
      <c r="G33" s="26" t="s">
        <v>413</v>
      </c>
    </row>
    <row r="34" spans="1:7" ht="232" x14ac:dyDescent="0.2">
      <c r="A34" s="28" t="s">
        <v>414</v>
      </c>
      <c r="B34" s="26" t="s">
        <v>415</v>
      </c>
      <c r="C34" s="27" t="s">
        <v>416</v>
      </c>
      <c r="D34" s="28">
        <v>2024</v>
      </c>
      <c r="E34" s="28" t="s">
        <v>417</v>
      </c>
      <c r="F34" s="28">
        <v>55</v>
      </c>
      <c r="G34" s="26" t="s">
        <v>418</v>
      </c>
    </row>
    <row r="35" spans="1:7" ht="116" x14ac:dyDescent="0.2">
      <c r="A35" s="28" t="s">
        <v>419</v>
      </c>
      <c r="B35" s="26" t="s">
        <v>420</v>
      </c>
      <c r="C35" s="27" t="s">
        <v>421</v>
      </c>
      <c r="D35" s="28">
        <v>2025</v>
      </c>
      <c r="E35" s="28" t="s">
        <v>422</v>
      </c>
      <c r="F35" s="28">
        <v>56</v>
      </c>
      <c r="G35" s="26" t="s">
        <v>423</v>
      </c>
    </row>
    <row r="36" spans="1:7" ht="377" x14ac:dyDescent="0.2">
      <c r="A36" s="28" t="s">
        <v>424</v>
      </c>
      <c r="B36" s="26" t="s">
        <v>425</v>
      </c>
      <c r="C36" s="27" t="s">
        <v>426</v>
      </c>
      <c r="D36" s="28">
        <v>2026</v>
      </c>
      <c r="E36" s="28" t="s">
        <v>427</v>
      </c>
      <c r="F36" s="28">
        <v>9</v>
      </c>
      <c r="G36" s="26" t="s">
        <v>428</v>
      </c>
    </row>
    <row r="37" spans="1:7" ht="409.5" customHeight="1" x14ac:dyDescent="0.2">
      <c r="A37" s="34"/>
      <c r="B37" s="1"/>
      <c r="C37" s="1"/>
      <c r="D37" s="1"/>
      <c r="E37" s="1"/>
      <c r="F37" s="1"/>
      <c r="G37" s="1"/>
    </row>
    <row r="38" spans="1:7" ht="409.5" customHeight="1" x14ac:dyDescent="0.2">
      <c r="A38" s="35"/>
      <c r="B38" s="1"/>
      <c r="C38" s="1"/>
      <c r="D38" s="1"/>
      <c r="E38" s="1"/>
      <c r="F38" s="1"/>
      <c r="G38" s="1"/>
    </row>
    <row r="39" spans="1:7" ht="409.5" customHeight="1" x14ac:dyDescent="0.2">
      <c r="A39" s="36"/>
      <c r="B39" s="1"/>
      <c r="C39" s="1"/>
      <c r="D39" s="1"/>
      <c r="E39" s="1"/>
      <c r="F39" s="1"/>
      <c r="G39" s="1"/>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805"/>
  <sheetViews>
    <sheetView zoomScaleNormal="100" workbookViewId="0">
      <pane xSplit="2" ySplit="1" topLeftCell="C251" activePane="bottomRight" state="frozen"/>
      <selection pane="topRight" activeCell="C1" sqref="C1"/>
      <selection pane="bottomLeft" activeCell="A2" sqref="A2"/>
      <selection pane="bottomRight" activeCell="D59" sqref="D59"/>
    </sheetView>
  </sheetViews>
  <sheetFormatPr baseColWidth="10" defaultColWidth="8.6640625" defaultRowHeight="18" x14ac:dyDescent="0.2"/>
  <cols>
    <col min="1" max="1" width="8" customWidth="1"/>
    <col min="2" max="2" width="7" customWidth="1"/>
    <col min="3" max="3" width="64" customWidth="1"/>
    <col min="4" max="4" width="46" style="38" customWidth="1"/>
    <col min="5" max="5" width="38" customWidth="1"/>
    <col min="6" max="6" width="59.1640625" customWidth="1"/>
    <col min="7" max="7" width="22" customWidth="1"/>
    <col min="8" max="8" width="29.6640625" customWidth="1"/>
    <col min="9" max="9" width="26" customWidth="1"/>
    <col min="10" max="10" width="30" customWidth="1"/>
  </cols>
  <sheetData>
    <row r="1" spans="1:10" ht="35" customHeight="1" x14ac:dyDescent="0.2">
      <c r="A1" s="85" t="s">
        <v>429</v>
      </c>
      <c r="B1" s="85" t="s">
        <v>36</v>
      </c>
      <c r="C1" s="42" t="s">
        <v>430</v>
      </c>
      <c r="D1" s="42" t="s">
        <v>431</v>
      </c>
      <c r="E1" s="42" t="s">
        <v>432</v>
      </c>
      <c r="F1" s="42" t="s">
        <v>433</v>
      </c>
      <c r="G1" s="42" t="s">
        <v>434</v>
      </c>
      <c r="H1" s="42" t="s">
        <v>435</v>
      </c>
      <c r="I1" s="42" t="s">
        <v>436</v>
      </c>
      <c r="J1" s="42" t="s">
        <v>437</v>
      </c>
    </row>
    <row r="2" spans="1:10" ht="95" x14ac:dyDescent="0.2">
      <c r="A2" s="86" t="s">
        <v>54</v>
      </c>
      <c r="B2" s="40">
        <v>2025</v>
      </c>
      <c r="C2" s="41" t="s">
        <v>438</v>
      </c>
      <c r="D2" s="38" t="s">
        <v>439</v>
      </c>
      <c r="E2" s="41" t="s">
        <v>440</v>
      </c>
      <c r="F2" s="41" t="s">
        <v>441</v>
      </c>
      <c r="G2" s="40"/>
      <c r="H2" s="41" t="s">
        <v>442</v>
      </c>
      <c r="I2" s="40" t="s">
        <v>443</v>
      </c>
      <c r="J2" s="41" t="s">
        <v>444</v>
      </c>
    </row>
    <row r="3" spans="1:10" ht="95" x14ac:dyDescent="0.2">
      <c r="A3" s="87" t="s">
        <v>44</v>
      </c>
      <c r="B3" s="37">
        <v>2024</v>
      </c>
      <c r="C3" s="38" t="s">
        <v>445</v>
      </c>
      <c r="D3" s="38" t="s">
        <v>446</v>
      </c>
      <c r="E3" s="38" t="s">
        <v>440</v>
      </c>
      <c r="F3" s="38" t="s">
        <v>441</v>
      </c>
      <c r="G3" s="37"/>
      <c r="H3" s="38" t="s">
        <v>447</v>
      </c>
      <c r="I3" s="37" t="s">
        <v>443</v>
      </c>
      <c r="J3" s="38" t="s">
        <v>444</v>
      </c>
    </row>
    <row r="4" spans="1:10" ht="95" x14ac:dyDescent="0.2">
      <c r="A4" s="87" t="s">
        <v>63</v>
      </c>
      <c r="B4" s="37">
        <v>2025</v>
      </c>
      <c r="C4" s="38" t="s">
        <v>448</v>
      </c>
      <c r="D4" s="38" t="s">
        <v>449</v>
      </c>
      <c r="E4" s="38" t="s">
        <v>440</v>
      </c>
      <c r="F4" s="38" t="s">
        <v>441</v>
      </c>
      <c r="G4" s="37"/>
      <c r="H4" s="38" t="s">
        <v>450</v>
      </c>
      <c r="I4" s="37" t="s">
        <v>451</v>
      </c>
      <c r="J4" s="38" t="s">
        <v>444</v>
      </c>
    </row>
    <row r="5" spans="1:10" ht="95" x14ac:dyDescent="0.2">
      <c r="A5" s="87" t="s">
        <v>83</v>
      </c>
      <c r="B5" s="37">
        <v>2025</v>
      </c>
      <c r="C5" s="38" t="s">
        <v>452</v>
      </c>
      <c r="D5" s="38" t="s">
        <v>453</v>
      </c>
      <c r="E5" s="38" t="s">
        <v>440</v>
      </c>
      <c r="F5" s="38" t="s">
        <v>441</v>
      </c>
      <c r="G5" s="37"/>
      <c r="H5" s="38" t="s">
        <v>454</v>
      </c>
      <c r="I5" s="37" t="s">
        <v>443</v>
      </c>
      <c r="J5" s="38" t="s">
        <v>444</v>
      </c>
    </row>
    <row r="6" spans="1:10" ht="38" x14ac:dyDescent="0.2">
      <c r="A6" s="87" t="s">
        <v>73</v>
      </c>
      <c r="B6" s="37">
        <v>2024</v>
      </c>
      <c r="C6" s="38" t="s">
        <v>455</v>
      </c>
      <c r="D6" s="38" t="s">
        <v>456</v>
      </c>
      <c r="E6" s="38" t="s">
        <v>440</v>
      </c>
      <c r="F6" s="38" t="s">
        <v>441</v>
      </c>
      <c r="G6" s="37"/>
      <c r="H6" s="38" t="s">
        <v>457</v>
      </c>
      <c r="I6" s="37" t="s">
        <v>443</v>
      </c>
      <c r="J6" s="38" t="s">
        <v>444</v>
      </c>
    </row>
    <row r="7" spans="1:10" ht="95" x14ac:dyDescent="0.2">
      <c r="A7" s="87" t="s">
        <v>93</v>
      </c>
      <c r="B7" s="37">
        <v>2025</v>
      </c>
      <c r="C7" s="38" t="s">
        <v>458</v>
      </c>
      <c r="D7" s="38" t="s">
        <v>459</v>
      </c>
      <c r="E7" s="38" t="s">
        <v>440</v>
      </c>
      <c r="F7" s="38" t="s">
        <v>441</v>
      </c>
      <c r="G7" s="37"/>
      <c r="H7" s="38" t="s">
        <v>460</v>
      </c>
      <c r="I7" s="37" t="s">
        <v>451</v>
      </c>
      <c r="J7" s="38" t="s">
        <v>444</v>
      </c>
    </row>
    <row r="8" spans="1:10" ht="114" x14ac:dyDescent="0.2">
      <c r="A8" s="87" t="s">
        <v>93</v>
      </c>
      <c r="B8" s="37">
        <v>2025</v>
      </c>
      <c r="C8" s="38" t="s">
        <v>461</v>
      </c>
      <c r="D8" s="38" t="s">
        <v>462</v>
      </c>
      <c r="E8" s="38" t="s">
        <v>440</v>
      </c>
      <c r="F8" s="38" t="s">
        <v>441</v>
      </c>
      <c r="G8" s="37"/>
      <c r="H8" s="38" t="s">
        <v>463</v>
      </c>
      <c r="I8" s="37" t="s">
        <v>451</v>
      </c>
      <c r="J8" s="38" t="s">
        <v>444</v>
      </c>
    </row>
    <row r="9" spans="1:10" ht="57" x14ac:dyDescent="0.2">
      <c r="A9" s="87" t="s">
        <v>93</v>
      </c>
      <c r="B9" s="37">
        <v>2025</v>
      </c>
      <c r="C9" s="38" t="s">
        <v>464</v>
      </c>
      <c r="D9" s="38" t="s">
        <v>465</v>
      </c>
      <c r="E9" s="38" t="s">
        <v>440</v>
      </c>
      <c r="F9" s="38" t="s">
        <v>441</v>
      </c>
      <c r="G9" s="37"/>
      <c r="H9" s="38" t="s">
        <v>466</v>
      </c>
      <c r="I9" s="37" t="s">
        <v>451</v>
      </c>
      <c r="J9" s="38" t="s">
        <v>444</v>
      </c>
    </row>
    <row r="10" spans="1:10" ht="114" x14ac:dyDescent="0.2">
      <c r="A10" s="87" t="s">
        <v>103</v>
      </c>
      <c r="B10" s="37">
        <v>2024</v>
      </c>
      <c r="C10" s="38" t="s">
        <v>467</v>
      </c>
      <c r="D10" s="38" t="s">
        <v>468</v>
      </c>
      <c r="E10" s="38" t="s">
        <v>440</v>
      </c>
      <c r="F10" s="38" t="s">
        <v>441</v>
      </c>
      <c r="G10" s="37"/>
      <c r="H10" s="38" t="s">
        <v>469</v>
      </c>
      <c r="I10" s="37" t="s">
        <v>451</v>
      </c>
      <c r="J10" s="38" t="s">
        <v>444</v>
      </c>
    </row>
    <row r="11" spans="1:10" ht="95" x14ac:dyDescent="0.2">
      <c r="A11" s="87" t="s">
        <v>103</v>
      </c>
      <c r="B11" s="37">
        <v>2024</v>
      </c>
      <c r="C11" s="38" t="s">
        <v>470</v>
      </c>
      <c r="D11" s="38" t="s">
        <v>471</v>
      </c>
      <c r="E11" s="38" t="s">
        <v>440</v>
      </c>
      <c r="F11" s="38" t="s">
        <v>441</v>
      </c>
      <c r="G11" s="37"/>
      <c r="H11" s="38" t="s">
        <v>472</v>
      </c>
      <c r="I11" s="37" t="s">
        <v>451</v>
      </c>
      <c r="J11" s="38" t="s">
        <v>444</v>
      </c>
    </row>
    <row r="12" spans="1:10" ht="57" x14ac:dyDescent="0.2">
      <c r="A12" s="87" t="s">
        <v>113</v>
      </c>
      <c r="B12" s="37">
        <v>2024</v>
      </c>
      <c r="C12" s="38" t="s">
        <v>473</v>
      </c>
      <c r="D12" s="38" t="s">
        <v>474</v>
      </c>
      <c r="E12" s="38" t="s">
        <v>440</v>
      </c>
      <c r="F12" s="38" t="s">
        <v>441</v>
      </c>
      <c r="G12" s="37"/>
      <c r="H12" s="38" t="s">
        <v>475</v>
      </c>
      <c r="I12" s="37" t="s">
        <v>443</v>
      </c>
      <c r="J12" s="38" t="s">
        <v>444</v>
      </c>
    </row>
    <row r="13" spans="1:10" ht="76" x14ac:dyDescent="0.2">
      <c r="A13" s="87" t="s">
        <v>122</v>
      </c>
      <c r="B13" s="37">
        <v>2024</v>
      </c>
      <c r="C13" s="38" t="s">
        <v>476</v>
      </c>
      <c r="D13" s="38" t="s">
        <v>477</v>
      </c>
      <c r="E13" s="38" t="s">
        <v>440</v>
      </c>
      <c r="F13" s="38" t="s">
        <v>441</v>
      </c>
      <c r="G13" s="37"/>
      <c r="H13" s="38" t="s">
        <v>478</v>
      </c>
      <c r="I13" s="37" t="s">
        <v>451</v>
      </c>
      <c r="J13" s="38" t="s">
        <v>444</v>
      </c>
    </row>
    <row r="14" spans="1:10" ht="95" x14ac:dyDescent="0.2">
      <c r="A14" s="87" t="s">
        <v>130</v>
      </c>
      <c r="B14" s="37">
        <v>2024</v>
      </c>
      <c r="C14" s="38" t="s">
        <v>479</v>
      </c>
      <c r="D14" s="38" t="s">
        <v>480</v>
      </c>
      <c r="E14" s="38" t="s">
        <v>440</v>
      </c>
      <c r="F14" s="38" t="s">
        <v>441</v>
      </c>
      <c r="G14" s="37"/>
      <c r="H14" s="38" t="s">
        <v>478</v>
      </c>
      <c r="I14" s="37" t="s">
        <v>451</v>
      </c>
      <c r="J14" s="38" t="s">
        <v>444</v>
      </c>
    </row>
    <row r="15" spans="1:10" ht="76" x14ac:dyDescent="0.2">
      <c r="A15" s="87" t="s">
        <v>130</v>
      </c>
      <c r="B15" s="37">
        <v>2024</v>
      </c>
      <c r="C15" s="38" t="s">
        <v>481</v>
      </c>
      <c r="D15" s="38" t="s">
        <v>482</v>
      </c>
      <c r="E15" s="38" t="s">
        <v>440</v>
      </c>
      <c r="F15" s="38" t="s">
        <v>441</v>
      </c>
      <c r="G15" s="37"/>
      <c r="H15" s="38" t="s">
        <v>483</v>
      </c>
      <c r="I15" s="37" t="s">
        <v>451</v>
      </c>
      <c r="J15" s="38" t="s">
        <v>444</v>
      </c>
    </row>
    <row r="16" spans="1:10" ht="114" x14ac:dyDescent="0.2">
      <c r="A16" s="87" t="s">
        <v>139</v>
      </c>
      <c r="B16" s="37">
        <v>2023</v>
      </c>
      <c r="C16" s="38" t="s">
        <v>484</v>
      </c>
      <c r="D16" s="38" t="s">
        <v>485</v>
      </c>
      <c r="E16" s="38" t="s">
        <v>440</v>
      </c>
      <c r="F16" s="38" t="s">
        <v>441</v>
      </c>
      <c r="G16" s="37"/>
      <c r="H16" s="38" t="s">
        <v>486</v>
      </c>
      <c r="I16" s="37" t="s">
        <v>451</v>
      </c>
      <c r="J16" s="38" t="s">
        <v>444</v>
      </c>
    </row>
    <row r="17" spans="1:10" ht="114" x14ac:dyDescent="0.2">
      <c r="A17" s="87" t="s">
        <v>139</v>
      </c>
      <c r="B17" s="37">
        <v>2023</v>
      </c>
      <c r="C17" s="38" t="s">
        <v>487</v>
      </c>
      <c r="D17" s="38" t="s">
        <v>488</v>
      </c>
      <c r="E17" s="38" t="s">
        <v>440</v>
      </c>
      <c r="F17" s="38" t="s">
        <v>441</v>
      </c>
      <c r="G17" s="37"/>
      <c r="H17" s="38" t="s">
        <v>489</v>
      </c>
      <c r="I17" s="37" t="s">
        <v>451</v>
      </c>
      <c r="J17" s="38" t="s">
        <v>444</v>
      </c>
    </row>
    <row r="18" spans="1:10" ht="38" x14ac:dyDescent="0.2">
      <c r="A18" s="87" t="s">
        <v>149</v>
      </c>
      <c r="B18" s="37">
        <v>2020</v>
      </c>
      <c r="C18" s="38" t="s">
        <v>490</v>
      </c>
      <c r="D18" s="38" t="s">
        <v>491</v>
      </c>
      <c r="E18" s="38" t="s">
        <v>440</v>
      </c>
      <c r="F18" s="38" t="s">
        <v>441</v>
      </c>
      <c r="G18" s="37"/>
      <c r="H18" s="38" t="s">
        <v>492</v>
      </c>
      <c r="I18" s="37" t="s">
        <v>443</v>
      </c>
      <c r="J18" s="38" t="s">
        <v>444</v>
      </c>
    </row>
    <row r="19" spans="1:10" ht="76" x14ac:dyDescent="0.2">
      <c r="A19" s="87" t="s">
        <v>159</v>
      </c>
      <c r="B19" s="37">
        <v>2025</v>
      </c>
      <c r="C19" s="38" t="s">
        <v>493</v>
      </c>
      <c r="D19" s="38" t="s">
        <v>494</v>
      </c>
      <c r="E19" s="38" t="s">
        <v>440</v>
      </c>
      <c r="F19" s="38" t="s">
        <v>441</v>
      </c>
      <c r="G19" s="37"/>
      <c r="H19" s="38" t="s">
        <v>457</v>
      </c>
      <c r="I19" s="37" t="s">
        <v>443</v>
      </c>
      <c r="J19" s="38" t="s">
        <v>444</v>
      </c>
    </row>
    <row r="20" spans="1:10" ht="57" x14ac:dyDescent="0.2">
      <c r="A20" s="87" t="s">
        <v>169</v>
      </c>
      <c r="B20" s="37">
        <v>2026</v>
      </c>
      <c r="C20" s="38" t="s">
        <v>495</v>
      </c>
      <c r="D20" s="38" t="s">
        <v>496</v>
      </c>
      <c r="E20" s="38" t="s">
        <v>440</v>
      </c>
      <c r="F20" s="38" t="s">
        <v>441</v>
      </c>
      <c r="G20" s="37"/>
      <c r="H20" s="38" t="s">
        <v>497</v>
      </c>
      <c r="I20" s="37" t="s">
        <v>443</v>
      </c>
      <c r="J20" s="38" t="s">
        <v>444</v>
      </c>
    </row>
    <row r="21" spans="1:10" ht="152" x14ac:dyDescent="0.2">
      <c r="A21" s="87" t="s">
        <v>179</v>
      </c>
      <c r="B21" s="37">
        <v>2025</v>
      </c>
      <c r="C21" s="38" t="s">
        <v>498</v>
      </c>
      <c r="D21" s="38" t="s">
        <v>499</v>
      </c>
      <c r="E21" s="38" t="s">
        <v>440</v>
      </c>
      <c r="F21" s="38" t="s">
        <v>441</v>
      </c>
      <c r="G21" s="37"/>
      <c r="H21" s="38" t="s">
        <v>500</v>
      </c>
      <c r="I21" s="37" t="s">
        <v>443</v>
      </c>
      <c r="J21" s="38" t="s">
        <v>444</v>
      </c>
    </row>
    <row r="22" spans="1:10" ht="114" x14ac:dyDescent="0.2">
      <c r="A22" s="87" t="s">
        <v>188</v>
      </c>
      <c r="B22" s="37">
        <v>2025</v>
      </c>
      <c r="C22" s="38" t="s">
        <v>501</v>
      </c>
      <c r="D22" s="38" t="s">
        <v>502</v>
      </c>
      <c r="E22" s="38" t="s">
        <v>440</v>
      </c>
      <c r="F22" s="38" t="s">
        <v>441</v>
      </c>
      <c r="G22" s="37"/>
      <c r="H22" s="38" t="s">
        <v>503</v>
      </c>
      <c r="I22" s="37" t="s">
        <v>443</v>
      </c>
      <c r="J22" s="38" t="s">
        <v>444</v>
      </c>
    </row>
    <row r="23" spans="1:10" ht="285" x14ac:dyDescent="0.2">
      <c r="A23" s="87" t="s">
        <v>198</v>
      </c>
      <c r="B23" s="37">
        <v>2026</v>
      </c>
      <c r="C23" s="38" t="s">
        <v>504</v>
      </c>
      <c r="D23" s="38" t="s">
        <v>505</v>
      </c>
      <c r="E23" s="38" t="s">
        <v>440</v>
      </c>
      <c r="F23" s="38" t="s">
        <v>441</v>
      </c>
      <c r="G23" s="37"/>
      <c r="H23" s="38" t="s">
        <v>506</v>
      </c>
      <c r="I23" s="37" t="s">
        <v>451</v>
      </c>
      <c r="J23" s="38" t="s">
        <v>444</v>
      </c>
    </row>
    <row r="24" spans="1:10" ht="171" x14ac:dyDescent="0.2">
      <c r="A24" s="87" t="s">
        <v>208</v>
      </c>
      <c r="B24" s="37">
        <v>2026</v>
      </c>
      <c r="C24" s="38" t="s">
        <v>507</v>
      </c>
      <c r="D24" s="38" t="s">
        <v>508</v>
      </c>
      <c r="E24" s="38" t="s">
        <v>440</v>
      </c>
      <c r="F24" s="38" t="s">
        <v>441</v>
      </c>
      <c r="G24" s="37"/>
      <c r="H24" s="38" t="s">
        <v>509</v>
      </c>
      <c r="I24" s="37" t="s">
        <v>443</v>
      </c>
      <c r="J24" s="38" t="s">
        <v>444</v>
      </c>
    </row>
    <row r="25" spans="1:10" ht="114" x14ac:dyDescent="0.2">
      <c r="A25" s="87" t="s">
        <v>218</v>
      </c>
      <c r="B25" s="37">
        <v>2026</v>
      </c>
      <c r="C25" s="38" t="s">
        <v>510</v>
      </c>
      <c r="D25" s="38" t="s">
        <v>511</v>
      </c>
      <c r="E25" s="38" t="s">
        <v>440</v>
      </c>
      <c r="F25" s="38" t="s">
        <v>441</v>
      </c>
      <c r="G25" s="37"/>
      <c r="H25" s="38" t="s">
        <v>512</v>
      </c>
      <c r="I25" s="37" t="s">
        <v>451</v>
      </c>
      <c r="J25" s="38" t="s">
        <v>444</v>
      </c>
    </row>
    <row r="26" spans="1:10" ht="76" x14ac:dyDescent="0.2">
      <c r="A26" s="87" t="s">
        <v>218</v>
      </c>
      <c r="B26" s="37">
        <v>2026</v>
      </c>
      <c r="C26" s="38" t="s">
        <v>513</v>
      </c>
      <c r="D26" s="38" t="s">
        <v>514</v>
      </c>
      <c r="E26" s="38" t="s">
        <v>440</v>
      </c>
      <c r="F26" s="38" t="s">
        <v>441</v>
      </c>
      <c r="G26" s="37"/>
      <c r="H26" s="38" t="s">
        <v>515</v>
      </c>
      <c r="I26" s="37" t="s">
        <v>451</v>
      </c>
      <c r="J26" s="38" t="s">
        <v>444</v>
      </c>
    </row>
    <row r="27" spans="1:10" ht="95" x14ac:dyDescent="0.2">
      <c r="A27" s="87" t="s">
        <v>227</v>
      </c>
      <c r="B27" s="37">
        <v>2026</v>
      </c>
      <c r="C27" s="38" t="s">
        <v>516</v>
      </c>
      <c r="D27" s="38" t="s">
        <v>517</v>
      </c>
      <c r="E27" s="38" t="s">
        <v>440</v>
      </c>
      <c r="F27" s="38" t="s">
        <v>441</v>
      </c>
      <c r="G27" s="37"/>
      <c r="H27" s="38" t="s">
        <v>518</v>
      </c>
      <c r="I27" s="37" t="s">
        <v>451</v>
      </c>
      <c r="J27" s="38" t="s">
        <v>444</v>
      </c>
    </row>
    <row r="28" spans="1:10" ht="114" x14ac:dyDescent="0.2">
      <c r="A28" s="87" t="s">
        <v>227</v>
      </c>
      <c r="B28" s="37">
        <v>2026</v>
      </c>
      <c r="C28" s="38" t="s">
        <v>519</v>
      </c>
      <c r="D28" s="38" t="s">
        <v>520</v>
      </c>
      <c r="E28" s="38" t="s">
        <v>440</v>
      </c>
      <c r="F28" s="38" t="s">
        <v>441</v>
      </c>
      <c r="G28" s="37"/>
      <c r="H28" s="38" t="s">
        <v>521</v>
      </c>
      <c r="I28" s="37" t="s">
        <v>443</v>
      </c>
      <c r="J28" s="38" t="s">
        <v>444</v>
      </c>
    </row>
    <row r="29" spans="1:10" ht="114" x14ac:dyDescent="0.2">
      <c r="A29" s="87" t="s">
        <v>237</v>
      </c>
      <c r="B29" s="37">
        <v>2025</v>
      </c>
      <c r="C29" s="38" t="s">
        <v>522</v>
      </c>
      <c r="D29" s="38" t="s">
        <v>523</v>
      </c>
      <c r="E29" s="38" t="s">
        <v>440</v>
      </c>
      <c r="F29" s="38" t="s">
        <v>441</v>
      </c>
      <c r="G29" s="37"/>
      <c r="H29" s="38" t="s">
        <v>524</v>
      </c>
      <c r="I29" s="37" t="s">
        <v>451</v>
      </c>
      <c r="J29" s="38" t="s">
        <v>444</v>
      </c>
    </row>
    <row r="30" spans="1:10" ht="114" x14ac:dyDescent="0.2">
      <c r="A30" s="87" t="s">
        <v>237</v>
      </c>
      <c r="B30" s="37">
        <v>2025</v>
      </c>
      <c r="C30" s="38" t="s">
        <v>525</v>
      </c>
      <c r="D30" s="38" t="s">
        <v>526</v>
      </c>
      <c r="E30" s="38" t="s">
        <v>440</v>
      </c>
      <c r="F30" s="38" t="s">
        <v>441</v>
      </c>
      <c r="G30" s="37"/>
      <c r="H30" s="38" t="s">
        <v>527</v>
      </c>
      <c r="I30" s="37" t="s">
        <v>451</v>
      </c>
      <c r="J30" s="38" t="s">
        <v>444</v>
      </c>
    </row>
    <row r="31" spans="1:10" ht="114" x14ac:dyDescent="0.2">
      <c r="A31" s="87" t="s">
        <v>237</v>
      </c>
      <c r="B31" s="37">
        <v>2025</v>
      </c>
      <c r="C31" s="38" t="s">
        <v>528</v>
      </c>
      <c r="D31" s="38" t="s">
        <v>529</v>
      </c>
      <c r="E31" s="38" t="s">
        <v>440</v>
      </c>
      <c r="F31" s="38" t="s">
        <v>441</v>
      </c>
      <c r="G31" s="37"/>
      <c r="H31" s="38" t="s">
        <v>530</v>
      </c>
      <c r="I31" s="37" t="s">
        <v>451</v>
      </c>
      <c r="J31" s="38" t="s">
        <v>444</v>
      </c>
    </row>
    <row r="32" spans="1:10" ht="95" x14ac:dyDescent="0.2">
      <c r="A32" s="87" t="s">
        <v>247</v>
      </c>
      <c r="B32" s="37">
        <v>2026</v>
      </c>
      <c r="C32" s="38" t="s">
        <v>531</v>
      </c>
      <c r="D32" s="38" t="s">
        <v>532</v>
      </c>
      <c r="E32" s="38" t="s">
        <v>440</v>
      </c>
      <c r="F32" s="38" t="s">
        <v>441</v>
      </c>
      <c r="G32" s="37"/>
      <c r="H32" s="38" t="s">
        <v>533</v>
      </c>
      <c r="I32" s="37" t="s">
        <v>451</v>
      </c>
      <c r="J32" s="38" t="s">
        <v>444</v>
      </c>
    </row>
    <row r="33" spans="1:10" ht="95" x14ac:dyDescent="0.2">
      <c r="A33" s="87" t="s">
        <v>247</v>
      </c>
      <c r="B33" s="37">
        <v>2026</v>
      </c>
      <c r="C33" s="38" t="s">
        <v>534</v>
      </c>
      <c r="D33" s="38" t="s">
        <v>535</v>
      </c>
      <c r="E33" s="38" t="s">
        <v>440</v>
      </c>
      <c r="F33" s="38" t="s">
        <v>441</v>
      </c>
      <c r="G33" s="37"/>
      <c r="H33" s="38" t="s">
        <v>536</v>
      </c>
      <c r="I33" s="37" t="s">
        <v>451</v>
      </c>
      <c r="J33" s="38" t="s">
        <v>444</v>
      </c>
    </row>
    <row r="34" spans="1:10" ht="76" x14ac:dyDescent="0.2">
      <c r="A34" s="87" t="s">
        <v>257</v>
      </c>
      <c r="B34" s="37">
        <v>2025</v>
      </c>
      <c r="C34" s="38" t="s">
        <v>537</v>
      </c>
      <c r="D34" s="38" t="s">
        <v>538</v>
      </c>
      <c r="E34" s="38" t="s">
        <v>440</v>
      </c>
      <c r="F34" s="38" t="s">
        <v>441</v>
      </c>
      <c r="G34" s="37"/>
      <c r="H34" s="38" t="s">
        <v>539</v>
      </c>
      <c r="I34" s="37" t="s">
        <v>443</v>
      </c>
      <c r="J34" s="38" t="s">
        <v>444</v>
      </c>
    </row>
    <row r="35" spans="1:10" ht="76" x14ac:dyDescent="0.2">
      <c r="A35" s="87" t="s">
        <v>44</v>
      </c>
      <c r="B35" s="37">
        <v>2024</v>
      </c>
      <c r="C35" s="38" t="s">
        <v>540</v>
      </c>
      <c r="D35" s="38" t="s">
        <v>541</v>
      </c>
      <c r="E35" s="38" t="s">
        <v>542</v>
      </c>
      <c r="F35" s="38" t="s">
        <v>441</v>
      </c>
      <c r="G35" s="37"/>
      <c r="H35" s="38" t="s">
        <v>543</v>
      </c>
      <c r="I35" s="37" t="s">
        <v>451</v>
      </c>
      <c r="J35" s="38" t="s">
        <v>444</v>
      </c>
    </row>
    <row r="36" spans="1:10" ht="76" x14ac:dyDescent="0.2">
      <c r="A36" s="87" t="s">
        <v>44</v>
      </c>
      <c r="B36" s="37">
        <v>2024</v>
      </c>
      <c r="C36" s="38" t="s">
        <v>544</v>
      </c>
      <c r="D36" s="38" t="s">
        <v>545</v>
      </c>
      <c r="E36" s="38" t="s">
        <v>542</v>
      </c>
      <c r="F36" s="38" t="s">
        <v>441</v>
      </c>
      <c r="G36" s="37"/>
      <c r="H36" s="38" t="s">
        <v>546</v>
      </c>
      <c r="I36" s="37" t="s">
        <v>451</v>
      </c>
      <c r="J36" s="38" t="s">
        <v>444</v>
      </c>
    </row>
    <row r="37" spans="1:10" ht="57" x14ac:dyDescent="0.2">
      <c r="A37" s="87" t="s">
        <v>44</v>
      </c>
      <c r="B37" s="37">
        <v>2024</v>
      </c>
      <c r="C37" s="38" t="s">
        <v>547</v>
      </c>
      <c r="D37" s="38" t="s">
        <v>548</v>
      </c>
      <c r="E37" s="38" t="s">
        <v>542</v>
      </c>
      <c r="F37" s="38" t="s">
        <v>441</v>
      </c>
      <c r="G37" s="37"/>
      <c r="H37" s="38" t="s">
        <v>549</v>
      </c>
      <c r="I37" s="37" t="s">
        <v>451</v>
      </c>
      <c r="J37" s="38" t="s">
        <v>444</v>
      </c>
    </row>
    <row r="38" spans="1:10" ht="76" x14ac:dyDescent="0.2">
      <c r="A38" s="87" t="s">
        <v>44</v>
      </c>
      <c r="B38" s="37">
        <v>2024</v>
      </c>
      <c r="C38" s="38" t="s">
        <v>550</v>
      </c>
      <c r="D38" s="38" t="s">
        <v>551</v>
      </c>
      <c r="E38" s="38" t="s">
        <v>542</v>
      </c>
      <c r="F38" s="38" t="s">
        <v>441</v>
      </c>
      <c r="G38" s="37"/>
      <c r="H38" s="38" t="s">
        <v>552</v>
      </c>
      <c r="I38" s="37" t="s">
        <v>451</v>
      </c>
      <c r="J38" s="38" t="s">
        <v>444</v>
      </c>
    </row>
    <row r="39" spans="1:10" ht="95" x14ac:dyDescent="0.2">
      <c r="A39" s="87" t="s">
        <v>54</v>
      </c>
      <c r="B39" s="37">
        <v>2025</v>
      </c>
      <c r="C39" s="38" t="s">
        <v>553</v>
      </c>
      <c r="D39" s="38" t="s">
        <v>554</v>
      </c>
      <c r="E39" s="38" t="s">
        <v>542</v>
      </c>
      <c r="F39" s="38" t="s">
        <v>441</v>
      </c>
      <c r="G39" s="37"/>
      <c r="H39" s="38" t="s">
        <v>555</v>
      </c>
      <c r="I39" s="37" t="s">
        <v>451</v>
      </c>
      <c r="J39" s="38" t="s">
        <v>444</v>
      </c>
    </row>
    <row r="40" spans="1:10" ht="76" x14ac:dyDescent="0.2">
      <c r="A40" s="87" t="s">
        <v>54</v>
      </c>
      <c r="B40" s="37">
        <v>2025</v>
      </c>
      <c r="C40" s="38" t="s">
        <v>556</v>
      </c>
      <c r="D40" s="38" t="s">
        <v>557</v>
      </c>
      <c r="E40" s="38" t="s">
        <v>542</v>
      </c>
      <c r="F40" s="38" t="s">
        <v>441</v>
      </c>
      <c r="G40" s="37"/>
      <c r="H40" s="38" t="s">
        <v>558</v>
      </c>
      <c r="I40" s="37" t="s">
        <v>451</v>
      </c>
      <c r="J40" s="38" t="s">
        <v>444</v>
      </c>
    </row>
    <row r="41" spans="1:10" ht="76" x14ac:dyDescent="0.2">
      <c r="A41" s="87" t="s">
        <v>54</v>
      </c>
      <c r="B41" s="37">
        <v>2025</v>
      </c>
      <c r="C41" s="38" t="s">
        <v>559</v>
      </c>
      <c r="D41" s="38" t="s">
        <v>560</v>
      </c>
      <c r="E41" s="38" t="s">
        <v>542</v>
      </c>
      <c r="F41" s="38" t="s">
        <v>441</v>
      </c>
      <c r="G41" s="37"/>
      <c r="H41" s="38" t="s">
        <v>561</v>
      </c>
      <c r="I41" s="37" t="s">
        <v>451</v>
      </c>
      <c r="J41" s="38" t="s">
        <v>444</v>
      </c>
    </row>
    <row r="42" spans="1:10" ht="95" x14ac:dyDescent="0.2">
      <c r="A42" s="87" t="s">
        <v>54</v>
      </c>
      <c r="B42" s="37">
        <v>2025</v>
      </c>
      <c r="C42" s="38" t="s">
        <v>562</v>
      </c>
      <c r="D42" s="38" t="s">
        <v>563</v>
      </c>
      <c r="E42" s="38" t="s">
        <v>542</v>
      </c>
      <c r="F42" s="38" t="s">
        <v>441</v>
      </c>
      <c r="G42" s="37"/>
      <c r="H42" s="38" t="s">
        <v>561</v>
      </c>
      <c r="I42" s="37" t="s">
        <v>451</v>
      </c>
      <c r="J42" s="38" t="s">
        <v>444</v>
      </c>
    </row>
    <row r="43" spans="1:10" ht="76" x14ac:dyDescent="0.2">
      <c r="A43" s="87" t="s">
        <v>63</v>
      </c>
      <c r="B43" s="37">
        <v>2025</v>
      </c>
      <c r="C43" s="38" t="s">
        <v>564</v>
      </c>
      <c r="D43" s="38" t="s">
        <v>565</v>
      </c>
      <c r="E43" s="38" t="s">
        <v>542</v>
      </c>
      <c r="F43" s="38" t="s">
        <v>441</v>
      </c>
      <c r="G43" s="37"/>
      <c r="H43" s="38" t="s">
        <v>566</v>
      </c>
      <c r="I43" s="37" t="s">
        <v>451</v>
      </c>
      <c r="J43" s="38" t="s">
        <v>444</v>
      </c>
    </row>
    <row r="44" spans="1:10" ht="76" x14ac:dyDescent="0.2">
      <c r="A44" s="87" t="s">
        <v>73</v>
      </c>
      <c r="B44" s="37">
        <v>2024</v>
      </c>
      <c r="C44" s="38" t="s">
        <v>567</v>
      </c>
      <c r="D44" s="38" t="s">
        <v>568</v>
      </c>
      <c r="E44" s="38" t="s">
        <v>542</v>
      </c>
      <c r="F44" s="38" t="s">
        <v>441</v>
      </c>
      <c r="G44" s="37"/>
      <c r="H44" s="38" t="s">
        <v>569</v>
      </c>
      <c r="I44" s="37" t="s">
        <v>451</v>
      </c>
      <c r="J44" s="38" t="s">
        <v>444</v>
      </c>
    </row>
    <row r="45" spans="1:10" ht="95" x14ac:dyDescent="0.2">
      <c r="A45" s="87" t="s">
        <v>93</v>
      </c>
      <c r="B45" s="37">
        <v>2025</v>
      </c>
      <c r="C45" s="38" t="s">
        <v>570</v>
      </c>
      <c r="D45" s="38" t="s">
        <v>571</v>
      </c>
      <c r="E45" s="38" t="s">
        <v>542</v>
      </c>
      <c r="F45" s="38" t="s">
        <v>441</v>
      </c>
      <c r="G45" s="37"/>
      <c r="H45" s="38" t="s">
        <v>572</v>
      </c>
      <c r="I45" s="37" t="s">
        <v>443</v>
      </c>
      <c r="J45" s="38" t="s">
        <v>444</v>
      </c>
    </row>
    <row r="46" spans="1:10" ht="95" x14ac:dyDescent="0.2">
      <c r="A46" s="87" t="s">
        <v>83</v>
      </c>
      <c r="B46" s="37">
        <v>2025</v>
      </c>
      <c r="C46" s="38" t="s">
        <v>573</v>
      </c>
      <c r="D46" s="38" t="s">
        <v>574</v>
      </c>
      <c r="E46" s="38" t="s">
        <v>542</v>
      </c>
      <c r="F46" s="38" t="s">
        <v>441</v>
      </c>
      <c r="G46" s="37"/>
      <c r="H46" s="38" t="s">
        <v>575</v>
      </c>
      <c r="I46" s="37" t="s">
        <v>443</v>
      </c>
      <c r="J46" s="38" t="s">
        <v>444</v>
      </c>
    </row>
    <row r="47" spans="1:10" ht="95" x14ac:dyDescent="0.2">
      <c r="A47" s="87" t="s">
        <v>103</v>
      </c>
      <c r="B47" s="37">
        <v>2024</v>
      </c>
      <c r="C47" s="38" t="s">
        <v>576</v>
      </c>
      <c r="D47" s="38" t="s">
        <v>577</v>
      </c>
      <c r="E47" s="38" t="s">
        <v>542</v>
      </c>
      <c r="F47" s="38" t="s">
        <v>441</v>
      </c>
      <c r="G47" s="37"/>
      <c r="H47" s="38" t="s">
        <v>578</v>
      </c>
      <c r="I47" s="37" t="s">
        <v>451</v>
      </c>
      <c r="J47" s="38" t="s">
        <v>444</v>
      </c>
    </row>
    <row r="48" spans="1:10" ht="114" x14ac:dyDescent="0.2">
      <c r="A48" s="87" t="s">
        <v>113</v>
      </c>
      <c r="B48" s="37">
        <v>2024</v>
      </c>
      <c r="C48" s="38" t="s">
        <v>579</v>
      </c>
      <c r="D48" s="38" t="s">
        <v>580</v>
      </c>
      <c r="E48" s="38" t="s">
        <v>542</v>
      </c>
      <c r="F48" s="38" t="s">
        <v>441</v>
      </c>
      <c r="G48" s="37"/>
      <c r="H48" s="38" t="s">
        <v>581</v>
      </c>
      <c r="I48" s="37" t="s">
        <v>451</v>
      </c>
      <c r="J48" s="38" t="s">
        <v>444</v>
      </c>
    </row>
    <row r="49" spans="1:10" ht="133" x14ac:dyDescent="0.2">
      <c r="A49" s="87" t="s">
        <v>113</v>
      </c>
      <c r="B49" s="37">
        <v>2024</v>
      </c>
      <c r="C49" s="38" t="s">
        <v>582</v>
      </c>
      <c r="D49" s="38" t="s">
        <v>583</v>
      </c>
      <c r="E49" s="38" t="s">
        <v>542</v>
      </c>
      <c r="F49" s="38" t="s">
        <v>441</v>
      </c>
      <c r="G49" s="37"/>
      <c r="H49" s="38" t="s">
        <v>584</v>
      </c>
      <c r="I49" s="37" t="s">
        <v>451</v>
      </c>
      <c r="J49" s="38" t="s">
        <v>444</v>
      </c>
    </row>
    <row r="50" spans="1:10" ht="57" x14ac:dyDescent="0.2">
      <c r="A50" s="87" t="s">
        <v>122</v>
      </c>
      <c r="B50" s="37">
        <v>2024</v>
      </c>
      <c r="C50" s="38" t="s">
        <v>585</v>
      </c>
      <c r="D50" s="38" t="s">
        <v>586</v>
      </c>
      <c r="E50" s="38" t="s">
        <v>542</v>
      </c>
      <c r="F50" s="38" t="s">
        <v>441</v>
      </c>
      <c r="G50" s="37"/>
      <c r="H50" s="38" t="s">
        <v>478</v>
      </c>
      <c r="I50" s="37" t="s">
        <v>451</v>
      </c>
      <c r="J50" s="38" t="s">
        <v>444</v>
      </c>
    </row>
    <row r="51" spans="1:10" ht="114" x14ac:dyDescent="0.2">
      <c r="A51" s="87" t="s">
        <v>130</v>
      </c>
      <c r="B51" s="37">
        <v>2024</v>
      </c>
      <c r="C51" s="38" t="s">
        <v>587</v>
      </c>
      <c r="D51" s="38" t="s">
        <v>588</v>
      </c>
      <c r="E51" s="38" t="s">
        <v>542</v>
      </c>
      <c r="F51" s="38" t="s">
        <v>441</v>
      </c>
      <c r="G51" s="37"/>
      <c r="H51" s="38" t="s">
        <v>589</v>
      </c>
      <c r="I51" s="37" t="s">
        <v>451</v>
      </c>
      <c r="J51" s="38" t="s">
        <v>444</v>
      </c>
    </row>
    <row r="52" spans="1:10" ht="114" x14ac:dyDescent="0.2">
      <c r="A52" s="87" t="s">
        <v>139</v>
      </c>
      <c r="B52" s="37">
        <v>2023</v>
      </c>
      <c r="C52" s="38" t="s">
        <v>590</v>
      </c>
      <c r="D52" s="38" t="s">
        <v>591</v>
      </c>
      <c r="E52" s="38" t="s">
        <v>542</v>
      </c>
      <c r="F52" s="38" t="s">
        <v>441</v>
      </c>
      <c r="G52" s="37"/>
      <c r="H52" s="38" t="s">
        <v>592</v>
      </c>
      <c r="I52" s="37" t="s">
        <v>451</v>
      </c>
      <c r="J52" s="38" t="s">
        <v>444</v>
      </c>
    </row>
    <row r="53" spans="1:10" ht="95" x14ac:dyDescent="0.2">
      <c r="A53" s="87" t="s">
        <v>139</v>
      </c>
      <c r="B53" s="37">
        <v>2023</v>
      </c>
      <c r="C53" s="38" t="s">
        <v>593</v>
      </c>
      <c r="D53" s="38" t="s">
        <v>594</v>
      </c>
      <c r="E53" s="38" t="s">
        <v>542</v>
      </c>
      <c r="F53" s="38" t="s">
        <v>441</v>
      </c>
      <c r="G53" s="37"/>
      <c r="H53" s="38" t="s">
        <v>595</v>
      </c>
      <c r="I53" s="37" t="s">
        <v>451</v>
      </c>
      <c r="J53" s="38" t="s">
        <v>444</v>
      </c>
    </row>
    <row r="54" spans="1:10" ht="76" x14ac:dyDescent="0.2">
      <c r="A54" s="87" t="s">
        <v>149</v>
      </c>
      <c r="B54" s="37">
        <v>2020</v>
      </c>
      <c r="C54" s="38" t="s">
        <v>596</v>
      </c>
      <c r="D54" s="38" t="s">
        <v>597</v>
      </c>
      <c r="E54" s="38" t="s">
        <v>542</v>
      </c>
      <c r="F54" s="38" t="s">
        <v>441</v>
      </c>
      <c r="G54" s="37"/>
      <c r="H54" s="38" t="s">
        <v>598</v>
      </c>
      <c r="I54" s="37" t="s">
        <v>443</v>
      </c>
      <c r="J54" s="38" t="s">
        <v>444</v>
      </c>
    </row>
    <row r="55" spans="1:10" ht="95" x14ac:dyDescent="0.2">
      <c r="A55" s="87" t="s">
        <v>159</v>
      </c>
      <c r="B55" s="37">
        <v>2025</v>
      </c>
      <c r="C55" s="38" t="s">
        <v>599</v>
      </c>
      <c r="D55" s="38" t="s">
        <v>600</v>
      </c>
      <c r="E55" s="38" t="s">
        <v>542</v>
      </c>
      <c r="F55" s="38" t="s">
        <v>441</v>
      </c>
      <c r="G55" s="37"/>
      <c r="H55" s="38" t="s">
        <v>601</v>
      </c>
      <c r="I55" s="37" t="s">
        <v>443</v>
      </c>
      <c r="J55" s="38" t="s">
        <v>444</v>
      </c>
    </row>
    <row r="56" spans="1:10" ht="57" x14ac:dyDescent="0.2">
      <c r="A56" s="87" t="s">
        <v>169</v>
      </c>
      <c r="B56" s="37">
        <v>2026</v>
      </c>
      <c r="C56" s="38" t="s">
        <v>602</v>
      </c>
      <c r="D56" s="38" t="s">
        <v>603</v>
      </c>
      <c r="E56" s="38" t="s">
        <v>542</v>
      </c>
      <c r="F56" s="38" t="s">
        <v>441</v>
      </c>
      <c r="G56" s="37"/>
      <c r="H56" s="38" t="s">
        <v>595</v>
      </c>
      <c r="I56" s="37" t="s">
        <v>443</v>
      </c>
      <c r="J56" s="38" t="s">
        <v>444</v>
      </c>
    </row>
    <row r="57" spans="1:10" ht="95" x14ac:dyDescent="0.2">
      <c r="A57" s="87" t="s">
        <v>179</v>
      </c>
      <c r="B57" s="37">
        <v>2025</v>
      </c>
      <c r="C57" s="38" t="s">
        <v>604</v>
      </c>
      <c r="D57" s="38" t="s">
        <v>605</v>
      </c>
      <c r="E57" s="38" t="s">
        <v>542</v>
      </c>
      <c r="F57" s="38" t="s">
        <v>441</v>
      </c>
      <c r="G57" s="37"/>
      <c r="H57" s="38" t="s">
        <v>606</v>
      </c>
      <c r="I57" s="37" t="s">
        <v>443</v>
      </c>
      <c r="J57" s="38" t="s">
        <v>444</v>
      </c>
    </row>
    <row r="58" spans="1:10" ht="76" x14ac:dyDescent="0.2">
      <c r="A58" s="87" t="s">
        <v>188</v>
      </c>
      <c r="B58" s="37">
        <v>2025</v>
      </c>
      <c r="C58" s="38" t="s">
        <v>607</v>
      </c>
      <c r="D58" s="38" t="s">
        <v>608</v>
      </c>
      <c r="E58" s="38" t="s">
        <v>542</v>
      </c>
      <c r="F58" s="38" t="s">
        <v>441</v>
      </c>
      <c r="G58" s="37"/>
      <c r="H58" s="38" t="s">
        <v>609</v>
      </c>
      <c r="I58" s="37" t="s">
        <v>443</v>
      </c>
      <c r="J58" s="38" t="s">
        <v>444</v>
      </c>
    </row>
    <row r="59" spans="1:10" ht="114" x14ac:dyDescent="0.2">
      <c r="A59" s="87" t="s">
        <v>198</v>
      </c>
      <c r="B59" s="37">
        <v>2026</v>
      </c>
      <c r="C59" s="38" t="s">
        <v>610</v>
      </c>
      <c r="D59" s="38" t="s">
        <v>611</v>
      </c>
      <c r="E59" s="38" t="s">
        <v>542</v>
      </c>
      <c r="F59" s="38" t="s">
        <v>441</v>
      </c>
      <c r="G59" s="37"/>
      <c r="H59" s="38" t="s">
        <v>612</v>
      </c>
      <c r="I59" s="37" t="s">
        <v>451</v>
      </c>
      <c r="J59" s="38" t="s">
        <v>444</v>
      </c>
    </row>
    <row r="60" spans="1:10" ht="95" x14ac:dyDescent="0.2">
      <c r="A60" s="87" t="s">
        <v>198</v>
      </c>
      <c r="B60" s="37">
        <v>2026</v>
      </c>
      <c r="C60" s="38" t="s">
        <v>613</v>
      </c>
      <c r="D60" s="38" t="s">
        <v>614</v>
      </c>
      <c r="E60" s="38" t="s">
        <v>542</v>
      </c>
      <c r="F60" s="38" t="s">
        <v>441</v>
      </c>
      <c r="G60" s="37"/>
      <c r="H60" s="38" t="s">
        <v>615</v>
      </c>
      <c r="I60" s="37" t="s">
        <v>451</v>
      </c>
      <c r="J60" s="38" t="s">
        <v>444</v>
      </c>
    </row>
    <row r="61" spans="1:10" ht="209" x14ac:dyDescent="0.2">
      <c r="A61" s="87" t="s">
        <v>208</v>
      </c>
      <c r="B61" s="37">
        <v>2026</v>
      </c>
      <c r="C61" s="38" t="s">
        <v>616</v>
      </c>
      <c r="D61" s="38" t="s">
        <v>617</v>
      </c>
      <c r="E61" s="38" t="s">
        <v>542</v>
      </c>
      <c r="F61" s="38" t="s">
        <v>441</v>
      </c>
      <c r="G61" s="37"/>
      <c r="H61" s="38" t="s">
        <v>618</v>
      </c>
      <c r="I61" s="37" t="s">
        <v>443</v>
      </c>
      <c r="J61" s="38" t="s">
        <v>444</v>
      </c>
    </row>
    <row r="62" spans="1:10" ht="76" x14ac:dyDescent="0.2">
      <c r="A62" s="87" t="s">
        <v>218</v>
      </c>
      <c r="B62" s="37">
        <v>2026</v>
      </c>
      <c r="C62" s="38" t="s">
        <v>619</v>
      </c>
      <c r="D62" s="38" t="s">
        <v>620</v>
      </c>
      <c r="E62" s="38" t="s">
        <v>542</v>
      </c>
      <c r="F62" s="38" t="s">
        <v>441</v>
      </c>
      <c r="G62" s="37"/>
      <c r="H62" s="38" t="s">
        <v>621</v>
      </c>
      <c r="I62" s="37" t="s">
        <v>451</v>
      </c>
      <c r="J62" s="38" t="s">
        <v>444</v>
      </c>
    </row>
    <row r="63" spans="1:10" ht="95" x14ac:dyDescent="0.2">
      <c r="A63" s="87" t="s">
        <v>218</v>
      </c>
      <c r="B63" s="37">
        <v>2026</v>
      </c>
      <c r="C63" s="38" t="s">
        <v>622</v>
      </c>
      <c r="D63" s="38" t="s">
        <v>623</v>
      </c>
      <c r="E63" s="38" t="s">
        <v>542</v>
      </c>
      <c r="F63" s="38" t="s">
        <v>441</v>
      </c>
      <c r="G63" s="37"/>
      <c r="H63" s="38" t="s">
        <v>624</v>
      </c>
      <c r="I63" s="37" t="s">
        <v>443</v>
      </c>
      <c r="J63" s="38" t="s">
        <v>444</v>
      </c>
    </row>
    <row r="64" spans="1:10" ht="133" x14ac:dyDescent="0.2">
      <c r="A64" s="87" t="s">
        <v>227</v>
      </c>
      <c r="B64" s="37">
        <v>2026</v>
      </c>
      <c r="C64" s="38" t="s">
        <v>625</v>
      </c>
      <c r="D64" s="38" t="s">
        <v>626</v>
      </c>
      <c r="E64" s="38" t="s">
        <v>542</v>
      </c>
      <c r="F64" s="38" t="s">
        <v>441</v>
      </c>
      <c r="G64" s="37"/>
      <c r="H64" s="38" t="s">
        <v>627</v>
      </c>
      <c r="I64" s="37" t="s">
        <v>443</v>
      </c>
      <c r="J64" s="38" t="s">
        <v>444</v>
      </c>
    </row>
    <row r="65" spans="1:10" ht="114" x14ac:dyDescent="0.2">
      <c r="A65" s="87" t="s">
        <v>237</v>
      </c>
      <c r="B65" s="37">
        <v>2025</v>
      </c>
      <c r="C65" s="38" t="s">
        <v>628</v>
      </c>
      <c r="D65" s="38" t="s">
        <v>629</v>
      </c>
      <c r="E65" s="38" t="s">
        <v>542</v>
      </c>
      <c r="F65" s="38" t="s">
        <v>441</v>
      </c>
      <c r="G65" s="37"/>
      <c r="H65" s="38" t="s">
        <v>630</v>
      </c>
      <c r="I65" s="37" t="s">
        <v>451</v>
      </c>
      <c r="J65" s="38" t="s">
        <v>444</v>
      </c>
    </row>
    <row r="66" spans="1:10" ht="114" x14ac:dyDescent="0.2">
      <c r="A66" s="87" t="s">
        <v>237</v>
      </c>
      <c r="B66" s="37">
        <v>2025</v>
      </c>
      <c r="C66" s="38" t="s">
        <v>631</v>
      </c>
      <c r="D66" s="38" t="s">
        <v>632</v>
      </c>
      <c r="E66" s="38" t="s">
        <v>542</v>
      </c>
      <c r="F66" s="38" t="s">
        <v>441</v>
      </c>
      <c r="G66" s="37"/>
      <c r="H66" s="38" t="s">
        <v>578</v>
      </c>
      <c r="I66" s="37" t="s">
        <v>451</v>
      </c>
      <c r="J66" s="38" t="s">
        <v>444</v>
      </c>
    </row>
    <row r="67" spans="1:10" ht="114" x14ac:dyDescent="0.2">
      <c r="A67" s="87" t="s">
        <v>237</v>
      </c>
      <c r="B67" s="37">
        <v>2025</v>
      </c>
      <c r="C67" s="38" t="s">
        <v>633</v>
      </c>
      <c r="D67" s="38" t="s">
        <v>634</v>
      </c>
      <c r="E67" s="38" t="s">
        <v>542</v>
      </c>
      <c r="F67" s="38" t="s">
        <v>441</v>
      </c>
      <c r="G67" s="37"/>
      <c r="H67" s="38" t="s">
        <v>635</v>
      </c>
      <c r="I67" s="37" t="s">
        <v>451</v>
      </c>
      <c r="J67" s="38" t="s">
        <v>444</v>
      </c>
    </row>
    <row r="68" spans="1:10" ht="95" x14ac:dyDescent="0.2">
      <c r="A68" s="87" t="s">
        <v>247</v>
      </c>
      <c r="B68" s="37">
        <v>2026</v>
      </c>
      <c r="C68" s="38" t="s">
        <v>636</v>
      </c>
      <c r="D68" s="38" t="s">
        <v>637</v>
      </c>
      <c r="E68" s="38" t="s">
        <v>542</v>
      </c>
      <c r="F68" s="38" t="s">
        <v>441</v>
      </c>
      <c r="G68" s="37"/>
      <c r="H68" s="38" t="s">
        <v>638</v>
      </c>
      <c r="I68" s="37" t="s">
        <v>451</v>
      </c>
      <c r="J68" s="38" t="s">
        <v>444</v>
      </c>
    </row>
    <row r="69" spans="1:10" ht="76" x14ac:dyDescent="0.2">
      <c r="A69" s="87" t="s">
        <v>247</v>
      </c>
      <c r="B69" s="37">
        <v>2026</v>
      </c>
      <c r="C69" s="38" t="s">
        <v>639</v>
      </c>
      <c r="D69" s="38" t="s">
        <v>640</v>
      </c>
      <c r="E69" s="38" t="s">
        <v>542</v>
      </c>
      <c r="F69" s="38" t="s">
        <v>441</v>
      </c>
      <c r="G69" s="37"/>
      <c r="H69" s="38" t="s">
        <v>641</v>
      </c>
      <c r="I69" s="37" t="s">
        <v>451</v>
      </c>
      <c r="J69" s="38" t="s">
        <v>444</v>
      </c>
    </row>
    <row r="70" spans="1:10" ht="114" x14ac:dyDescent="0.2">
      <c r="A70" s="87" t="s">
        <v>257</v>
      </c>
      <c r="B70" s="37">
        <v>2025</v>
      </c>
      <c r="C70" s="38" t="s">
        <v>642</v>
      </c>
      <c r="D70" s="38" t="s">
        <v>643</v>
      </c>
      <c r="E70" s="38" t="s">
        <v>542</v>
      </c>
      <c r="F70" s="38" t="s">
        <v>441</v>
      </c>
      <c r="G70" s="37"/>
      <c r="H70" s="38" t="s">
        <v>644</v>
      </c>
      <c r="I70" s="37" t="s">
        <v>451</v>
      </c>
      <c r="J70" s="38" t="s">
        <v>444</v>
      </c>
    </row>
    <row r="71" spans="1:10" ht="76" x14ac:dyDescent="0.2">
      <c r="A71" s="87" t="s">
        <v>257</v>
      </c>
      <c r="B71" s="37">
        <v>2025</v>
      </c>
      <c r="C71" s="38" t="s">
        <v>645</v>
      </c>
      <c r="D71" s="38" t="s">
        <v>646</v>
      </c>
      <c r="E71" s="38" t="s">
        <v>542</v>
      </c>
      <c r="F71" s="38" t="s">
        <v>441</v>
      </c>
      <c r="G71" s="37"/>
      <c r="H71" s="38" t="s">
        <v>647</v>
      </c>
      <c r="I71" s="37" t="s">
        <v>451</v>
      </c>
      <c r="J71" s="38" t="s">
        <v>444</v>
      </c>
    </row>
    <row r="72" spans="1:10" x14ac:dyDescent="0.2">
      <c r="A72" s="39"/>
      <c r="B72" s="39"/>
      <c r="C72" s="39"/>
      <c r="E72" s="39"/>
      <c r="F72" s="39"/>
      <c r="G72" s="39"/>
      <c r="H72" s="39"/>
      <c r="I72" s="39"/>
      <c r="J72" s="39"/>
    </row>
    <row r="73" spans="1:10" ht="57" x14ac:dyDescent="0.2">
      <c r="A73" s="87" t="s">
        <v>44</v>
      </c>
      <c r="B73" s="37">
        <v>2024</v>
      </c>
      <c r="C73" s="38" t="s">
        <v>648</v>
      </c>
      <c r="D73" s="38" t="s">
        <v>649</v>
      </c>
      <c r="E73" s="38" t="s">
        <v>650</v>
      </c>
      <c r="F73" s="38" t="s">
        <v>441</v>
      </c>
      <c r="G73" s="37"/>
      <c r="H73" s="38" t="s">
        <v>651</v>
      </c>
      <c r="I73" s="37" t="s">
        <v>451</v>
      </c>
      <c r="J73" s="38" t="s">
        <v>444</v>
      </c>
    </row>
    <row r="74" spans="1:10" ht="38" x14ac:dyDescent="0.2">
      <c r="A74" s="87" t="s">
        <v>44</v>
      </c>
      <c r="B74" s="37">
        <v>2024</v>
      </c>
      <c r="C74" s="38" t="s">
        <v>652</v>
      </c>
      <c r="D74" s="38" t="s">
        <v>653</v>
      </c>
      <c r="E74" s="38" t="s">
        <v>650</v>
      </c>
      <c r="F74" s="38" t="s">
        <v>441</v>
      </c>
      <c r="G74" s="37"/>
      <c r="H74" s="38" t="s">
        <v>546</v>
      </c>
      <c r="I74" s="37" t="s">
        <v>451</v>
      </c>
      <c r="J74" s="38" t="s">
        <v>444</v>
      </c>
    </row>
    <row r="75" spans="1:10" ht="114" x14ac:dyDescent="0.2">
      <c r="A75" s="87" t="s">
        <v>63</v>
      </c>
      <c r="B75" s="37">
        <v>2025</v>
      </c>
      <c r="C75" s="38" t="s">
        <v>654</v>
      </c>
      <c r="D75" s="38" t="s">
        <v>655</v>
      </c>
      <c r="E75" s="38" t="s">
        <v>650</v>
      </c>
      <c r="F75" s="38" t="s">
        <v>441</v>
      </c>
      <c r="G75" s="37"/>
      <c r="H75" s="38" t="s">
        <v>656</v>
      </c>
      <c r="I75" s="37" t="s">
        <v>443</v>
      </c>
      <c r="J75" s="38" t="s">
        <v>444</v>
      </c>
    </row>
    <row r="76" spans="1:10" ht="76" x14ac:dyDescent="0.2">
      <c r="A76" s="87" t="s">
        <v>54</v>
      </c>
      <c r="B76" s="37">
        <v>2025</v>
      </c>
      <c r="C76" s="38" t="s">
        <v>657</v>
      </c>
      <c r="D76" s="38" t="s">
        <v>658</v>
      </c>
      <c r="E76" s="38" t="s">
        <v>650</v>
      </c>
      <c r="F76" s="38" t="s">
        <v>441</v>
      </c>
      <c r="G76" s="37"/>
      <c r="H76" s="38" t="s">
        <v>492</v>
      </c>
      <c r="I76" s="37" t="s">
        <v>659</v>
      </c>
      <c r="J76" s="38" t="s">
        <v>444</v>
      </c>
    </row>
    <row r="77" spans="1:10" ht="114" x14ac:dyDescent="0.2">
      <c r="A77" s="87" t="s">
        <v>73</v>
      </c>
      <c r="B77" s="37">
        <v>2024</v>
      </c>
      <c r="C77" s="38" t="s">
        <v>660</v>
      </c>
      <c r="D77" s="38" t="s">
        <v>661</v>
      </c>
      <c r="E77" s="38" t="s">
        <v>650</v>
      </c>
      <c r="F77" s="38" t="s">
        <v>441</v>
      </c>
      <c r="G77" s="37"/>
      <c r="H77" s="38" t="s">
        <v>662</v>
      </c>
      <c r="I77" s="37" t="s">
        <v>451</v>
      </c>
      <c r="J77" s="38" t="s">
        <v>444</v>
      </c>
    </row>
    <row r="78" spans="1:10" ht="95" x14ac:dyDescent="0.2">
      <c r="A78" s="87" t="s">
        <v>73</v>
      </c>
      <c r="B78" s="37">
        <v>2024</v>
      </c>
      <c r="C78" s="38" t="s">
        <v>663</v>
      </c>
      <c r="D78" s="38" t="s">
        <v>664</v>
      </c>
      <c r="E78" s="38" t="s">
        <v>650</v>
      </c>
      <c r="F78" s="38" t="s">
        <v>441</v>
      </c>
      <c r="G78" s="37"/>
      <c r="H78" s="38" t="s">
        <v>665</v>
      </c>
      <c r="I78" s="37" t="s">
        <v>451</v>
      </c>
      <c r="J78" s="38" t="s">
        <v>444</v>
      </c>
    </row>
    <row r="79" spans="1:10" ht="57" x14ac:dyDescent="0.2">
      <c r="A79" s="87" t="s">
        <v>83</v>
      </c>
      <c r="B79" s="37">
        <v>2025</v>
      </c>
      <c r="C79" s="38" t="s">
        <v>666</v>
      </c>
      <c r="D79" s="38" t="s">
        <v>667</v>
      </c>
      <c r="E79" s="38" t="s">
        <v>650</v>
      </c>
      <c r="F79" s="38" t="s">
        <v>441</v>
      </c>
      <c r="G79" s="37"/>
      <c r="H79" s="38" t="s">
        <v>668</v>
      </c>
      <c r="I79" s="37" t="s">
        <v>451</v>
      </c>
      <c r="J79" s="38" t="s">
        <v>444</v>
      </c>
    </row>
    <row r="80" spans="1:10" ht="76" x14ac:dyDescent="0.2">
      <c r="A80" s="87" t="s">
        <v>83</v>
      </c>
      <c r="B80" s="37">
        <v>2025</v>
      </c>
      <c r="C80" s="38" t="s">
        <v>669</v>
      </c>
      <c r="D80" s="38" t="s">
        <v>670</v>
      </c>
      <c r="E80" s="38" t="s">
        <v>650</v>
      </c>
      <c r="F80" s="38" t="s">
        <v>441</v>
      </c>
      <c r="G80" s="37"/>
      <c r="H80" s="38" t="s">
        <v>671</v>
      </c>
      <c r="I80" s="37" t="s">
        <v>451</v>
      </c>
      <c r="J80" s="38" t="s">
        <v>444</v>
      </c>
    </row>
    <row r="81" spans="1:10" ht="114" x14ac:dyDescent="0.2">
      <c r="A81" s="87" t="s">
        <v>93</v>
      </c>
      <c r="B81" s="37">
        <v>2025</v>
      </c>
      <c r="C81" s="38" t="s">
        <v>672</v>
      </c>
      <c r="D81" s="38" t="s">
        <v>673</v>
      </c>
      <c r="E81" s="38" t="s">
        <v>650</v>
      </c>
      <c r="F81" s="38" t="s">
        <v>441</v>
      </c>
      <c r="G81" s="37"/>
      <c r="H81" s="38" t="s">
        <v>674</v>
      </c>
      <c r="I81" s="37" t="s">
        <v>443</v>
      </c>
      <c r="J81" s="38" t="s">
        <v>444</v>
      </c>
    </row>
    <row r="82" spans="1:10" ht="114" x14ac:dyDescent="0.2">
      <c r="A82" s="87" t="s">
        <v>103</v>
      </c>
      <c r="B82" s="37">
        <v>2024</v>
      </c>
      <c r="C82" s="38" t="s">
        <v>675</v>
      </c>
      <c r="D82" s="38" t="s">
        <v>676</v>
      </c>
      <c r="E82" s="38" t="s">
        <v>650</v>
      </c>
      <c r="F82" s="38" t="s">
        <v>441</v>
      </c>
      <c r="G82" s="37"/>
      <c r="H82" s="38" t="s">
        <v>578</v>
      </c>
      <c r="I82" s="37" t="s">
        <v>451</v>
      </c>
      <c r="J82" s="38" t="s">
        <v>444</v>
      </c>
    </row>
    <row r="83" spans="1:10" ht="114" x14ac:dyDescent="0.2">
      <c r="A83" s="87" t="s">
        <v>113</v>
      </c>
      <c r="B83" s="37">
        <v>2024</v>
      </c>
      <c r="C83" s="38" t="s">
        <v>677</v>
      </c>
      <c r="D83" s="38" t="s">
        <v>678</v>
      </c>
      <c r="E83" s="38" t="s">
        <v>650</v>
      </c>
      <c r="F83" s="38" t="s">
        <v>441</v>
      </c>
      <c r="G83" s="37"/>
      <c r="H83" s="38" t="s">
        <v>679</v>
      </c>
      <c r="I83" s="37" t="s">
        <v>451</v>
      </c>
      <c r="J83" s="38" t="s">
        <v>444</v>
      </c>
    </row>
    <row r="84" spans="1:10" ht="95" x14ac:dyDescent="0.2">
      <c r="A84" s="87" t="s">
        <v>113</v>
      </c>
      <c r="B84" s="37">
        <v>2024</v>
      </c>
      <c r="C84" s="38" t="s">
        <v>680</v>
      </c>
      <c r="D84" s="38" t="s">
        <v>681</v>
      </c>
      <c r="E84" s="38" t="s">
        <v>650</v>
      </c>
      <c r="F84" s="38" t="s">
        <v>441</v>
      </c>
      <c r="G84" s="37"/>
      <c r="H84" s="38" t="s">
        <v>682</v>
      </c>
      <c r="I84" s="37" t="s">
        <v>451</v>
      </c>
      <c r="J84" s="38" t="s">
        <v>444</v>
      </c>
    </row>
    <row r="85" spans="1:10" ht="114" x14ac:dyDescent="0.2">
      <c r="A85" s="87" t="s">
        <v>122</v>
      </c>
      <c r="B85" s="37">
        <v>2024</v>
      </c>
      <c r="C85" s="38" t="s">
        <v>683</v>
      </c>
      <c r="D85" s="38" t="s">
        <v>684</v>
      </c>
      <c r="E85" s="38" t="s">
        <v>650</v>
      </c>
      <c r="F85" s="38" t="s">
        <v>441</v>
      </c>
      <c r="G85" s="37"/>
      <c r="H85" s="38" t="s">
        <v>483</v>
      </c>
      <c r="I85" s="37" t="s">
        <v>451</v>
      </c>
      <c r="J85" s="38" t="s">
        <v>444</v>
      </c>
    </row>
    <row r="86" spans="1:10" ht="95" x14ac:dyDescent="0.2">
      <c r="A86" s="87" t="s">
        <v>122</v>
      </c>
      <c r="B86" s="37">
        <v>2024</v>
      </c>
      <c r="C86" s="38" t="s">
        <v>685</v>
      </c>
      <c r="D86" s="38" t="s">
        <v>686</v>
      </c>
      <c r="E86" s="38" t="s">
        <v>650</v>
      </c>
      <c r="F86" s="38" t="s">
        <v>441</v>
      </c>
      <c r="G86" s="37"/>
      <c r="H86" s="38" t="s">
        <v>483</v>
      </c>
      <c r="I86" s="37" t="s">
        <v>451</v>
      </c>
      <c r="J86" s="38" t="s">
        <v>444</v>
      </c>
    </row>
    <row r="87" spans="1:10" ht="114" x14ac:dyDescent="0.2">
      <c r="A87" s="87" t="s">
        <v>122</v>
      </c>
      <c r="B87" s="37">
        <v>2024</v>
      </c>
      <c r="C87" s="38" t="s">
        <v>687</v>
      </c>
      <c r="D87" s="38" t="s">
        <v>688</v>
      </c>
      <c r="E87" s="38" t="s">
        <v>650</v>
      </c>
      <c r="F87" s="38" t="s">
        <v>441</v>
      </c>
      <c r="G87" s="37"/>
      <c r="H87" s="38" t="s">
        <v>483</v>
      </c>
      <c r="I87" s="37" t="s">
        <v>451</v>
      </c>
      <c r="J87" s="38" t="s">
        <v>444</v>
      </c>
    </row>
    <row r="88" spans="1:10" ht="76" x14ac:dyDescent="0.2">
      <c r="A88" s="87" t="s">
        <v>130</v>
      </c>
      <c r="B88" s="37">
        <v>2024</v>
      </c>
      <c r="C88" s="38" t="s">
        <v>689</v>
      </c>
      <c r="D88" s="38" t="s">
        <v>690</v>
      </c>
      <c r="E88" s="38" t="s">
        <v>650</v>
      </c>
      <c r="F88" s="38" t="s">
        <v>441</v>
      </c>
      <c r="G88" s="37"/>
      <c r="H88" s="38" t="s">
        <v>691</v>
      </c>
      <c r="I88" s="37" t="s">
        <v>451</v>
      </c>
      <c r="J88" s="38" t="s">
        <v>444</v>
      </c>
    </row>
    <row r="89" spans="1:10" ht="114" x14ac:dyDescent="0.2">
      <c r="A89" s="87" t="s">
        <v>139</v>
      </c>
      <c r="B89" s="37">
        <v>2023</v>
      </c>
      <c r="C89" s="38" t="s">
        <v>692</v>
      </c>
      <c r="D89" s="38" t="s">
        <v>693</v>
      </c>
      <c r="E89" s="38" t="s">
        <v>650</v>
      </c>
      <c r="F89" s="38" t="s">
        <v>441</v>
      </c>
      <c r="G89" s="37"/>
      <c r="H89" s="38" t="s">
        <v>694</v>
      </c>
      <c r="I89" s="37" t="s">
        <v>451</v>
      </c>
      <c r="J89" s="38" t="s">
        <v>444</v>
      </c>
    </row>
    <row r="90" spans="1:10" ht="95" x14ac:dyDescent="0.2">
      <c r="A90" s="87" t="s">
        <v>139</v>
      </c>
      <c r="B90" s="37">
        <v>2023</v>
      </c>
      <c r="C90" s="38" t="s">
        <v>695</v>
      </c>
      <c r="D90" s="38" t="s">
        <v>696</v>
      </c>
      <c r="E90" s="38" t="s">
        <v>650</v>
      </c>
      <c r="F90" s="38" t="s">
        <v>441</v>
      </c>
      <c r="G90" s="37"/>
      <c r="H90" s="38" t="s">
        <v>697</v>
      </c>
      <c r="I90" s="37" t="s">
        <v>451</v>
      </c>
      <c r="J90" s="38" t="s">
        <v>444</v>
      </c>
    </row>
    <row r="91" spans="1:10" ht="95" x14ac:dyDescent="0.2">
      <c r="A91" s="87" t="s">
        <v>149</v>
      </c>
      <c r="B91" s="37">
        <v>2020</v>
      </c>
      <c r="C91" s="38" t="s">
        <v>698</v>
      </c>
      <c r="D91" s="38" t="s">
        <v>699</v>
      </c>
      <c r="E91" s="38" t="s">
        <v>650</v>
      </c>
      <c r="F91" s="38" t="s">
        <v>441</v>
      </c>
      <c r="G91" s="37"/>
      <c r="H91" s="38" t="s">
        <v>700</v>
      </c>
      <c r="I91" s="37" t="s">
        <v>443</v>
      </c>
      <c r="J91" s="38" t="s">
        <v>444</v>
      </c>
    </row>
    <row r="92" spans="1:10" ht="114" x14ac:dyDescent="0.2">
      <c r="A92" s="87" t="s">
        <v>159</v>
      </c>
      <c r="B92" s="37">
        <v>2025</v>
      </c>
      <c r="C92" s="38" t="s">
        <v>701</v>
      </c>
      <c r="D92" s="38" t="s">
        <v>702</v>
      </c>
      <c r="E92" s="38" t="s">
        <v>650</v>
      </c>
      <c r="F92" s="38" t="s">
        <v>441</v>
      </c>
      <c r="G92" s="37"/>
      <c r="H92" s="38" t="s">
        <v>703</v>
      </c>
      <c r="I92" s="37" t="s">
        <v>443</v>
      </c>
      <c r="J92" s="38" t="s">
        <v>444</v>
      </c>
    </row>
    <row r="93" spans="1:10" ht="133" x14ac:dyDescent="0.2">
      <c r="A93" s="87" t="s">
        <v>169</v>
      </c>
      <c r="B93" s="37">
        <v>2026</v>
      </c>
      <c r="C93" s="38" t="s">
        <v>704</v>
      </c>
      <c r="D93" s="38" t="s">
        <v>705</v>
      </c>
      <c r="E93" s="38" t="s">
        <v>650</v>
      </c>
      <c r="F93" s="38" t="s">
        <v>441</v>
      </c>
      <c r="G93" s="37"/>
      <c r="H93" s="38" t="s">
        <v>706</v>
      </c>
      <c r="I93" s="37" t="s">
        <v>451</v>
      </c>
      <c r="J93" s="38" t="s">
        <v>444</v>
      </c>
    </row>
    <row r="94" spans="1:10" ht="190" x14ac:dyDescent="0.2">
      <c r="A94" s="87" t="s">
        <v>179</v>
      </c>
      <c r="B94" s="37">
        <v>2025</v>
      </c>
      <c r="C94" s="38" t="s">
        <v>707</v>
      </c>
      <c r="D94" s="38" t="s">
        <v>708</v>
      </c>
      <c r="E94" s="38" t="s">
        <v>650</v>
      </c>
      <c r="F94" s="38" t="s">
        <v>441</v>
      </c>
      <c r="G94" s="37"/>
      <c r="H94" s="38" t="s">
        <v>709</v>
      </c>
      <c r="I94" s="37" t="s">
        <v>443</v>
      </c>
      <c r="J94" s="38" t="s">
        <v>444</v>
      </c>
    </row>
    <row r="95" spans="1:10" ht="95" x14ac:dyDescent="0.2">
      <c r="A95" s="87" t="s">
        <v>188</v>
      </c>
      <c r="B95" s="37">
        <v>2025</v>
      </c>
      <c r="C95" s="38" t="s">
        <v>710</v>
      </c>
      <c r="D95" s="38" t="s">
        <v>711</v>
      </c>
      <c r="E95" s="38" t="s">
        <v>650</v>
      </c>
      <c r="F95" s="38" t="s">
        <v>441</v>
      </c>
      <c r="G95" s="37"/>
      <c r="H95" s="38" t="s">
        <v>712</v>
      </c>
      <c r="I95" s="37" t="s">
        <v>443</v>
      </c>
      <c r="J95" s="38" t="s">
        <v>444</v>
      </c>
    </row>
    <row r="96" spans="1:10" ht="209" x14ac:dyDescent="0.2">
      <c r="A96" s="87" t="s">
        <v>198</v>
      </c>
      <c r="B96" s="37">
        <v>2026</v>
      </c>
      <c r="C96" s="38" t="s">
        <v>713</v>
      </c>
      <c r="D96" s="38" t="s">
        <v>714</v>
      </c>
      <c r="E96" s="38" t="s">
        <v>650</v>
      </c>
      <c r="F96" s="38" t="s">
        <v>441</v>
      </c>
      <c r="G96" s="37"/>
      <c r="H96" s="38" t="s">
        <v>715</v>
      </c>
      <c r="I96" s="37" t="s">
        <v>451</v>
      </c>
      <c r="J96" s="38" t="s">
        <v>444</v>
      </c>
    </row>
    <row r="97" spans="1:10" ht="190" x14ac:dyDescent="0.2">
      <c r="A97" s="87" t="s">
        <v>198</v>
      </c>
      <c r="B97" s="37">
        <v>2026</v>
      </c>
      <c r="C97" s="38" t="s">
        <v>716</v>
      </c>
      <c r="D97" s="38" t="s">
        <v>717</v>
      </c>
      <c r="E97" s="38" t="s">
        <v>650</v>
      </c>
      <c r="F97" s="38" t="s">
        <v>441</v>
      </c>
      <c r="G97" s="37"/>
      <c r="H97" s="38" t="s">
        <v>718</v>
      </c>
      <c r="I97" s="37" t="s">
        <v>443</v>
      </c>
      <c r="J97" s="38" t="s">
        <v>444</v>
      </c>
    </row>
    <row r="98" spans="1:10" ht="209" x14ac:dyDescent="0.2">
      <c r="A98" s="87" t="s">
        <v>208</v>
      </c>
      <c r="B98" s="37">
        <v>2026</v>
      </c>
      <c r="C98" s="38" t="s">
        <v>719</v>
      </c>
      <c r="D98" s="38" t="s">
        <v>720</v>
      </c>
      <c r="E98" s="38" t="s">
        <v>650</v>
      </c>
      <c r="F98" s="38" t="s">
        <v>441</v>
      </c>
      <c r="G98" s="37"/>
      <c r="H98" s="38" t="s">
        <v>721</v>
      </c>
      <c r="I98" s="37" t="s">
        <v>451</v>
      </c>
      <c r="J98" s="38" t="s">
        <v>444</v>
      </c>
    </row>
    <row r="99" spans="1:10" ht="152" x14ac:dyDescent="0.2">
      <c r="A99" s="87" t="s">
        <v>208</v>
      </c>
      <c r="B99" s="37">
        <v>2026</v>
      </c>
      <c r="C99" s="38" t="s">
        <v>722</v>
      </c>
      <c r="D99" s="38" t="s">
        <v>723</v>
      </c>
      <c r="E99" s="38" t="s">
        <v>650</v>
      </c>
      <c r="F99" s="38" t="s">
        <v>441</v>
      </c>
      <c r="G99" s="37"/>
      <c r="H99" s="38" t="s">
        <v>724</v>
      </c>
      <c r="I99" s="37" t="s">
        <v>451</v>
      </c>
      <c r="J99" s="38" t="s">
        <v>444</v>
      </c>
    </row>
    <row r="100" spans="1:10" ht="95" x14ac:dyDescent="0.2">
      <c r="A100" s="87" t="s">
        <v>218</v>
      </c>
      <c r="B100" s="37">
        <v>2026</v>
      </c>
      <c r="C100" s="38" t="s">
        <v>725</v>
      </c>
      <c r="D100" s="38" t="s">
        <v>726</v>
      </c>
      <c r="E100" s="38" t="s">
        <v>650</v>
      </c>
      <c r="F100" s="38" t="s">
        <v>441</v>
      </c>
      <c r="G100" s="37"/>
      <c r="H100" s="38" t="s">
        <v>515</v>
      </c>
      <c r="I100" s="37" t="s">
        <v>451</v>
      </c>
      <c r="J100" s="38" t="s">
        <v>444</v>
      </c>
    </row>
    <row r="101" spans="1:10" ht="114" x14ac:dyDescent="0.2">
      <c r="A101" s="87" t="s">
        <v>218</v>
      </c>
      <c r="B101" s="37">
        <v>2026</v>
      </c>
      <c r="C101" s="38" t="s">
        <v>727</v>
      </c>
      <c r="D101" s="38" t="s">
        <v>728</v>
      </c>
      <c r="E101" s="38" t="s">
        <v>650</v>
      </c>
      <c r="F101" s="38" t="s">
        <v>441</v>
      </c>
      <c r="G101" s="37"/>
      <c r="H101" s="38" t="s">
        <v>729</v>
      </c>
      <c r="I101" s="37" t="s">
        <v>443</v>
      </c>
      <c r="J101" s="38" t="s">
        <v>444</v>
      </c>
    </row>
    <row r="102" spans="1:10" ht="95" x14ac:dyDescent="0.2">
      <c r="A102" s="87" t="s">
        <v>227</v>
      </c>
      <c r="B102" s="37">
        <v>2026</v>
      </c>
      <c r="C102" s="38" t="s">
        <v>730</v>
      </c>
      <c r="D102" s="38" t="s">
        <v>731</v>
      </c>
      <c r="E102" s="38" t="s">
        <v>650</v>
      </c>
      <c r="F102" s="38" t="s">
        <v>441</v>
      </c>
      <c r="G102" s="37"/>
      <c r="H102" s="38" t="s">
        <v>732</v>
      </c>
      <c r="I102" s="37" t="s">
        <v>451</v>
      </c>
      <c r="J102" s="38" t="s">
        <v>444</v>
      </c>
    </row>
    <row r="103" spans="1:10" ht="114" x14ac:dyDescent="0.2">
      <c r="A103" s="87" t="s">
        <v>227</v>
      </c>
      <c r="B103" s="37">
        <v>2026</v>
      </c>
      <c r="C103" s="38" t="s">
        <v>733</v>
      </c>
      <c r="D103" s="38" t="s">
        <v>734</v>
      </c>
      <c r="E103" s="38" t="s">
        <v>650</v>
      </c>
      <c r="F103" s="38" t="s">
        <v>441</v>
      </c>
      <c r="G103" s="37"/>
      <c r="H103" s="38" t="s">
        <v>735</v>
      </c>
      <c r="I103" s="37" t="s">
        <v>451</v>
      </c>
      <c r="J103" s="38" t="s">
        <v>444</v>
      </c>
    </row>
    <row r="104" spans="1:10" ht="114" x14ac:dyDescent="0.2">
      <c r="A104" s="87" t="s">
        <v>227</v>
      </c>
      <c r="B104" s="37">
        <v>2026</v>
      </c>
      <c r="C104" s="38" t="s">
        <v>736</v>
      </c>
      <c r="D104" s="38" t="s">
        <v>737</v>
      </c>
      <c r="E104" s="38" t="s">
        <v>650</v>
      </c>
      <c r="F104" s="38" t="s">
        <v>441</v>
      </c>
      <c r="G104" s="37"/>
      <c r="H104" s="38" t="s">
        <v>738</v>
      </c>
      <c r="I104" s="37" t="s">
        <v>451</v>
      </c>
      <c r="J104" s="38" t="s">
        <v>444</v>
      </c>
    </row>
    <row r="105" spans="1:10" ht="152" x14ac:dyDescent="0.2">
      <c r="A105" s="87" t="s">
        <v>237</v>
      </c>
      <c r="B105" s="37">
        <v>2025</v>
      </c>
      <c r="C105" s="38" t="s">
        <v>739</v>
      </c>
      <c r="D105" s="38" t="s">
        <v>740</v>
      </c>
      <c r="E105" s="38" t="s">
        <v>650</v>
      </c>
      <c r="F105" s="38" t="s">
        <v>441</v>
      </c>
      <c r="G105" s="37"/>
      <c r="H105" s="38" t="s">
        <v>741</v>
      </c>
      <c r="I105" s="37" t="s">
        <v>451</v>
      </c>
      <c r="J105" s="38" t="s">
        <v>444</v>
      </c>
    </row>
    <row r="106" spans="1:10" ht="95" x14ac:dyDescent="0.2">
      <c r="A106" s="87" t="s">
        <v>237</v>
      </c>
      <c r="B106" s="37">
        <v>2025</v>
      </c>
      <c r="C106" s="38" t="s">
        <v>742</v>
      </c>
      <c r="D106" s="38" t="s">
        <v>743</v>
      </c>
      <c r="E106" s="38" t="s">
        <v>650</v>
      </c>
      <c r="F106" s="38" t="s">
        <v>441</v>
      </c>
      <c r="G106" s="37"/>
      <c r="H106" s="38" t="s">
        <v>744</v>
      </c>
      <c r="I106" s="37" t="s">
        <v>443</v>
      </c>
      <c r="J106" s="38" t="s">
        <v>444</v>
      </c>
    </row>
    <row r="107" spans="1:10" ht="190" x14ac:dyDescent="0.2">
      <c r="A107" s="87" t="s">
        <v>247</v>
      </c>
      <c r="B107" s="37">
        <v>2026</v>
      </c>
      <c r="C107" s="38" t="s">
        <v>745</v>
      </c>
      <c r="D107" s="38" t="s">
        <v>746</v>
      </c>
      <c r="E107" s="38" t="s">
        <v>650</v>
      </c>
      <c r="F107" s="38" t="s">
        <v>441</v>
      </c>
      <c r="G107" s="37"/>
      <c r="H107" s="38" t="s">
        <v>747</v>
      </c>
      <c r="I107" s="37" t="s">
        <v>443</v>
      </c>
      <c r="J107" s="38" t="s">
        <v>444</v>
      </c>
    </row>
    <row r="108" spans="1:10" ht="76" x14ac:dyDescent="0.2">
      <c r="A108" s="87" t="s">
        <v>257</v>
      </c>
      <c r="B108" s="37">
        <v>2025</v>
      </c>
      <c r="C108" s="38" t="s">
        <v>748</v>
      </c>
      <c r="D108" s="38" t="s">
        <v>749</v>
      </c>
      <c r="E108" s="38" t="s">
        <v>650</v>
      </c>
      <c r="F108" s="38" t="s">
        <v>441</v>
      </c>
      <c r="G108" s="37"/>
      <c r="H108" s="38" t="s">
        <v>750</v>
      </c>
      <c r="I108" s="37" t="s">
        <v>443</v>
      </c>
      <c r="J108" s="38" t="s">
        <v>444</v>
      </c>
    </row>
    <row r="109" spans="1:10" x14ac:dyDescent="0.2">
      <c r="A109" s="39"/>
      <c r="B109" s="39"/>
      <c r="C109" s="39"/>
      <c r="E109" s="39"/>
      <c r="F109" s="39"/>
      <c r="G109" s="39"/>
      <c r="H109" s="39"/>
      <c r="I109" s="39"/>
      <c r="J109" s="39"/>
    </row>
    <row r="110" spans="1:10" ht="76" x14ac:dyDescent="0.2">
      <c r="A110" s="87" t="s">
        <v>54</v>
      </c>
      <c r="B110" s="37">
        <v>2025</v>
      </c>
      <c r="C110" s="38" t="s">
        <v>751</v>
      </c>
      <c r="D110" s="38" t="s">
        <v>752</v>
      </c>
      <c r="E110" s="38" t="s">
        <v>753</v>
      </c>
      <c r="F110" s="38" t="s">
        <v>441</v>
      </c>
      <c r="G110" s="37"/>
      <c r="H110" s="38" t="s">
        <v>754</v>
      </c>
      <c r="I110" s="37" t="s">
        <v>659</v>
      </c>
      <c r="J110" s="38" t="s">
        <v>755</v>
      </c>
    </row>
    <row r="111" spans="1:10" ht="114" x14ac:dyDescent="0.2">
      <c r="A111" s="87" t="s">
        <v>44</v>
      </c>
      <c r="B111" s="37">
        <v>2024</v>
      </c>
      <c r="C111" s="38" t="s">
        <v>756</v>
      </c>
      <c r="D111" s="38" t="s">
        <v>757</v>
      </c>
      <c r="E111" s="38" t="s">
        <v>753</v>
      </c>
      <c r="F111" s="38" t="s">
        <v>441</v>
      </c>
      <c r="G111" s="37"/>
      <c r="H111" s="38" t="s">
        <v>492</v>
      </c>
      <c r="I111" s="37" t="s">
        <v>659</v>
      </c>
      <c r="J111" s="38" t="s">
        <v>755</v>
      </c>
    </row>
    <row r="112" spans="1:10" ht="76" x14ac:dyDescent="0.2">
      <c r="A112" s="87" t="s">
        <v>63</v>
      </c>
      <c r="B112" s="37">
        <v>2025</v>
      </c>
      <c r="C112" s="38" t="s">
        <v>758</v>
      </c>
      <c r="D112" s="38" t="s">
        <v>759</v>
      </c>
      <c r="E112" s="38" t="s">
        <v>753</v>
      </c>
      <c r="F112" s="38" t="s">
        <v>441</v>
      </c>
      <c r="G112" s="37"/>
      <c r="H112" s="38" t="s">
        <v>566</v>
      </c>
      <c r="I112" s="37" t="s">
        <v>451</v>
      </c>
      <c r="J112" s="38" t="s">
        <v>755</v>
      </c>
    </row>
    <row r="113" spans="1:10" ht="95" x14ac:dyDescent="0.2">
      <c r="A113" s="87" t="s">
        <v>73</v>
      </c>
      <c r="B113" s="37">
        <v>2024</v>
      </c>
      <c r="C113" s="38" t="s">
        <v>760</v>
      </c>
      <c r="D113" s="38" t="s">
        <v>761</v>
      </c>
      <c r="E113" s="38" t="s">
        <v>753</v>
      </c>
      <c r="F113" s="38" t="s">
        <v>441</v>
      </c>
      <c r="G113" s="37"/>
      <c r="H113" s="38" t="s">
        <v>492</v>
      </c>
      <c r="I113" s="37" t="s">
        <v>659</v>
      </c>
      <c r="J113" s="38" t="s">
        <v>755</v>
      </c>
    </row>
    <row r="114" spans="1:10" ht="95" x14ac:dyDescent="0.2">
      <c r="A114" s="87" t="s">
        <v>83</v>
      </c>
      <c r="B114" s="37">
        <v>2025</v>
      </c>
      <c r="C114" s="38" t="s">
        <v>762</v>
      </c>
      <c r="D114" s="38" t="s">
        <v>763</v>
      </c>
      <c r="E114" s="38" t="s">
        <v>753</v>
      </c>
      <c r="F114" s="38" t="s">
        <v>441</v>
      </c>
      <c r="G114" s="37"/>
      <c r="H114" s="38" t="s">
        <v>764</v>
      </c>
      <c r="I114" s="37" t="s">
        <v>451</v>
      </c>
      <c r="J114" s="38" t="s">
        <v>755</v>
      </c>
    </row>
    <row r="115" spans="1:10" ht="57" x14ac:dyDescent="0.2">
      <c r="A115" s="87" t="s">
        <v>83</v>
      </c>
      <c r="B115" s="37">
        <v>2025</v>
      </c>
      <c r="C115" s="38" t="s">
        <v>765</v>
      </c>
      <c r="D115" s="38" t="s">
        <v>766</v>
      </c>
      <c r="E115" s="38" t="s">
        <v>753</v>
      </c>
      <c r="F115" s="38" t="s">
        <v>441</v>
      </c>
      <c r="G115" s="37"/>
      <c r="H115" s="38" t="s">
        <v>454</v>
      </c>
      <c r="I115" s="37" t="s">
        <v>451</v>
      </c>
      <c r="J115" s="38" t="s">
        <v>755</v>
      </c>
    </row>
    <row r="116" spans="1:10" ht="114" x14ac:dyDescent="0.2">
      <c r="A116" s="87" t="s">
        <v>83</v>
      </c>
      <c r="B116" s="37">
        <v>2025</v>
      </c>
      <c r="C116" s="38" t="s">
        <v>767</v>
      </c>
      <c r="D116" s="38" t="s">
        <v>768</v>
      </c>
      <c r="E116" s="38" t="s">
        <v>753</v>
      </c>
      <c r="F116" s="38" t="s">
        <v>441</v>
      </c>
      <c r="G116" s="37"/>
      <c r="H116" s="38" t="s">
        <v>769</v>
      </c>
      <c r="I116" s="37" t="s">
        <v>451</v>
      </c>
      <c r="J116" s="38" t="s">
        <v>755</v>
      </c>
    </row>
    <row r="117" spans="1:10" ht="114" x14ac:dyDescent="0.2">
      <c r="A117" s="87" t="s">
        <v>93</v>
      </c>
      <c r="B117" s="37">
        <v>2025</v>
      </c>
      <c r="C117" s="38" t="s">
        <v>770</v>
      </c>
      <c r="D117" s="38" t="s">
        <v>771</v>
      </c>
      <c r="E117" s="38" t="s">
        <v>753</v>
      </c>
      <c r="F117" s="38" t="s">
        <v>441</v>
      </c>
      <c r="G117" s="37"/>
      <c r="H117" s="38" t="s">
        <v>772</v>
      </c>
      <c r="I117" s="37" t="s">
        <v>443</v>
      </c>
      <c r="J117" s="38" t="s">
        <v>755</v>
      </c>
    </row>
    <row r="118" spans="1:10" ht="76" x14ac:dyDescent="0.2">
      <c r="A118" s="87" t="s">
        <v>103</v>
      </c>
      <c r="B118" s="37">
        <v>2024</v>
      </c>
      <c r="C118" s="38" t="s">
        <v>773</v>
      </c>
      <c r="D118" s="38" t="s">
        <v>774</v>
      </c>
      <c r="E118" s="38" t="s">
        <v>753</v>
      </c>
      <c r="F118" s="38" t="s">
        <v>441</v>
      </c>
      <c r="G118" s="37"/>
      <c r="H118" s="38" t="s">
        <v>741</v>
      </c>
      <c r="I118" s="37" t="s">
        <v>451</v>
      </c>
      <c r="J118" s="38" t="s">
        <v>755</v>
      </c>
    </row>
    <row r="119" spans="1:10" ht="76" x14ac:dyDescent="0.2">
      <c r="A119" s="87" t="s">
        <v>113</v>
      </c>
      <c r="B119" s="37">
        <v>2024</v>
      </c>
      <c r="C119" s="38" t="s">
        <v>775</v>
      </c>
      <c r="D119" s="38" t="s">
        <v>776</v>
      </c>
      <c r="E119" s="38" t="s">
        <v>753</v>
      </c>
      <c r="F119" s="38" t="s">
        <v>441</v>
      </c>
      <c r="G119" s="37"/>
      <c r="H119" s="38" t="s">
        <v>777</v>
      </c>
      <c r="I119" s="37" t="s">
        <v>451</v>
      </c>
      <c r="J119" s="38" t="s">
        <v>755</v>
      </c>
    </row>
    <row r="120" spans="1:10" ht="95" x14ac:dyDescent="0.2">
      <c r="A120" s="87" t="s">
        <v>122</v>
      </c>
      <c r="B120" s="37">
        <v>2024</v>
      </c>
      <c r="C120" s="38" t="s">
        <v>778</v>
      </c>
      <c r="D120" s="38" t="s">
        <v>779</v>
      </c>
      <c r="E120" s="38" t="s">
        <v>753</v>
      </c>
      <c r="F120" s="38" t="s">
        <v>441</v>
      </c>
      <c r="G120" s="37"/>
      <c r="H120" s="38" t="s">
        <v>483</v>
      </c>
      <c r="I120" s="37" t="s">
        <v>451</v>
      </c>
      <c r="J120" s="38" t="s">
        <v>755</v>
      </c>
    </row>
    <row r="121" spans="1:10" ht="114" x14ac:dyDescent="0.2">
      <c r="A121" s="87" t="s">
        <v>130</v>
      </c>
      <c r="B121" s="37">
        <v>2024</v>
      </c>
      <c r="C121" s="38" t="s">
        <v>780</v>
      </c>
      <c r="D121" s="38" t="s">
        <v>781</v>
      </c>
      <c r="E121" s="38" t="s">
        <v>753</v>
      </c>
      <c r="F121" s="38" t="s">
        <v>441</v>
      </c>
      <c r="G121" s="37"/>
      <c r="H121" s="38" t="s">
        <v>782</v>
      </c>
      <c r="I121" s="37" t="s">
        <v>443</v>
      </c>
      <c r="J121" s="38" t="s">
        <v>755</v>
      </c>
    </row>
    <row r="122" spans="1:10" ht="133" x14ac:dyDescent="0.2">
      <c r="A122" s="87" t="s">
        <v>139</v>
      </c>
      <c r="B122" s="37">
        <v>2023</v>
      </c>
      <c r="C122" s="38" t="s">
        <v>783</v>
      </c>
      <c r="D122" s="38" t="s">
        <v>784</v>
      </c>
      <c r="E122" s="38" t="s">
        <v>753</v>
      </c>
      <c r="F122" s="38" t="s">
        <v>441</v>
      </c>
      <c r="G122" s="37"/>
      <c r="H122" s="38" t="s">
        <v>785</v>
      </c>
      <c r="I122" s="37" t="s">
        <v>451</v>
      </c>
      <c r="J122" s="38" t="s">
        <v>755</v>
      </c>
    </row>
    <row r="123" spans="1:10" ht="114" x14ac:dyDescent="0.2">
      <c r="A123" s="87" t="s">
        <v>149</v>
      </c>
      <c r="B123" s="37">
        <v>2020</v>
      </c>
      <c r="C123" s="38" t="s">
        <v>786</v>
      </c>
      <c r="D123" s="38" t="s">
        <v>787</v>
      </c>
      <c r="E123" s="38" t="s">
        <v>753</v>
      </c>
      <c r="F123" s="38" t="s">
        <v>441</v>
      </c>
      <c r="G123" s="37"/>
      <c r="H123" s="38" t="s">
        <v>497</v>
      </c>
      <c r="I123" s="37" t="s">
        <v>451</v>
      </c>
      <c r="J123" s="38" t="s">
        <v>755</v>
      </c>
    </row>
    <row r="124" spans="1:10" ht="95" x14ac:dyDescent="0.2">
      <c r="A124" s="87" t="s">
        <v>149</v>
      </c>
      <c r="B124" s="37">
        <v>2020</v>
      </c>
      <c r="C124" s="38" t="s">
        <v>788</v>
      </c>
      <c r="D124" s="38" t="s">
        <v>789</v>
      </c>
      <c r="E124" s="38" t="s">
        <v>753</v>
      </c>
      <c r="F124" s="38" t="s">
        <v>441</v>
      </c>
      <c r="G124" s="37"/>
      <c r="H124" s="38" t="s">
        <v>738</v>
      </c>
      <c r="I124" s="37" t="s">
        <v>451</v>
      </c>
      <c r="J124" s="38" t="s">
        <v>755</v>
      </c>
    </row>
    <row r="125" spans="1:10" ht="95" x14ac:dyDescent="0.2">
      <c r="A125" s="87" t="s">
        <v>149</v>
      </c>
      <c r="B125" s="37">
        <v>2020</v>
      </c>
      <c r="C125" s="38" t="s">
        <v>790</v>
      </c>
      <c r="D125" s="38" t="s">
        <v>791</v>
      </c>
      <c r="E125" s="38" t="s">
        <v>753</v>
      </c>
      <c r="F125" s="38" t="s">
        <v>441</v>
      </c>
      <c r="G125" s="37"/>
      <c r="H125" s="38" t="s">
        <v>598</v>
      </c>
      <c r="I125" s="37" t="s">
        <v>451</v>
      </c>
      <c r="J125" s="38" t="s">
        <v>755</v>
      </c>
    </row>
    <row r="126" spans="1:10" ht="133" x14ac:dyDescent="0.2">
      <c r="A126" s="87" t="s">
        <v>159</v>
      </c>
      <c r="B126" s="37">
        <v>2025</v>
      </c>
      <c r="C126" s="38" t="s">
        <v>792</v>
      </c>
      <c r="D126" s="38" t="s">
        <v>793</v>
      </c>
      <c r="E126" s="38" t="s">
        <v>753</v>
      </c>
      <c r="F126" s="38" t="s">
        <v>441</v>
      </c>
      <c r="G126" s="37"/>
      <c r="H126" s="38" t="s">
        <v>794</v>
      </c>
      <c r="I126" s="37" t="s">
        <v>443</v>
      </c>
      <c r="J126" s="38" t="s">
        <v>755</v>
      </c>
    </row>
    <row r="127" spans="1:10" ht="133" x14ac:dyDescent="0.2">
      <c r="A127" s="87" t="s">
        <v>169</v>
      </c>
      <c r="B127" s="37">
        <v>2026</v>
      </c>
      <c r="C127" s="38" t="s">
        <v>795</v>
      </c>
      <c r="D127" s="38" t="s">
        <v>796</v>
      </c>
      <c r="E127" s="38" t="s">
        <v>753</v>
      </c>
      <c r="F127" s="38" t="s">
        <v>441</v>
      </c>
      <c r="G127" s="37"/>
      <c r="H127" s="38" t="s">
        <v>595</v>
      </c>
      <c r="I127" s="37" t="s">
        <v>451</v>
      </c>
      <c r="J127" s="38" t="s">
        <v>755</v>
      </c>
    </row>
    <row r="128" spans="1:10" ht="114" x14ac:dyDescent="0.2">
      <c r="A128" s="87" t="s">
        <v>169</v>
      </c>
      <c r="B128" s="37">
        <v>2026</v>
      </c>
      <c r="C128" s="38" t="s">
        <v>797</v>
      </c>
      <c r="D128" s="38" t="s">
        <v>798</v>
      </c>
      <c r="E128" s="38" t="s">
        <v>753</v>
      </c>
      <c r="F128" s="38" t="s">
        <v>441</v>
      </c>
      <c r="G128" s="37"/>
      <c r="H128" s="38" t="s">
        <v>799</v>
      </c>
      <c r="I128" s="37" t="s">
        <v>451</v>
      </c>
      <c r="J128" s="38" t="s">
        <v>755</v>
      </c>
    </row>
    <row r="129" spans="1:10" ht="152" x14ac:dyDescent="0.2">
      <c r="A129" s="87" t="s">
        <v>169</v>
      </c>
      <c r="B129" s="37">
        <v>2026</v>
      </c>
      <c r="C129" s="38" t="s">
        <v>800</v>
      </c>
      <c r="D129" s="38" t="s">
        <v>801</v>
      </c>
      <c r="E129" s="38" t="s">
        <v>753</v>
      </c>
      <c r="F129" s="38" t="s">
        <v>441</v>
      </c>
      <c r="G129" s="37"/>
      <c r="H129" s="38" t="s">
        <v>802</v>
      </c>
      <c r="I129" s="37" t="s">
        <v>451</v>
      </c>
      <c r="J129" s="38" t="s">
        <v>755</v>
      </c>
    </row>
    <row r="130" spans="1:10" ht="171" x14ac:dyDescent="0.2">
      <c r="A130" s="87" t="s">
        <v>169</v>
      </c>
      <c r="B130" s="37">
        <v>2026</v>
      </c>
      <c r="C130" s="38" t="s">
        <v>803</v>
      </c>
      <c r="D130" s="38" t="s">
        <v>804</v>
      </c>
      <c r="E130" s="38" t="s">
        <v>753</v>
      </c>
      <c r="F130" s="38" t="s">
        <v>441</v>
      </c>
      <c r="G130" s="37"/>
      <c r="H130" s="38" t="s">
        <v>805</v>
      </c>
      <c r="I130" s="37" t="s">
        <v>451</v>
      </c>
      <c r="J130" s="38" t="s">
        <v>755</v>
      </c>
    </row>
    <row r="131" spans="1:10" ht="133" x14ac:dyDescent="0.2">
      <c r="A131" s="87" t="s">
        <v>179</v>
      </c>
      <c r="B131" s="37">
        <v>2025</v>
      </c>
      <c r="C131" s="38" t="s">
        <v>806</v>
      </c>
      <c r="D131" s="38" t="s">
        <v>807</v>
      </c>
      <c r="E131" s="38" t="s">
        <v>753</v>
      </c>
      <c r="F131" s="38" t="s">
        <v>441</v>
      </c>
      <c r="G131" s="37"/>
      <c r="H131" s="38" t="s">
        <v>808</v>
      </c>
      <c r="I131" s="37" t="s">
        <v>443</v>
      </c>
      <c r="J131" s="38" t="s">
        <v>755</v>
      </c>
    </row>
    <row r="132" spans="1:10" ht="114" x14ac:dyDescent="0.2">
      <c r="A132" s="87" t="s">
        <v>188</v>
      </c>
      <c r="B132" s="37">
        <v>2025</v>
      </c>
      <c r="C132" s="38" t="s">
        <v>809</v>
      </c>
      <c r="D132" s="38" t="s">
        <v>810</v>
      </c>
      <c r="E132" s="38" t="s">
        <v>753</v>
      </c>
      <c r="F132" s="38" t="s">
        <v>441</v>
      </c>
      <c r="G132" s="37"/>
      <c r="H132" s="38" t="s">
        <v>621</v>
      </c>
      <c r="I132" s="37" t="s">
        <v>443</v>
      </c>
      <c r="J132" s="38" t="s">
        <v>755</v>
      </c>
    </row>
    <row r="133" spans="1:10" ht="152" x14ac:dyDescent="0.2">
      <c r="A133" s="87" t="s">
        <v>198</v>
      </c>
      <c r="B133" s="37">
        <v>2026</v>
      </c>
      <c r="C133" s="38" t="s">
        <v>811</v>
      </c>
      <c r="D133" s="38" t="s">
        <v>812</v>
      </c>
      <c r="E133" s="38" t="s">
        <v>753</v>
      </c>
      <c r="F133" s="38" t="s">
        <v>441</v>
      </c>
      <c r="G133" s="37"/>
      <c r="H133" s="38" t="s">
        <v>813</v>
      </c>
      <c r="I133" s="37" t="s">
        <v>443</v>
      </c>
      <c r="J133" s="38" t="s">
        <v>755</v>
      </c>
    </row>
    <row r="134" spans="1:10" ht="171" x14ac:dyDescent="0.2">
      <c r="A134" s="87" t="s">
        <v>208</v>
      </c>
      <c r="B134" s="37">
        <v>2026</v>
      </c>
      <c r="C134" s="38" t="s">
        <v>814</v>
      </c>
      <c r="D134" s="38" t="s">
        <v>815</v>
      </c>
      <c r="E134" s="38" t="s">
        <v>753</v>
      </c>
      <c r="F134" s="38" t="s">
        <v>441</v>
      </c>
      <c r="G134" s="37"/>
      <c r="H134" s="38" t="s">
        <v>816</v>
      </c>
      <c r="I134" s="37" t="s">
        <v>451</v>
      </c>
      <c r="J134" s="38" t="s">
        <v>755</v>
      </c>
    </row>
    <row r="135" spans="1:10" ht="228" x14ac:dyDescent="0.2">
      <c r="A135" s="87" t="s">
        <v>208</v>
      </c>
      <c r="B135" s="37">
        <v>2026</v>
      </c>
      <c r="C135" s="38" t="s">
        <v>817</v>
      </c>
      <c r="D135" s="38" t="s">
        <v>818</v>
      </c>
      <c r="E135" s="38" t="s">
        <v>753</v>
      </c>
      <c r="F135" s="38" t="s">
        <v>441</v>
      </c>
      <c r="G135" s="37"/>
      <c r="H135" s="38" t="s">
        <v>819</v>
      </c>
      <c r="I135" s="37" t="s">
        <v>451</v>
      </c>
      <c r="J135" s="38" t="s">
        <v>755</v>
      </c>
    </row>
    <row r="136" spans="1:10" ht="209" x14ac:dyDescent="0.2">
      <c r="A136" s="87" t="s">
        <v>208</v>
      </c>
      <c r="B136" s="37">
        <v>2026</v>
      </c>
      <c r="C136" s="38" t="s">
        <v>820</v>
      </c>
      <c r="D136" s="38" t="s">
        <v>821</v>
      </c>
      <c r="E136" s="38" t="s">
        <v>753</v>
      </c>
      <c r="F136" s="38" t="s">
        <v>441</v>
      </c>
      <c r="G136" s="37"/>
      <c r="H136" s="38" t="s">
        <v>822</v>
      </c>
      <c r="I136" s="37" t="s">
        <v>451</v>
      </c>
      <c r="J136" s="38" t="s">
        <v>755</v>
      </c>
    </row>
    <row r="137" spans="1:10" ht="114" x14ac:dyDescent="0.2">
      <c r="A137" s="87" t="s">
        <v>218</v>
      </c>
      <c r="B137" s="37">
        <v>2026</v>
      </c>
      <c r="C137" s="38" t="s">
        <v>823</v>
      </c>
      <c r="D137" s="38" t="s">
        <v>824</v>
      </c>
      <c r="E137" s="38" t="s">
        <v>753</v>
      </c>
      <c r="F137" s="38" t="s">
        <v>441</v>
      </c>
      <c r="G137" s="37"/>
      <c r="H137" s="38" t="s">
        <v>825</v>
      </c>
      <c r="I137" s="37" t="s">
        <v>451</v>
      </c>
      <c r="J137" s="38" t="s">
        <v>755</v>
      </c>
    </row>
    <row r="138" spans="1:10" ht="95" x14ac:dyDescent="0.2">
      <c r="A138" s="87" t="s">
        <v>218</v>
      </c>
      <c r="B138" s="37">
        <v>2026</v>
      </c>
      <c r="C138" s="38" t="s">
        <v>826</v>
      </c>
      <c r="D138" s="38" t="s">
        <v>827</v>
      </c>
      <c r="E138" s="38" t="s">
        <v>753</v>
      </c>
      <c r="F138" s="38" t="s">
        <v>441</v>
      </c>
      <c r="G138" s="37"/>
      <c r="H138" s="38" t="s">
        <v>828</v>
      </c>
      <c r="I138" s="37" t="s">
        <v>443</v>
      </c>
      <c r="J138" s="38" t="s">
        <v>755</v>
      </c>
    </row>
    <row r="139" spans="1:10" ht="114" x14ac:dyDescent="0.2">
      <c r="A139" s="87" t="s">
        <v>227</v>
      </c>
      <c r="B139" s="37">
        <v>2026</v>
      </c>
      <c r="C139" s="38" t="s">
        <v>829</v>
      </c>
      <c r="D139" s="38" t="s">
        <v>830</v>
      </c>
      <c r="E139" s="38" t="s">
        <v>753</v>
      </c>
      <c r="F139" s="38" t="s">
        <v>441</v>
      </c>
      <c r="G139" s="37"/>
      <c r="H139" s="38" t="s">
        <v>831</v>
      </c>
      <c r="I139" s="37" t="s">
        <v>451</v>
      </c>
      <c r="J139" s="38" t="s">
        <v>755</v>
      </c>
    </row>
    <row r="140" spans="1:10" ht="133" x14ac:dyDescent="0.2">
      <c r="A140" s="87" t="s">
        <v>227</v>
      </c>
      <c r="B140" s="37">
        <v>2026</v>
      </c>
      <c r="C140" s="38" t="s">
        <v>832</v>
      </c>
      <c r="D140" s="38" t="s">
        <v>833</v>
      </c>
      <c r="E140" s="38" t="s">
        <v>753</v>
      </c>
      <c r="F140" s="38" t="s">
        <v>441</v>
      </c>
      <c r="G140" s="37"/>
      <c r="H140" s="38" t="s">
        <v>834</v>
      </c>
      <c r="I140" s="37" t="s">
        <v>451</v>
      </c>
      <c r="J140" s="38" t="s">
        <v>755</v>
      </c>
    </row>
    <row r="141" spans="1:10" ht="133" x14ac:dyDescent="0.2">
      <c r="A141" s="87" t="s">
        <v>227</v>
      </c>
      <c r="B141" s="37">
        <v>2026</v>
      </c>
      <c r="C141" s="38" t="s">
        <v>835</v>
      </c>
      <c r="D141" s="38" t="s">
        <v>836</v>
      </c>
      <c r="E141" s="38" t="s">
        <v>753</v>
      </c>
      <c r="F141" s="38" t="s">
        <v>441</v>
      </c>
      <c r="G141" s="37"/>
      <c r="H141" s="38" t="s">
        <v>837</v>
      </c>
      <c r="I141" s="37" t="s">
        <v>451</v>
      </c>
      <c r="J141" s="38" t="s">
        <v>755</v>
      </c>
    </row>
    <row r="142" spans="1:10" ht="114" x14ac:dyDescent="0.2">
      <c r="A142" s="87" t="s">
        <v>227</v>
      </c>
      <c r="B142" s="37">
        <v>2026</v>
      </c>
      <c r="C142" s="38" t="s">
        <v>838</v>
      </c>
      <c r="D142" s="38" t="s">
        <v>839</v>
      </c>
      <c r="E142" s="38" t="s">
        <v>753</v>
      </c>
      <c r="F142" s="38" t="s">
        <v>441</v>
      </c>
      <c r="G142" s="37"/>
      <c r="H142" s="38" t="s">
        <v>840</v>
      </c>
      <c r="I142" s="37" t="s">
        <v>443</v>
      </c>
      <c r="J142" s="38" t="s">
        <v>755</v>
      </c>
    </row>
    <row r="143" spans="1:10" ht="95" x14ac:dyDescent="0.2">
      <c r="A143" s="87" t="s">
        <v>237</v>
      </c>
      <c r="B143" s="37">
        <v>2025</v>
      </c>
      <c r="C143" s="38" t="s">
        <v>841</v>
      </c>
      <c r="D143" s="38" t="s">
        <v>842</v>
      </c>
      <c r="E143" s="38" t="s">
        <v>753</v>
      </c>
      <c r="F143" s="38" t="s">
        <v>441</v>
      </c>
      <c r="G143" s="37"/>
      <c r="H143" s="38" t="s">
        <v>843</v>
      </c>
      <c r="I143" s="37" t="s">
        <v>451</v>
      </c>
      <c r="J143" s="38" t="s">
        <v>755</v>
      </c>
    </row>
    <row r="144" spans="1:10" ht="114" x14ac:dyDescent="0.2">
      <c r="A144" s="87" t="s">
        <v>237</v>
      </c>
      <c r="B144" s="37">
        <v>2025</v>
      </c>
      <c r="C144" s="38" t="s">
        <v>844</v>
      </c>
      <c r="D144" s="38" t="s">
        <v>845</v>
      </c>
      <c r="E144" s="38" t="s">
        <v>753</v>
      </c>
      <c r="F144" s="38" t="s">
        <v>441</v>
      </c>
      <c r="G144" s="37"/>
      <c r="H144" s="38" t="s">
        <v>741</v>
      </c>
      <c r="I144" s="37" t="s">
        <v>451</v>
      </c>
      <c r="J144" s="38" t="s">
        <v>755</v>
      </c>
    </row>
    <row r="145" spans="1:10" ht="114" x14ac:dyDescent="0.2">
      <c r="A145" s="87" t="s">
        <v>237</v>
      </c>
      <c r="B145" s="37">
        <v>2025</v>
      </c>
      <c r="C145" s="38" t="s">
        <v>846</v>
      </c>
      <c r="D145" s="38" t="s">
        <v>847</v>
      </c>
      <c r="E145" s="38" t="s">
        <v>753</v>
      </c>
      <c r="F145" s="38" t="s">
        <v>441</v>
      </c>
      <c r="G145" s="37"/>
      <c r="H145" s="38" t="s">
        <v>741</v>
      </c>
      <c r="I145" s="37" t="s">
        <v>443</v>
      </c>
      <c r="J145" s="38" t="s">
        <v>755</v>
      </c>
    </row>
    <row r="146" spans="1:10" ht="114" x14ac:dyDescent="0.2">
      <c r="A146" s="87" t="s">
        <v>247</v>
      </c>
      <c r="B146" s="37">
        <v>2026</v>
      </c>
      <c r="C146" s="38" t="s">
        <v>848</v>
      </c>
      <c r="D146" s="38" t="s">
        <v>849</v>
      </c>
      <c r="E146" s="38" t="s">
        <v>753</v>
      </c>
      <c r="F146" s="38" t="s">
        <v>441</v>
      </c>
      <c r="G146" s="37"/>
      <c r="H146" s="38" t="s">
        <v>850</v>
      </c>
      <c r="I146" s="37" t="s">
        <v>451</v>
      </c>
      <c r="J146" s="38" t="s">
        <v>755</v>
      </c>
    </row>
    <row r="147" spans="1:10" ht="152" x14ac:dyDescent="0.2">
      <c r="A147" s="87" t="s">
        <v>247</v>
      </c>
      <c r="B147" s="37">
        <v>2026</v>
      </c>
      <c r="C147" s="38" t="s">
        <v>851</v>
      </c>
      <c r="D147" s="38" t="s">
        <v>852</v>
      </c>
      <c r="E147" s="38" t="s">
        <v>753</v>
      </c>
      <c r="F147" s="38" t="s">
        <v>441</v>
      </c>
      <c r="G147" s="37"/>
      <c r="H147" s="38" t="s">
        <v>853</v>
      </c>
      <c r="I147" s="37" t="s">
        <v>443</v>
      </c>
      <c r="J147" s="38" t="s">
        <v>755</v>
      </c>
    </row>
    <row r="148" spans="1:10" ht="95" x14ac:dyDescent="0.2">
      <c r="A148" s="87" t="s">
        <v>257</v>
      </c>
      <c r="B148" s="37">
        <v>2025</v>
      </c>
      <c r="C148" s="38" t="s">
        <v>854</v>
      </c>
      <c r="D148" s="38" t="s">
        <v>855</v>
      </c>
      <c r="E148" s="38" t="s">
        <v>753</v>
      </c>
      <c r="F148" s="38" t="s">
        <v>441</v>
      </c>
      <c r="G148" s="37"/>
      <c r="H148" s="38" t="s">
        <v>856</v>
      </c>
      <c r="I148" s="37" t="s">
        <v>451</v>
      </c>
      <c r="J148" s="38" t="s">
        <v>755</v>
      </c>
    </row>
    <row r="149" spans="1:10" ht="76" x14ac:dyDescent="0.2">
      <c r="A149" s="87" t="s">
        <v>257</v>
      </c>
      <c r="B149" s="37">
        <v>2025</v>
      </c>
      <c r="C149" s="38" t="s">
        <v>857</v>
      </c>
      <c r="D149" s="38" t="s">
        <v>858</v>
      </c>
      <c r="E149" s="38" t="s">
        <v>753</v>
      </c>
      <c r="F149" s="38" t="s">
        <v>441</v>
      </c>
      <c r="G149" s="37"/>
      <c r="H149" s="38" t="s">
        <v>859</v>
      </c>
      <c r="I149" s="37" t="s">
        <v>451</v>
      </c>
      <c r="J149" s="38" t="s">
        <v>755</v>
      </c>
    </row>
    <row r="150" spans="1:10" ht="76" x14ac:dyDescent="0.2">
      <c r="A150" s="87" t="s">
        <v>257</v>
      </c>
      <c r="B150" s="37">
        <v>2025</v>
      </c>
      <c r="C150" s="38" t="s">
        <v>860</v>
      </c>
      <c r="D150" s="38" t="s">
        <v>861</v>
      </c>
      <c r="E150" s="38" t="s">
        <v>753</v>
      </c>
      <c r="F150" s="38" t="s">
        <v>441</v>
      </c>
      <c r="G150" s="37"/>
      <c r="H150" s="38" t="s">
        <v>662</v>
      </c>
      <c r="I150" s="37" t="s">
        <v>451</v>
      </c>
      <c r="J150" s="38" t="s">
        <v>755</v>
      </c>
    </row>
    <row r="151" spans="1:10" x14ac:dyDescent="0.2">
      <c r="A151" s="39"/>
      <c r="B151" s="39"/>
      <c r="C151" s="39"/>
      <c r="E151" s="39"/>
      <c r="F151" s="39"/>
      <c r="G151" s="39"/>
      <c r="H151" s="39"/>
      <c r="I151" s="39"/>
      <c r="J151" s="39"/>
    </row>
    <row r="152" spans="1:10" ht="76" x14ac:dyDescent="0.2">
      <c r="A152" s="87" t="s">
        <v>44</v>
      </c>
      <c r="B152" s="37">
        <v>2024</v>
      </c>
      <c r="C152" s="38" t="s">
        <v>862</v>
      </c>
      <c r="D152" s="38" t="s">
        <v>863</v>
      </c>
      <c r="E152" s="38" t="s">
        <v>864</v>
      </c>
      <c r="F152" s="38" t="s">
        <v>441</v>
      </c>
      <c r="G152" s="37"/>
      <c r="H152" s="38" t="s">
        <v>598</v>
      </c>
      <c r="I152" s="37" t="s">
        <v>451</v>
      </c>
      <c r="J152" s="38" t="s">
        <v>865</v>
      </c>
    </row>
    <row r="153" spans="1:10" ht="76" x14ac:dyDescent="0.2">
      <c r="A153" s="87" t="s">
        <v>44</v>
      </c>
      <c r="B153" s="37">
        <v>2024</v>
      </c>
      <c r="C153" s="38" t="s">
        <v>866</v>
      </c>
      <c r="D153" s="38" t="s">
        <v>867</v>
      </c>
      <c r="E153" s="38" t="s">
        <v>864</v>
      </c>
      <c r="F153" s="38" t="s">
        <v>441</v>
      </c>
      <c r="G153" s="37"/>
      <c r="H153" s="38" t="s">
        <v>868</v>
      </c>
      <c r="I153" s="37" t="s">
        <v>451</v>
      </c>
      <c r="J153" s="38" t="s">
        <v>865</v>
      </c>
    </row>
    <row r="154" spans="1:10" ht="57" x14ac:dyDescent="0.2">
      <c r="A154" s="87" t="s">
        <v>54</v>
      </c>
      <c r="B154" s="37">
        <v>2025</v>
      </c>
      <c r="C154" s="38" t="s">
        <v>869</v>
      </c>
      <c r="D154" s="38" t="s">
        <v>870</v>
      </c>
      <c r="E154" s="38" t="s">
        <v>864</v>
      </c>
      <c r="F154" s="38" t="s">
        <v>441</v>
      </c>
      <c r="G154" s="37"/>
      <c r="H154" s="38" t="s">
        <v>651</v>
      </c>
      <c r="I154" s="37" t="s">
        <v>451</v>
      </c>
      <c r="J154" s="38" t="s">
        <v>865</v>
      </c>
    </row>
    <row r="155" spans="1:10" ht="76" x14ac:dyDescent="0.2">
      <c r="A155" s="87" t="s">
        <v>63</v>
      </c>
      <c r="B155" s="37">
        <v>2025</v>
      </c>
      <c r="C155" s="38" t="s">
        <v>871</v>
      </c>
      <c r="D155" s="38" t="s">
        <v>872</v>
      </c>
      <c r="E155" s="38" t="s">
        <v>864</v>
      </c>
      <c r="F155" s="38" t="s">
        <v>441</v>
      </c>
      <c r="G155" s="37"/>
      <c r="H155" s="38" t="s">
        <v>662</v>
      </c>
      <c r="I155" s="37" t="s">
        <v>451</v>
      </c>
      <c r="J155" s="38" t="s">
        <v>865</v>
      </c>
    </row>
    <row r="156" spans="1:10" ht="76" x14ac:dyDescent="0.2">
      <c r="A156" s="87" t="s">
        <v>63</v>
      </c>
      <c r="B156" s="37">
        <v>2025</v>
      </c>
      <c r="C156" s="38" t="s">
        <v>873</v>
      </c>
      <c r="D156" s="38" t="s">
        <v>874</v>
      </c>
      <c r="E156" s="38" t="s">
        <v>864</v>
      </c>
      <c r="F156" s="38" t="s">
        <v>441</v>
      </c>
      <c r="G156" s="37"/>
      <c r="H156" s="38" t="s">
        <v>875</v>
      </c>
      <c r="I156" s="37" t="s">
        <v>451</v>
      </c>
      <c r="J156" s="38" t="s">
        <v>865</v>
      </c>
    </row>
    <row r="157" spans="1:10" ht="95" x14ac:dyDescent="0.2">
      <c r="A157" s="87" t="s">
        <v>73</v>
      </c>
      <c r="B157" s="37">
        <v>2024</v>
      </c>
      <c r="C157" s="38" t="s">
        <v>876</v>
      </c>
      <c r="D157" s="38" t="s">
        <v>877</v>
      </c>
      <c r="E157" s="38" t="s">
        <v>864</v>
      </c>
      <c r="F157" s="38" t="s">
        <v>441</v>
      </c>
      <c r="G157" s="37"/>
      <c r="H157" s="38" t="s">
        <v>878</v>
      </c>
      <c r="I157" s="37" t="s">
        <v>451</v>
      </c>
      <c r="J157" s="38" t="s">
        <v>865</v>
      </c>
    </row>
    <row r="158" spans="1:10" ht="76" x14ac:dyDescent="0.2">
      <c r="A158" s="87" t="s">
        <v>83</v>
      </c>
      <c r="B158" s="37">
        <v>2025</v>
      </c>
      <c r="C158" s="38" t="s">
        <v>879</v>
      </c>
      <c r="D158" s="38" t="s">
        <v>880</v>
      </c>
      <c r="E158" s="38" t="s">
        <v>864</v>
      </c>
      <c r="F158" s="38" t="s">
        <v>441</v>
      </c>
      <c r="G158" s="37"/>
      <c r="H158" s="38" t="s">
        <v>881</v>
      </c>
      <c r="I158" s="37" t="s">
        <v>451</v>
      </c>
      <c r="J158" s="38" t="s">
        <v>865</v>
      </c>
    </row>
    <row r="159" spans="1:10" ht="57" x14ac:dyDescent="0.2">
      <c r="A159" s="87" t="s">
        <v>93</v>
      </c>
      <c r="B159" s="37">
        <v>2025</v>
      </c>
      <c r="C159" s="38" t="s">
        <v>882</v>
      </c>
      <c r="D159" s="38" t="s">
        <v>883</v>
      </c>
      <c r="E159" s="38" t="s">
        <v>864</v>
      </c>
      <c r="F159" s="38" t="s">
        <v>441</v>
      </c>
      <c r="G159" s="37"/>
      <c r="H159" s="38" t="s">
        <v>884</v>
      </c>
      <c r="I159" s="37" t="s">
        <v>451</v>
      </c>
      <c r="J159" s="38" t="s">
        <v>865</v>
      </c>
    </row>
    <row r="160" spans="1:10" ht="133" x14ac:dyDescent="0.2">
      <c r="A160" s="87" t="s">
        <v>103</v>
      </c>
      <c r="B160" s="37">
        <v>2024</v>
      </c>
      <c r="C160" s="38" t="s">
        <v>885</v>
      </c>
      <c r="D160" s="38" t="s">
        <v>886</v>
      </c>
      <c r="E160" s="38" t="s">
        <v>864</v>
      </c>
      <c r="F160" s="38" t="s">
        <v>441</v>
      </c>
      <c r="G160" s="37"/>
      <c r="H160" s="38" t="s">
        <v>738</v>
      </c>
      <c r="I160" s="37" t="s">
        <v>451</v>
      </c>
      <c r="J160" s="38" t="s">
        <v>865</v>
      </c>
    </row>
    <row r="161" spans="1:10" ht="95" x14ac:dyDescent="0.2">
      <c r="A161" s="87" t="s">
        <v>103</v>
      </c>
      <c r="B161" s="37">
        <v>2024</v>
      </c>
      <c r="C161" s="38" t="s">
        <v>887</v>
      </c>
      <c r="D161" s="38" t="s">
        <v>888</v>
      </c>
      <c r="E161" s="38" t="s">
        <v>864</v>
      </c>
      <c r="F161" s="38" t="s">
        <v>441</v>
      </c>
      <c r="G161" s="37"/>
      <c r="H161" s="38" t="s">
        <v>889</v>
      </c>
      <c r="I161" s="37" t="s">
        <v>451</v>
      </c>
      <c r="J161" s="38" t="s">
        <v>865</v>
      </c>
    </row>
    <row r="162" spans="1:10" ht="95" x14ac:dyDescent="0.2">
      <c r="A162" s="87" t="s">
        <v>113</v>
      </c>
      <c r="B162" s="37">
        <v>2024</v>
      </c>
      <c r="C162" s="38" t="s">
        <v>890</v>
      </c>
      <c r="D162" s="38" t="s">
        <v>891</v>
      </c>
      <c r="E162" s="38" t="s">
        <v>864</v>
      </c>
      <c r="F162" s="38" t="s">
        <v>441</v>
      </c>
      <c r="G162" s="37"/>
      <c r="H162" s="38" t="s">
        <v>892</v>
      </c>
      <c r="I162" s="37" t="s">
        <v>451</v>
      </c>
      <c r="J162" s="38" t="s">
        <v>865</v>
      </c>
    </row>
    <row r="163" spans="1:10" ht="76" x14ac:dyDescent="0.2">
      <c r="A163" s="87" t="s">
        <v>113</v>
      </c>
      <c r="B163" s="37">
        <v>2024</v>
      </c>
      <c r="C163" s="38" t="s">
        <v>893</v>
      </c>
      <c r="D163" s="38" t="s">
        <v>894</v>
      </c>
      <c r="E163" s="38" t="s">
        <v>864</v>
      </c>
      <c r="F163" s="38" t="s">
        <v>441</v>
      </c>
      <c r="G163" s="37"/>
      <c r="H163" s="38" t="s">
        <v>472</v>
      </c>
      <c r="I163" s="37" t="s">
        <v>451</v>
      </c>
      <c r="J163" s="38" t="s">
        <v>865</v>
      </c>
    </row>
    <row r="164" spans="1:10" ht="76" x14ac:dyDescent="0.2">
      <c r="A164" s="87" t="s">
        <v>122</v>
      </c>
      <c r="B164" s="37">
        <v>2024</v>
      </c>
      <c r="C164" s="38" t="s">
        <v>895</v>
      </c>
      <c r="D164" s="38" t="s">
        <v>896</v>
      </c>
      <c r="E164" s="38" t="s">
        <v>864</v>
      </c>
      <c r="F164" s="38" t="s">
        <v>441</v>
      </c>
      <c r="G164" s="37"/>
      <c r="H164" s="38" t="s">
        <v>483</v>
      </c>
      <c r="I164" s="37" t="s">
        <v>451</v>
      </c>
      <c r="J164" s="38" t="s">
        <v>865</v>
      </c>
    </row>
    <row r="165" spans="1:10" ht="95" x14ac:dyDescent="0.2">
      <c r="A165" s="87" t="s">
        <v>122</v>
      </c>
      <c r="B165" s="37">
        <v>2024</v>
      </c>
      <c r="C165" s="38" t="s">
        <v>897</v>
      </c>
      <c r="D165" s="38" t="s">
        <v>898</v>
      </c>
      <c r="E165" s="38" t="s">
        <v>864</v>
      </c>
      <c r="F165" s="38" t="s">
        <v>441</v>
      </c>
      <c r="G165" s="37"/>
      <c r="H165" s="38" t="s">
        <v>478</v>
      </c>
      <c r="I165" s="37" t="s">
        <v>451</v>
      </c>
      <c r="J165" s="38" t="s">
        <v>865</v>
      </c>
    </row>
    <row r="166" spans="1:10" ht="114" x14ac:dyDescent="0.2">
      <c r="A166" s="87" t="s">
        <v>130</v>
      </c>
      <c r="B166" s="37">
        <v>2024</v>
      </c>
      <c r="C166" s="38" t="s">
        <v>899</v>
      </c>
      <c r="D166" s="38" t="s">
        <v>900</v>
      </c>
      <c r="E166" s="38" t="s">
        <v>864</v>
      </c>
      <c r="F166" s="38" t="s">
        <v>441</v>
      </c>
      <c r="G166" s="37"/>
      <c r="H166" s="38" t="s">
        <v>478</v>
      </c>
      <c r="I166" s="37" t="s">
        <v>451</v>
      </c>
      <c r="J166" s="38" t="s">
        <v>865</v>
      </c>
    </row>
    <row r="167" spans="1:10" ht="190" x14ac:dyDescent="0.2">
      <c r="A167" s="87" t="s">
        <v>130</v>
      </c>
      <c r="B167" s="37">
        <v>2024</v>
      </c>
      <c r="C167" s="38" t="s">
        <v>901</v>
      </c>
      <c r="D167" s="38" t="s">
        <v>902</v>
      </c>
      <c r="E167" s="38" t="s">
        <v>864</v>
      </c>
      <c r="F167" s="38" t="s">
        <v>441</v>
      </c>
      <c r="G167" s="37"/>
      <c r="H167" s="38" t="s">
        <v>903</v>
      </c>
      <c r="I167" s="37" t="s">
        <v>451</v>
      </c>
      <c r="J167" s="38" t="s">
        <v>865</v>
      </c>
    </row>
    <row r="168" spans="1:10" ht="114" x14ac:dyDescent="0.2">
      <c r="A168" s="87" t="s">
        <v>130</v>
      </c>
      <c r="B168" s="37">
        <v>2024</v>
      </c>
      <c r="C168" s="38" t="s">
        <v>904</v>
      </c>
      <c r="D168" s="38" t="s">
        <v>905</v>
      </c>
      <c r="E168" s="38" t="s">
        <v>864</v>
      </c>
      <c r="F168" s="38" t="s">
        <v>441</v>
      </c>
      <c r="G168" s="37"/>
      <c r="H168" s="38" t="s">
        <v>903</v>
      </c>
      <c r="I168" s="37" t="s">
        <v>451</v>
      </c>
      <c r="J168" s="38" t="s">
        <v>865</v>
      </c>
    </row>
    <row r="169" spans="1:10" ht="76" x14ac:dyDescent="0.2">
      <c r="A169" s="87" t="s">
        <v>139</v>
      </c>
      <c r="B169" s="37">
        <v>2023</v>
      </c>
      <c r="C169" s="38" t="s">
        <v>906</v>
      </c>
      <c r="D169" s="38" t="s">
        <v>907</v>
      </c>
      <c r="E169" s="38" t="s">
        <v>864</v>
      </c>
      <c r="F169" s="38" t="s">
        <v>441</v>
      </c>
      <c r="G169" s="37"/>
      <c r="H169" s="38" t="s">
        <v>738</v>
      </c>
      <c r="I169" s="37" t="s">
        <v>451</v>
      </c>
      <c r="J169" s="38" t="s">
        <v>865</v>
      </c>
    </row>
    <row r="170" spans="1:10" ht="114" x14ac:dyDescent="0.2">
      <c r="A170" s="87" t="s">
        <v>139</v>
      </c>
      <c r="B170" s="37">
        <v>2023</v>
      </c>
      <c r="C170" s="38" t="s">
        <v>908</v>
      </c>
      <c r="D170" s="38" t="s">
        <v>909</v>
      </c>
      <c r="E170" s="38" t="s">
        <v>864</v>
      </c>
      <c r="F170" s="38" t="s">
        <v>441</v>
      </c>
      <c r="G170" s="37"/>
      <c r="H170" s="38" t="s">
        <v>910</v>
      </c>
      <c r="I170" s="37" t="s">
        <v>451</v>
      </c>
      <c r="J170" s="38" t="s">
        <v>865</v>
      </c>
    </row>
    <row r="171" spans="1:10" ht="76" x14ac:dyDescent="0.2">
      <c r="A171" s="87" t="s">
        <v>149</v>
      </c>
      <c r="B171" s="37">
        <v>2020</v>
      </c>
      <c r="C171" s="38" t="s">
        <v>911</v>
      </c>
      <c r="D171" s="38" t="s">
        <v>912</v>
      </c>
      <c r="E171" s="38" t="s">
        <v>864</v>
      </c>
      <c r="F171" s="38" t="s">
        <v>441</v>
      </c>
      <c r="G171" s="37"/>
      <c r="H171" s="38" t="s">
        <v>492</v>
      </c>
      <c r="I171" s="37" t="s">
        <v>659</v>
      </c>
      <c r="J171" s="38" t="s">
        <v>865</v>
      </c>
    </row>
    <row r="172" spans="1:10" ht="133" x14ac:dyDescent="0.2">
      <c r="A172" s="87" t="s">
        <v>159</v>
      </c>
      <c r="B172" s="37">
        <v>2025</v>
      </c>
      <c r="C172" s="38" t="s">
        <v>913</v>
      </c>
      <c r="D172" s="38" t="s">
        <v>914</v>
      </c>
      <c r="E172" s="38" t="s">
        <v>864</v>
      </c>
      <c r="F172" s="38" t="s">
        <v>441</v>
      </c>
      <c r="G172" s="37"/>
      <c r="H172" s="38" t="s">
        <v>457</v>
      </c>
      <c r="I172" s="37" t="s">
        <v>451</v>
      </c>
      <c r="J172" s="38" t="s">
        <v>865</v>
      </c>
    </row>
    <row r="173" spans="1:10" ht="114" x14ac:dyDescent="0.2">
      <c r="A173" s="87" t="s">
        <v>159</v>
      </c>
      <c r="B173" s="37">
        <v>2025</v>
      </c>
      <c r="C173" s="38" t="s">
        <v>915</v>
      </c>
      <c r="D173" s="38" t="s">
        <v>916</v>
      </c>
      <c r="E173" s="38" t="s">
        <v>864</v>
      </c>
      <c r="F173" s="38" t="s">
        <v>441</v>
      </c>
      <c r="G173" s="37"/>
      <c r="H173" s="38" t="s">
        <v>794</v>
      </c>
      <c r="I173" s="37" t="s">
        <v>451</v>
      </c>
      <c r="J173" s="38" t="s">
        <v>865</v>
      </c>
    </row>
    <row r="174" spans="1:10" ht="76" x14ac:dyDescent="0.2">
      <c r="A174" s="87" t="s">
        <v>159</v>
      </c>
      <c r="B174" s="37">
        <v>2025</v>
      </c>
      <c r="C174" s="38" t="s">
        <v>917</v>
      </c>
      <c r="D174" s="38" t="s">
        <v>918</v>
      </c>
      <c r="E174" s="38" t="s">
        <v>864</v>
      </c>
      <c r="F174" s="38" t="s">
        <v>441</v>
      </c>
      <c r="G174" s="37"/>
      <c r="H174" s="38" t="s">
        <v>919</v>
      </c>
      <c r="I174" s="37" t="s">
        <v>451</v>
      </c>
      <c r="J174" s="38" t="s">
        <v>865</v>
      </c>
    </row>
    <row r="175" spans="1:10" ht="114" x14ac:dyDescent="0.2">
      <c r="A175" s="87" t="s">
        <v>169</v>
      </c>
      <c r="B175" s="37">
        <v>2026</v>
      </c>
      <c r="C175" s="38" t="s">
        <v>920</v>
      </c>
      <c r="D175" s="38" t="s">
        <v>921</v>
      </c>
      <c r="E175" s="38" t="s">
        <v>864</v>
      </c>
      <c r="F175" s="38" t="s">
        <v>441</v>
      </c>
      <c r="G175" s="37"/>
      <c r="H175" s="38" t="s">
        <v>497</v>
      </c>
      <c r="I175" s="37" t="s">
        <v>451</v>
      </c>
      <c r="J175" s="38" t="s">
        <v>865</v>
      </c>
    </row>
    <row r="176" spans="1:10" ht="133" x14ac:dyDescent="0.2">
      <c r="A176" s="87" t="s">
        <v>179</v>
      </c>
      <c r="B176" s="37">
        <v>2025</v>
      </c>
      <c r="C176" s="38" t="s">
        <v>922</v>
      </c>
      <c r="D176" s="38" t="s">
        <v>923</v>
      </c>
      <c r="E176" s="38" t="s">
        <v>864</v>
      </c>
      <c r="F176" s="38" t="s">
        <v>441</v>
      </c>
      <c r="G176" s="37"/>
      <c r="H176" s="38" t="s">
        <v>924</v>
      </c>
      <c r="I176" s="37" t="s">
        <v>451</v>
      </c>
      <c r="J176" s="38" t="s">
        <v>865</v>
      </c>
    </row>
    <row r="177" spans="1:10" ht="114" x14ac:dyDescent="0.2">
      <c r="A177" s="87" t="s">
        <v>179</v>
      </c>
      <c r="B177" s="37">
        <v>2025</v>
      </c>
      <c r="C177" s="38" t="s">
        <v>925</v>
      </c>
      <c r="D177" s="38" t="s">
        <v>926</v>
      </c>
      <c r="E177" s="38" t="s">
        <v>864</v>
      </c>
      <c r="F177" s="38" t="s">
        <v>441</v>
      </c>
      <c r="G177" s="37"/>
      <c r="H177" s="38" t="s">
        <v>927</v>
      </c>
      <c r="I177" s="37" t="s">
        <v>451</v>
      </c>
      <c r="J177" s="38" t="s">
        <v>865</v>
      </c>
    </row>
    <row r="178" spans="1:10" ht="133" x14ac:dyDescent="0.2">
      <c r="A178" s="87" t="s">
        <v>188</v>
      </c>
      <c r="B178" s="37">
        <v>2025</v>
      </c>
      <c r="C178" s="38" t="s">
        <v>928</v>
      </c>
      <c r="D178" s="38" t="s">
        <v>929</v>
      </c>
      <c r="E178" s="38" t="s">
        <v>864</v>
      </c>
      <c r="F178" s="38" t="s">
        <v>441</v>
      </c>
      <c r="G178" s="37"/>
      <c r="H178" s="38" t="s">
        <v>930</v>
      </c>
      <c r="I178" s="37" t="s">
        <v>451</v>
      </c>
      <c r="J178" s="38" t="s">
        <v>865</v>
      </c>
    </row>
    <row r="179" spans="1:10" ht="171" x14ac:dyDescent="0.2">
      <c r="A179" s="87" t="s">
        <v>188</v>
      </c>
      <c r="B179" s="37">
        <v>2025</v>
      </c>
      <c r="C179" s="38" t="s">
        <v>931</v>
      </c>
      <c r="D179" s="38" t="s">
        <v>932</v>
      </c>
      <c r="E179" s="38" t="s">
        <v>864</v>
      </c>
      <c r="F179" s="38" t="s">
        <v>441</v>
      </c>
      <c r="G179" s="37"/>
      <c r="H179" s="38" t="s">
        <v>933</v>
      </c>
      <c r="I179" s="37" t="s">
        <v>451</v>
      </c>
      <c r="J179" s="38" t="s">
        <v>865</v>
      </c>
    </row>
    <row r="180" spans="1:10" ht="247" x14ac:dyDescent="0.2">
      <c r="A180" s="87" t="s">
        <v>198</v>
      </c>
      <c r="B180" s="37">
        <v>2026</v>
      </c>
      <c r="C180" s="38" t="s">
        <v>934</v>
      </c>
      <c r="D180" s="38" t="s">
        <v>935</v>
      </c>
      <c r="E180" s="38" t="s">
        <v>864</v>
      </c>
      <c r="F180" s="38" t="s">
        <v>441</v>
      </c>
      <c r="G180" s="37"/>
      <c r="H180" s="38" t="s">
        <v>936</v>
      </c>
      <c r="I180" s="37" t="s">
        <v>451</v>
      </c>
      <c r="J180" s="38" t="s">
        <v>865</v>
      </c>
    </row>
    <row r="181" spans="1:10" ht="209" x14ac:dyDescent="0.2">
      <c r="A181" s="87" t="s">
        <v>208</v>
      </c>
      <c r="B181" s="37">
        <v>2026</v>
      </c>
      <c r="C181" s="38" t="s">
        <v>937</v>
      </c>
      <c r="D181" s="38" t="s">
        <v>938</v>
      </c>
      <c r="E181" s="38" t="s">
        <v>864</v>
      </c>
      <c r="F181" s="38" t="s">
        <v>441</v>
      </c>
      <c r="G181" s="37"/>
      <c r="H181" s="38" t="s">
        <v>939</v>
      </c>
      <c r="I181" s="37" t="s">
        <v>451</v>
      </c>
      <c r="J181" s="38" t="s">
        <v>865</v>
      </c>
    </row>
    <row r="182" spans="1:10" ht="209" x14ac:dyDescent="0.2">
      <c r="A182" s="87" t="s">
        <v>208</v>
      </c>
      <c r="B182" s="37">
        <v>2026</v>
      </c>
      <c r="C182" s="38" t="s">
        <v>940</v>
      </c>
      <c r="D182" s="38" t="s">
        <v>941</v>
      </c>
      <c r="E182" s="38" t="s">
        <v>864</v>
      </c>
      <c r="F182" s="38" t="s">
        <v>441</v>
      </c>
      <c r="G182" s="37"/>
      <c r="H182" s="38" t="s">
        <v>942</v>
      </c>
      <c r="I182" s="37" t="s">
        <v>451</v>
      </c>
      <c r="J182" s="38" t="s">
        <v>865</v>
      </c>
    </row>
    <row r="183" spans="1:10" ht="114" x14ac:dyDescent="0.2">
      <c r="A183" s="87" t="s">
        <v>218</v>
      </c>
      <c r="B183" s="37">
        <v>2026</v>
      </c>
      <c r="C183" s="38" t="s">
        <v>943</v>
      </c>
      <c r="D183" s="38" t="s">
        <v>944</v>
      </c>
      <c r="E183" s="38" t="s">
        <v>864</v>
      </c>
      <c r="F183" s="38" t="s">
        <v>441</v>
      </c>
      <c r="G183" s="37"/>
      <c r="H183" s="38" t="s">
        <v>945</v>
      </c>
      <c r="I183" s="37" t="s">
        <v>451</v>
      </c>
      <c r="J183" s="38" t="s">
        <v>865</v>
      </c>
    </row>
    <row r="184" spans="1:10" ht="95" x14ac:dyDescent="0.2">
      <c r="A184" s="87" t="s">
        <v>218</v>
      </c>
      <c r="B184" s="37">
        <v>2026</v>
      </c>
      <c r="C184" s="38" t="s">
        <v>946</v>
      </c>
      <c r="D184" s="38" t="s">
        <v>947</v>
      </c>
      <c r="E184" s="38" t="s">
        <v>864</v>
      </c>
      <c r="F184" s="38" t="s">
        <v>441</v>
      </c>
      <c r="G184" s="37"/>
      <c r="H184" s="38" t="s">
        <v>948</v>
      </c>
      <c r="I184" s="37" t="s">
        <v>451</v>
      </c>
      <c r="J184" s="38" t="s">
        <v>865</v>
      </c>
    </row>
    <row r="185" spans="1:10" ht="95" x14ac:dyDescent="0.2">
      <c r="A185" s="87" t="s">
        <v>218</v>
      </c>
      <c r="B185" s="37">
        <v>2026</v>
      </c>
      <c r="C185" s="38" t="s">
        <v>949</v>
      </c>
      <c r="D185" s="38" t="s">
        <v>950</v>
      </c>
      <c r="E185" s="38" t="s">
        <v>864</v>
      </c>
      <c r="F185" s="38" t="s">
        <v>441</v>
      </c>
      <c r="G185" s="37"/>
      <c r="H185" s="38" t="s">
        <v>951</v>
      </c>
      <c r="I185" s="37" t="s">
        <v>451</v>
      </c>
      <c r="J185" s="38" t="s">
        <v>865</v>
      </c>
    </row>
    <row r="186" spans="1:10" ht="133" x14ac:dyDescent="0.2">
      <c r="A186" s="87" t="s">
        <v>227</v>
      </c>
      <c r="B186" s="37">
        <v>2026</v>
      </c>
      <c r="C186" s="38" t="s">
        <v>952</v>
      </c>
      <c r="D186" s="38" t="s">
        <v>953</v>
      </c>
      <c r="E186" s="38" t="s">
        <v>864</v>
      </c>
      <c r="F186" s="38" t="s">
        <v>441</v>
      </c>
      <c r="G186" s="37"/>
      <c r="H186" s="38" t="s">
        <v>954</v>
      </c>
      <c r="I186" s="37" t="s">
        <v>451</v>
      </c>
      <c r="J186" s="38" t="s">
        <v>865</v>
      </c>
    </row>
    <row r="187" spans="1:10" ht="114" x14ac:dyDescent="0.2">
      <c r="A187" s="87" t="s">
        <v>227</v>
      </c>
      <c r="B187" s="37">
        <v>2026</v>
      </c>
      <c r="C187" s="38" t="s">
        <v>955</v>
      </c>
      <c r="D187" s="38" t="s">
        <v>956</v>
      </c>
      <c r="E187" s="38" t="s">
        <v>864</v>
      </c>
      <c r="F187" s="38" t="s">
        <v>441</v>
      </c>
      <c r="G187" s="37"/>
      <c r="H187" s="38" t="s">
        <v>735</v>
      </c>
      <c r="I187" s="37" t="s">
        <v>451</v>
      </c>
      <c r="J187" s="38" t="s">
        <v>865</v>
      </c>
    </row>
    <row r="188" spans="1:10" ht="76" x14ac:dyDescent="0.2">
      <c r="A188" s="87" t="s">
        <v>227</v>
      </c>
      <c r="B188" s="37">
        <v>2026</v>
      </c>
      <c r="C188" s="38" t="s">
        <v>957</v>
      </c>
      <c r="D188" s="38" t="s">
        <v>958</v>
      </c>
      <c r="E188" s="38" t="s">
        <v>864</v>
      </c>
      <c r="F188" s="38" t="s">
        <v>441</v>
      </c>
      <c r="G188" s="37"/>
      <c r="H188" s="38" t="s">
        <v>959</v>
      </c>
      <c r="I188" s="37" t="s">
        <v>451</v>
      </c>
      <c r="J188" s="38" t="s">
        <v>865</v>
      </c>
    </row>
    <row r="189" spans="1:10" ht="114" x14ac:dyDescent="0.2">
      <c r="A189" s="87" t="s">
        <v>237</v>
      </c>
      <c r="B189" s="37">
        <v>2025</v>
      </c>
      <c r="C189" s="38" t="s">
        <v>960</v>
      </c>
      <c r="D189" s="38" t="s">
        <v>961</v>
      </c>
      <c r="E189" s="38" t="s">
        <v>864</v>
      </c>
      <c r="F189" s="38" t="s">
        <v>441</v>
      </c>
      <c r="G189" s="37"/>
      <c r="H189" s="38" t="s">
        <v>962</v>
      </c>
      <c r="I189" s="37" t="s">
        <v>451</v>
      </c>
      <c r="J189" s="38" t="s">
        <v>865</v>
      </c>
    </row>
    <row r="190" spans="1:10" ht="133" x14ac:dyDescent="0.2">
      <c r="A190" s="87" t="s">
        <v>237</v>
      </c>
      <c r="B190" s="37">
        <v>2025</v>
      </c>
      <c r="C190" s="38" t="s">
        <v>963</v>
      </c>
      <c r="D190" s="38" t="s">
        <v>964</v>
      </c>
      <c r="E190" s="38" t="s">
        <v>864</v>
      </c>
      <c r="F190" s="38" t="s">
        <v>441</v>
      </c>
      <c r="G190" s="37"/>
      <c r="H190" s="38" t="s">
        <v>965</v>
      </c>
      <c r="I190" s="37" t="s">
        <v>451</v>
      </c>
      <c r="J190" s="38" t="s">
        <v>865</v>
      </c>
    </row>
    <row r="191" spans="1:10" ht="76" x14ac:dyDescent="0.2">
      <c r="A191" s="87" t="s">
        <v>247</v>
      </c>
      <c r="B191" s="37">
        <v>2026</v>
      </c>
      <c r="C191" s="38" t="s">
        <v>966</v>
      </c>
      <c r="D191" s="38" t="s">
        <v>967</v>
      </c>
      <c r="E191" s="38" t="s">
        <v>864</v>
      </c>
      <c r="F191" s="38" t="s">
        <v>441</v>
      </c>
      <c r="G191" s="37"/>
      <c r="H191" s="38" t="s">
        <v>968</v>
      </c>
      <c r="I191" s="37" t="s">
        <v>451</v>
      </c>
      <c r="J191" s="38" t="s">
        <v>865</v>
      </c>
    </row>
    <row r="192" spans="1:10" ht="76" x14ac:dyDescent="0.2">
      <c r="A192" s="87" t="s">
        <v>247</v>
      </c>
      <c r="B192" s="37">
        <v>2026</v>
      </c>
      <c r="C192" s="38" t="s">
        <v>966</v>
      </c>
      <c r="D192" s="38" t="s">
        <v>969</v>
      </c>
      <c r="E192" s="38" t="s">
        <v>864</v>
      </c>
      <c r="F192" s="38" t="s">
        <v>441</v>
      </c>
      <c r="G192" s="37"/>
      <c r="H192" s="38" t="s">
        <v>970</v>
      </c>
      <c r="I192" s="37" t="s">
        <v>451</v>
      </c>
      <c r="J192" s="38" t="s">
        <v>865</v>
      </c>
    </row>
    <row r="193" spans="1:10" ht="76" x14ac:dyDescent="0.2">
      <c r="A193" s="87" t="s">
        <v>257</v>
      </c>
      <c r="B193" s="37">
        <v>2025</v>
      </c>
      <c r="C193" s="38" t="s">
        <v>971</v>
      </c>
      <c r="D193" s="38" t="s">
        <v>972</v>
      </c>
      <c r="E193" s="38" t="s">
        <v>864</v>
      </c>
      <c r="F193" s="38" t="s">
        <v>441</v>
      </c>
      <c r="G193" s="37"/>
      <c r="H193" s="38" t="s">
        <v>973</v>
      </c>
      <c r="I193" s="37" t="s">
        <v>451</v>
      </c>
      <c r="J193" s="38" t="s">
        <v>865</v>
      </c>
    </row>
    <row r="194" spans="1:10" ht="57" x14ac:dyDescent="0.2">
      <c r="A194" s="87" t="s">
        <v>257</v>
      </c>
      <c r="B194" s="37">
        <v>2025</v>
      </c>
      <c r="C194" s="38" t="s">
        <v>974</v>
      </c>
      <c r="D194" s="38" t="s">
        <v>975</v>
      </c>
      <c r="E194" s="38" t="s">
        <v>864</v>
      </c>
      <c r="F194" s="38" t="s">
        <v>441</v>
      </c>
      <c r="G194" s="37"/>
      <c r="H194" s="38" t="s">
        <v>976</v>
      </c>
      <c r="I194" s="37" t="s">
        <v>451</v>
      </c>
      <c r="J194" s="38" t="s">
        <v>865</v>
      </c>
    </row>
    <row r="195" spans="1:10" x14ac:dyDescent="0.2">
      <c r="A195" s="39"/>
      <c r="B195" s="39"/>
      <c r="C195" s="39"/>
      <c r="E195" s="39"/>
      <c r="F195" s="39"/>
      <c r="G195" s="39"/>
      <c r="H195" s="39"/>
      <c r="I195" s="39"/>
      <c r="J195" s="39"/>
    </row>
    <row r="196" spans="1:10" ht="95" x14ac:dyDescent="0.2">
      <c r="A196" s="87" t="s">
        <v>122</v>
      </c>
      <c r="B196" s="37">
        <v>2024</v>
      </c>
      <c r="C196" s="38" t="s">
        <v>977</v>
      </c>
      <c r="D196" s="38" t="s">
        <v>978</v>
      </c>
      <c r="E196" s="38" t="s">
        <v>979</v>
      </c>
      <c r="F196" s="38" t="s">
        <v>441</v>
      </c>
      <c r="G196" s="37"/>
      <c r="H196" s="38" t="s">
        <v>492</v>
      </c>
      <c r="I196" s="37" t="s">
        <v>659</v>
      </c>
      <c r="J196" s="38" t="s">
        <v>865</v>
      </c>
    </row>
    <row r="197" spans="1:10" ht="95" x14ac:dyDescent="0.2">
      <c r="A197" s="87" t="s">
        <v>139</v>
      </c>
      <c r="B197" s="37">
        <v>2023</v>
      </c>
      <c r="C197" s="38" t="s">
        <v>980</v>
      </c>
      <c r="D197" s="38" t="s">
        <v>981</v>
      </c>
      <c r="E197" s="38" t="s">
        <v>979</v>
      </c>
      <c r="F197" s="38" t="s">
        <v>441</v>
      </c>
      <c r="G197" s="37"/>
      <c r="H197" s="38" t="s">
        <v>982</v>
      </c>
      <c r="I197" s="37" t="s">
        <v>659</v>
      </c>
      <c r="J197" s="38" t="s">
        <v>865</v>
      </c>
    </row>
    <row r="198" spans="1:10" ht="152" x14ac:dyDescent="0.2">
      <c r="A198" s="87" t="s">
        <v>149</v>
      </c>
      <c r="B198" s="37">
        <v>2020</v>
      </c>
      <c r="C198" s="38" t="s">
        <v>983</v>
      </c>
      <c r="D198" s="38" t="s">
        <v>984</v>
      </c>
      <c r="E198" s="38" t="s">
        <v>979</v>
      </c>
      <c r="F198" s="38" t="s">
        <v>441</v>
      </c>
      <c r="G198" s="37"/>
      <c r="H198" s="38" t="s">
        <v>985</v>
      </c>
      <c r="I198" s="38" t="s">
        <v>451</v>
      </c>
      <c r="J198" s="38" t="s">
        <v>865</v>
      </c>
    </row>
    <row r="199" spans="1:10" ht="171" x14ac:dyDescent="0.2">
      <c r="A199" s="87" t="s">
        <v>179</v>
      </c>
      <c r="B199" s="37">
        <v>2025</v>
      </c>
      <c r="C199" s="38" t="s">
        <v>986</v>
      </c>
      <c r="D199" s="38" t="s">
        <v>987</v>
      </c>
      <c r="E199" s="38" t="s">
        <v>979</v>
      </c>
      <c r="F199" s="38" t="s">
        <v>441</v>
      </c>
      <c r="G199" s="37"/>
      <c r="H199" s="38" t="s">
        <v>988</v>
      </c>
      <c r="I199" s="37" t="s">
        <v>451</v>
      </c>
      <c r="J199" s="38" t="s">
        <v>865</v>
      </c>
    </row>
    <row r="200" spans="1:10" ht="95" x14ac:dyDescent="0.2">
      <c r="A200" s="87" t="s">
        <v>44</v>
      </c>
      <c r="B200" s="37">
        <v>2024</v>
      </c>
      <c r="C200" s="38" t="s">
        <v>989</v>
      </c>
      <c r="D200" s="38" t="s">
        <v>990</v>
      </c>
      <c r="E200" s="38" t="s">
        <v>979</v>
      </c>
      <c r="F200" s="38" t="s">
        <v>441</v>
      </c>
      <c r="G200" s="37"/>
      <c r="H200" s="38" t="s">
        <v>991</v>
      </c>
      <c r="I200" s="37" t="s">
        <v>451</v>
      </c>
      <c r="J200" s="38" t="s">
        <v>865</v>
      </c>
    </row>
    <row r="201" spans="1:10" ht="57" x14ac:dyDescent="0.2">
      <c r="A201" s="87" t="s">
        <v>54</v>
      </c>
      <c r="B201" s="37">
        <v>2025</v>
      </c>
      <c r="C201" s="38" t="s">
        <v>992</v>
      </c>
      <c r="D201" s="38" t="s">
        <v>993</v>
      </c>
      <c r="E201" s="38" t="s">
        <v>979</v>
      </c>
      <c r="F201" s="38" t="s">
        <v>441</v>
      </c>
      <c r="G201" s="37"/>
      <c r="H201" s="38" t="s">
        <v>994</v>
      </c>
      <c r="I201" s="37" t="s">
        <v>451</v>
      </c>
      <c r="J201" s="38" t="s">
        <v>865</v>
      </c>
    </row>
    <row r="202" spans="1:10" ht="76" x14ac:dyDescent="0.2">
      <c r="A202" s="87" t="s">
        <v>63</v>
      </c>
      <c r="B202" s="37">
        <v>2025</v>
      </c>
      <c r="C202" s="38" t="s">
        <v>995</v>
      </c>
      <c r="D202" s="38" t="s">
        <v>996</v>
      </c>
      <c r="E202" s="38" t="s">
        <v>979</v>
      </c>
      <c r="F202" s="38" t="s">
        <v>441</v>
      </c>
      <c r="G202" s="37"/>
      <c r="H202" s="38" t="s">
        <v>997</v>
      </c>
      <c r="I202" s="37" t="s">
        <v>451</v>
      </c>
      <c r="J202" s="38" t="s">
        <v>865</v>
      </c>
    </row>
    <row r="203" spans="1:10" ht="76" x14ac:dyDescent="0.2">
      <c r="A203" s="87" t="s">
        <v>63</v>
      </c>
      <c r="B203" s="37">
        <v>2025</v>
      </c>
      <c r="C203" s="38" t="s">
        <v>998</v>
      </c>
      <c r="D203" s="38" t="s">
        <v>999</v>
      </c>
      <c r="E203" s="38" t="s">
        <v>979</v>
      </c>
      <c r="F203" s="38" t="s">
        <v>441</v>
      </c>
      <c r="G203" s="37"/>
      <c r="H203" s="38" t="s">
        <v>1000</v>
      </c>
      <c r="I203" s="37" t="s">
        <v>451</v>
      </c>
      <c r="J203" s="38" t="s">
        <v>865</v>
      </c>
    </row>
    <row r="204" spans="1:10" ht="76" x14ac:dyDescent="0.2">
      <c r="A204" s="87" t="s">
        <v>73</v>
      </c>
      <c r="B204" s="37">
        <v>2024</v>
      </c>
      <c r="C204" s="38" t="s">
        <v>1001</v>
      </c>
      <c r="D204" s="38" t="s">
        <v>1002</v>
      </c>
      <c r="E204" s="38" t="s">
        <v>979</v>
      </c>
      <c r="F204" s="38" t="s">
        <v>441</v>
      </c>
      <c r="G204" s="37"/>
      <c r="H204" s="38" t="s">
        <v>1003</v>
      </c>
      <c r="I204" s="37" t="s">
        <v>451</v>
      </c>
      <c r="J204" s="38" t="s">
        <v>865</v>
      </c>
    </row>
    <row r="205" spans="1:10" ht="76" x14ac:dyDescent="0.2">
      <c r="A205" s="87" t="s">
        <v>83</v>
      </c>
      <c r="B205" s="37">
        <v>2025</v>
      </c>
      <c r="C205" s="38" t="s">
        <v>1004</v>
      </c>
      <c r="D205" s="38" t="s">
        <v>1005</v>
      </c>
      <c r="E205" s="38" t="s">
        <v>979</v>
      </c>
      <c r="F205" s="38" t="s">
        <v>441</v>
      </c>
      <c r="G205" s="37"/>
      <c r="H205" s="38" t="s">
        <v>1006</v>
      </c>
      <c r="I205" s="37" t="s">
        <v>451</v>
      </c>
      <c r="J205" s="38" t="s">
        <v>865</v>
      </c>
    </row>
    <row r="206" spans="1:10" ht="95" x14ac:dyDescent="0.2">
      <c r="A206" s="87" t="s">
        <v>93</v>
      </c>
      <c r="B206" s="37">
        <v>2025</v>
      </c>
      <c r="C206" s="38" t="s">
        <v>1007</v>
      </c>
      <c r="D206" s="38" t="s">
        <v>1008</v>
      </c>
      <c r="E206" s="38" t="s">
        <v>979</v>
      </c>
      <c r="F206" s="38" t="s">
        <v>441</v>
      </c>
      <c r="G206" s="37"/>
      <c r="H206" s="38" t="s">
        <v>466</v>
      </c>
      <c r="I206" s="37" t="s">
        <v>451</v>
      </c>
      <c r="J206" s="38" t="s">
        <v>865</v>
      </c>
    </row>
    <row r="207" spans="1:10" ht="114" x14ac:dyDescent="0.2">
      <c r="A207" s="87" t="s">
        <v>103</v>
      </c>
      <c r="B207" s="37">
        <v>2024</v>
      </c>
      <c r="C207" s="38" t="s">
        <v>1009</v>
      </c>
      <c r="D207" s="38" t="s">
        <v>1010</v>
      </c>
      <c r="E207" s="38" t="s">
        <v>979</v>
      </c>
      <c r="F207" s="38" t="s">
        <v>441</v>
      </c>
      <c r="G207" s="37"/>
      <c r="H207" s="38" t="s">
        <v>1011</v>
      </c>
      <c r="I207" s="37" t="s">
        <v>451</v>
      </c>
      <c r="J207" s="38" t="s">
        <v>865</v>
      </c>
    </row>
    <row r="208" spans="1:10" ht="76" x14ac:dyDescent="0.2">
      <c r="A208" s="87" t="s">
        <v>113</v>
      </c>
      <c r="B208" s="37">
        <v>2024</v>
      </c>
      <c r="C208" s="38" t="s">
        <v>1012</v>
      </c>
      <c r="D208" s="38" t="s">
        <v>1013</v>
      </c>
      <c r="E208" s="38" t="s">
        <v>979</v>
      </c>
      <c r="F208" s="38" t="s">
        <v>441</v>
      </c>
      <c r="G208" s="37"/>
      <c r="H208" s="38" t="s">
        <v>1011</v>
      </c>
      <c r="I208" s="37" t="s">
        <v>451</v>
      </c>
      <c r="J208" s="38" t="s">
        <v>865</v>
      </c>
    </row>
    <row r="209" spans="1:10" ht="95" x14ac:dyDescent="0.2">
      <c r="A209" s="87" t="s">
        <v>130</v>
      </c>
      <c r="B209" s="37">
        <v>2024</v>
      </c>
      <c r="C209" s="38" t="s">
        <v>1014</v>
      </c>
      <c r="D209" s="38" t="s">
        <v>1015</v>
      </c>
      <c r="E209" s="38" t="s">
        <v>979</v>
      </c>
      <c r="F209" s="38" t="s">
        <v>441</v>
      </c>
      <c r="G209" s="37"/>
      <c r="H209" s="38" t="s">
        <v>1016</v>
      </c>
      <c r="I209" s="37" t="s">
        <v>451</v>
      </c>
      <c r="J209" s="38" t="s">
        <v>865</v>
      </c>
    </row>
    <row r="210" spans="1:10" ht="133" x14ac:dyDescent="0.2">
      <c r="A210" s="87" t="s">
        <v>130</v>
      </c>
      <c r="B210" s="37">
        <v>2024</v>
      </c>
      <c r="C210" s="38" t="s">
        <v>1017</v>
      </c>
      <c r="D210" s="38" t="s">
        <v>1018</v>
      </c>
      <c r="E210" s="38" t="s">
        <v>979</v>
      </c>
      <c r="F210" s="38" t="s">
        <v>441</v>
      </c>
      <c r="G210" s="37"/>
      <c r="H210" s="38" t="s">
        <v>1016</v>
      </c>
      <c r="I210" s="37" t="s">
        <v>451</v>
      </c>
      <c r="J210" s="38" t="s">
        <v>865</v>
      </c>
    </row>
    <row r="211" spans="1:10" ht="152" x14ac:dyDescent="0.2">
      <c r="A211" s="87" t="s">
        <v>159</v>
      </c>
      <c r="B211" s="37">
        <v>2025</v>
      </c>
      <c r="C211" s="38" t="s">
        <v>1019</v>
      </c>
      <c r="D211" s="38" t="s">
        <v>1020</v>
      </c>
      <c r="E211" s="38" t="s">
        <v>979</v>
      </c>
      <c r="F211" s="38" t="s">
        <v>441</v>
      </c>
      <c r="G211" s="37"/>
      <c r="H211" s="38" t="s">
        <v>1021</v>
      </c>
      <c r="I211" s="37" t="s">
        <v>451</v>
      </c>
      <c r="J211" s="38" t="s">
        <v>865</v>
      </c>
    </row>
    <row r="212" spans="1:10" ht="95" x14ac:dyDescent="0.2">
      <c r="A212" s="87" t="s">
        <v>159</v>
      </c>
      <c r="B212" s="37">
        <v>2025</v>
      </c>
      <c r="C212" s="38" t="s">
        <v>1022</v>
      </c>
      <c r="D212" s="38" t="s">
        <v>1023</v>
      </c>
      <c r="E212" s="38" t="s">
        <v>979</v>
      </c>
      <c r="F212" s="38" t="s">
        <v>441</v>
      </c>
      <c r="G212" s="37"/>
      <c r="H212" s="38" t="s">
        <v>1024</v>
      </c>
      <c r="I212" s="37" t="s">
        <v>451</v>
      </c>
      <c r="J212" s="38" t="s">
        <v>865</v>
      </c>
    </row>
    <row r="213" spans="1:10" ht="152" x14ac:dyDescent="0.2">
      <c r="A213" s="87" t="s">
        <v>169</v>
      </c>
      <c r="B213" s="37">
        <v>2026</v>
      </c>
      <c r="C213" s="38" t="s">
        <v>1025</v>
      </c>
      <c r="D213" s="38" t="s">
        <v>1026</v>
      </c>
      <c r="E213" s="38" t="s">
        <v>979</v>
      </c>
      <c r="F213" s="38" t="s">
        <v>441</v>
      </c>
      <c r="G213" s="37"/>
      <c r="H213" s="38" t="s">
        <v>1027</v>
      </c>
      <c r="I213" s="37" t="s">
        <v>451</v>
      </c>
      <c r="J213" s="38" t="s">
        <v>865</v>
      </c>
    </row>
    <row r="214" spans="1:10" ht="152" x14ac:dyDescent="0.2">
      <c r="A214" s="87" t="s">
        <v>169</v>
      </c>
      <c r="B214" s="37">
        <v>2026</v>
      </c>
      <c r="C214" s="38" t="s">
        <v>1028</v>
      </c>
      <c r="D214" s="38" t="s">
        <v>1029</v>
      </c>
      <c r="E214" s="38" t="s">
        <v>979</v>
      </c>
      <c r="F214" s="38" t="s">
        <v>441</v>
      </c>
      <c r="G214" s="37"/>
      <c r="H214" s="38" t="s">
        <v>1030</v>
      </c>
      <c r="I214" s="37" t="s">
        <v>451</v>
      </c>
      <c r="J214" s="38" t="s">
        <v>865</v>
      </c>
    </row>
    <row r="215" spans="1:10" ht="114" x14ac:dyDescent="0.2">
      <c r="A215" s="87" t="s">
        <v>188</v>
      </c>
      <c r="B215" s="37">
        <v>2025</v>
      </c>
      <c r="C215" s="38" t="s">
        <v>1031</v>
      </c>
      <c r="D215" s="38" t="s">
        <v>1032</v>
      </c>
      <c r="E215" s="38" t="s">
        <v>979</v>
      </c>
      <c r="F215" s="38" t="s">
        <v>441</v>
      </c>
      <c r="G215" s="37"/>
      <c r="H215" s="38" t="s">
        <v>1033</v>
      </c>
      <c r="I215" s="37" t="s">
        <v>451</v>
      </c>
      <c r="J215" s="38" t="s">
        <v>865</v>
      </c>
    </row>
    <row r="216" spans="1:10" ht="152" x14ac:dyDescent="0.2">
      <c r="A216" s="87" t="s">
        <v>198</v>
      </c>
      <c r="B216" s="37">
        <v>2026</v>
      </c>
      <c r="C216" s="38" t="s">
        <v>1034</v>
      </c>
      <c r="D216" s="38" t="s">
        <v>1035</v>
      </c>
      <c r="E216" s="38" t="s">
        <v>979</v>
      </c>
      <c r="F216" s="38" t="s">
        <v>441</v>
      </c>
      <c r="G216" s="37"/>
      <c r="H216" s="38" t="s">
        <v>1036</v>
      </c>
      <c r="I216" s="37" t="s">
        <v>451</v>
      </c>
      <c r="J216" s="38" t="s">
        <v>865</v>
      </c>
    </row>
    <row r="217" spans="1:10" ht="190" x14ac:dyDescent="0.2">
      <c r="A217" s="87" t="s">
        <v>208</v>
      </c>
      <c r="B217" s="37">
        <v>2026</v>
      </c>
      <c r="C217" s="38" t="s">
        <v>1037</v>
      </c>
      <c r="D217" s="38" t="s">
        <v>1038</v>
      </c>
      <c r="E217" s="38" t="s">
        <v>979</v>
      </c>
      <c r="F217" s="38" t="s">
        <v>441</v>
      </c>
      <c r="G217" s="37"/>
      <c r="H217" s="38" t="s">
        <v>1039</v>
      </c>
      <c r="I217" s="37" t="s">
        <v>451</v>
      </c>
      <c r="J217" s="38" t="s">
        <v>865</v>
      </c>
    </row>
    <row r="218" spans="1:10" ht="190" x14ac:dyDescent="0.2">
      <c r="A218" s="87" t="s">
        <v>218</v>
      </c>
      <c r="B218" s="37">
        <v>2026</v>
      </c>
      <c r="C218" s="38" t="s">
        <v>1040</v>
      </c>
      <c r="D218" s="38" t="s">
        <v>1041</v>
      </c>
      <c r="E218" s="38" t="s">
        <v>979</v>
      </c>
      <c r="F218" s="38" t="s">
        <v>441</v>
      </c>
      <c r="G218" s="37"/>
      <c r="H218" s="38" t="s">
        <v>1042</v>
      </c>
      <c r="I218" s="37" t="s">
        <v>451</v>
      </c>
      <c r="J218" s="38" t="s">
        <v>865</v>
      </c>
    </row>
    <row r="219" spans="1:10" ht="95" x14ac:dyDescent="0.2">
      <c r="A219" s="87" t="s">
        <v>227</v>
      </c>
      <c r="B219" s="37">
        <v>2026</v>
      </c>
      <c r="C219" s="38" t="s">
        <v>1043</v>
      </c>
      <c r="D219" s="38" t="s">
        <v>1044</v>
      </c>
      <c r="E219" s="38" t="s">
        <v>979</v>
      </c>
      <c r="F219" s="38" t="s">
        <v>441</v>
      </c>
      <c r="G219" s="37"/>
      <c r="H219" s="38" t="s">
        <v>1045</v>
      </c>
      <c r="I219" s="37" t="s">
        <v>451</v>
      </c>
      <c r="J219" s="38" t="s">
        <v>865</v>
      </c>
    </row>
    <row r="220" spans="1:10" ht="114" x14ac:dyDescent="0.2">
      <c r="A220" s="87" t="s">
        <v>227</v>
      </c>
      <c r="B220" s="37">
        <v>2026</v>
      </c>
      <c r="C220" s="38" t="s">
        <v>1046</v>
      </c>
      <c r="D220" s="38" t="s">
        <v>1047</v>
      </c>
      <c r="E220" s="38" t="s">
        <v>979</v>
      </c>
      <c r="F220" s="38" t="s">
        <v>441</v>
      </c>
      <c r="G220" s="37"/>
      <c r="H220" s="38" t="s">
        <v>1048</v>
      </c>
      <c r="I220" s="37" t="s">
        <v>451</v>
      </c>
      <c r="J220" s="38" t="s">
        <v>865</v>
      </c>
    </row>
    <row r="221" spans="1:10" ht="152" x14ac:dyDescent="0.2">
      <c r="A221" s="87" t="s">
        <v>237</v>
      </c>
      <c r="B221" s="37">
        <v>2025</v>
      </c>
      <c r="C221" s="38" t="s">
        <v>1049</v>
      </c>
      <c r="D221" s="38" t="s">
        <v>1050</v>
      </c>
      <c r="E221" s="38" t="s">
        <v>979</v>
      </c>
      <c r="F221" s="38" t="s">
        <v>441</v>
      </c>
      <c r="G221" s="37"/>
      <c r="H221" s="38" t="s">
        <v>1051</v>
      </c>
      <c r="I221" s="37" t="s">
        <v>451</v>
      </c>
      <c r="J221" s="38" t="s">
        <v>865</v>
      </c>
    </row>
    <row r="222" spans="1:10" ht="76" x14ac:dyDescent="0.2">
      <c r="A222" s="87" t="s">
        <v>247</v>
      </c>
      <c r="B222" s="37">
        <v>2026</v>
      </c>
      <c r="C222" s="38" t="s">
        <v>1052</v>
      </c>
      <c r="D222" s="38" t="s">
        <v>1053</v>
      </c>
      <c r="E222" s="38" t="s">
        <v>979</v>
      </c>
      <c r="F222" s="38" t="s">
        <v>441</v>
      </c>
      <c r="G222" s="37"/>
      <c r="H222" s="38" t="s">
        <v>1054</v>
      </c>
      <c r="I222" s="37" t="s">
        <v>451</v>
      </c>
      <c r="J222" s="38" t="s">
        <v>865</v>
      </c>
    </row>
    <row r="223" spans="1:10" ht="76" x14ac:dyDescent="0.2">
      <c r="A223" s="87" t="s">
        <v>257</v>
      </c>
      <c r="B223" s="37">
        <v>2025</v>
      </c>
      <c r="C223" s="38" t="s">
        <v>1055</v>
      </c>
      <c r="D223" s="38" t="s">
        <v>1056</v>
      </c>
      <c r="E223" s="38" t="s">
        <v>979</v>
      </c>
      <c r="F223" s="38" t="s">
        <v>441</v>
      </c>
      <c r="G223" s="37"/>
      <c r="H223" s="38" t="s">
        <v>1057</v>
      </c>
      <c r="I223" s="37" t="s">
        <v>451</v>
      </c>
      <c r="J223" s="38" t="s">
        <v>865</v>
      </c>
    </row>
    <row r="224" spans="1:10" x14ac:dyDescent="0.2">
      <c r="A224" s="39"/>
      <c r="B224" s="39"/>
      <c r="C224" s="39"/>
      <c r="E224" s="39"/>
      <c r="F224" s="39"/>
      <c r="G224" s="39"/>
      <c r="H224" s="39"/>
      <c r="I224" s="39"/>
      <c r="J224" s="39"/>
    </row>
    <row r="225" spans="1:10" ht="57" x14ac:dyDescent="0.2">
      <c r="A225" s="87" t="s">
        <v>44</v>
      </c>
      <c r="B225" s="37">
        <v>2024</v>
      </c>
      <c r="C225" s="38" t="s">
        <v>1058</v>
      </c>
      <c r="D225" s="38" t="s">
        <v>1059</v>
      </c>
      <c r="E225" s="38" t="s">
        <v>1060</v>
      </c>
      <c r="F225" s="38" t="s">
        <v>1061</v>
      </c>
      <c r="G225" s="37"/>
      <c r="H225" s="38" t="s">
        <v>700</v>
      </c>
      <c r="I225" s="37" t="s">
        <v>451</v>
      </c>
      <c r="J225" s="38" t="s">
        <v>1062</v>
      </c>
    </row>
    <row r="226" spans="1:10" ht="133" x14ac:dyDescent="0.2">
      <c r="A226" s="87" t="s">
        <v>44</v>
      </c>
      <c r="B226" s="37">
        <v>2024</v>
      </c>
      <c r="C226" s="38" t="s">
        <v>1063</v>
      </c>
      <c r="D226" s="38" t="s">
        <v>1064</v>
      </c>
      <c r="E226" s="38" t="s">
        <v>1060</v>
      </c>
      <c r="F226" s="38" t="s">
        <v>1061</v>
      </c>
      <c r="G226" s="37"/>
      <c r="H226" s="38" t="s">
        <v>1065</v>
      </c>
      <c r="I226" s="37" t="s">
        <v>451</v>
      </c>
      <c r="J226" s="38" t="s">
        <v>1062</v>
      </c>
    </row>
    <row r="227" spans="1:10" ht="76" x14ac:dyDescent="0.2">
      <c r="A227" s="87" t="s">
        <v>44</v>
      </c>
      <c r="B227" s="37">
        <v>2024</v>
      </c>
      <c r="C227" s="38" t="s">
        <v>1066</v>
      </c>
      <c r="D227" s="38" t="s">
        <v>1067</v>
      </c>
      <c r="E227" s="38" t="s">
        <v>1060</v>
      </c>
      <c r="F227" s="38" t="s">
        <v>1061</v>
      </c>
      <c r="G227" s="37"/>
      <c r="H227" s="38" t="s">
        <v>1068</v>
      </c>
      <c r="I227" s="37" t="s">
        <v>451</v>
      </c>
      <c r="J227" s="38" t="s">
        <v>1062</v>
      </c>
    </row>
    <row r="228" spans="1:10" ht="76" x14ac:dyDescent="0.2">
      <c r="A228" s="87" t="s">
        <v>44</v>
      </c>
      <c r="B228" s="37">
        <v>2024</v>
      </c>
      <c r="C228" s="38" t="s">
        <v>1069</v>
      </c>
      <c r="D228" s="38" t="s">
        <v>1070</v>
      </c>
      <c r="E228" s="38" t="s">
        <v>1060</v>
      </c>
      <c r="F228" s="38" t="s">
        <v>1061</v>
      </c>
      <c r="G228" s="37"/>
      <c r="H228" s="38" t="s">
        <v>1071</v>
      </c>
      <c r="I228" s="37" t="s">
        <v>451</v>
      </c>
      <c r="J228" s="38" t="s">
        <v>1062</v>
      </c>
    </row>
    <row r="229" spans="1:10" ht="76" x14ac:dyDescent="0.2">
      <c r="A229" s="87" t="s">
        <v>44</v>
      </c>
      <c r="B229" s="37">
        <v>2024</v>
      </c>
      <c r="C229" s="38" t="s">
        <v>1072</v>
      </c>
      <c r="D229" s="38" t="s">
        <v>1073</v>
      </c>
      <c r="E229" s="38" t="s">
        <v>1060</v>
      </c>
      <c r="F229" s="38" t="s">
        <v>1061</v>
      </c>
      <c r="G229" s="37"/>
      <c r="H229" s="38" t="s">
        <v>546</v>
      </c>
      <c r="I229" s="37" t="s">
        <v>451</v>
      </c>
      <c r="J229" s="38" t="s">
        <v>1062</v>
      </c>
    </row>
    <row r="230" spans="1:10" ht="76" x14ac:dyDescent="0.2">
      <c r="A230" s="87" t="s">
        <v>54</v>
      </c>
      <c r="B230" s="37">
        <v>2025</v>
      </c>
      <c r="C230" s="38" t="s">
        <v>1074</v>
      </c>
      <c r="D230" s="38" t="s">
        <v>1075</v>
      </c>
      <c r="E230" s="38" t="s">
        <v>1060</v>
      </c>
      <c r="F230" s="38" t="s">
        <v>1061</v>
      </c>
      <c r="G230" s="37"/>
      <c r="H230" s="38" t="s">
        <v>700</v>
      </c>
      <c r="I230" s="37" t="s">
        <v>451</v>
      </c>
      <c r="J230" s="38" t="s">
        <v>1062</v>
      </c>
    </row>
    <row r="231" spans="1:10" ht="76" x14ac:dyDescent="0.2">
      <c r="A231" s="87" t="s">
        <v>54</v>
      </c>
      <c r="B231" s="37">
        <v>2025</v>
      </c>
      <c r="C231" s="38" t="s">
        <v>1076</v>
      </c>
      <c r="D231" s="38" t="s">
        <v>1077</v>
      </c>
      <c r="E231" s="38" t="s">
        <v>1060</v>
      </c>
      <c r="F231" s="38" t="s">
        <v>1061</v>
      </c>
      <c r="G231" s="37"/>
      <c r="H231" s="38" t="s">
        <v>1078</v>
      </c>
      <c r="I231" s="37" t="s">
        <v>451</v>
      </c>
      <c r="J231" s="38" t="s">
        <v>1062</v>
      </c>
    </row>
    <row r="232" spans="1:10" ht="114" x14ac:dyDescent="0.2">
      <c r="A232" s="87" t="s">
        <v>54</v>
      </c>
      <c r="B232" s="37">
        <v>2025</v>
      </c>
      <c r="C232" s="38" t="s">
        <v>1079</v>
      </c>
      <c r="D232" s="38" t="s">
        <v>1080</v>
      </c>
      <c r="E232" s="38" t="s">
        <v>1060</v>
      </c>
      <c r="F232" s="38" t="s">
        <v>1061</v>
      </c>
      <c r="G232" s="37"/>
      <c r="H232" s="38" t="s">
        <v>1081</v>
      </c>
      <c r="I232" s="37" t="s">
        <v>451</v>
      </c>
      <c r="J232" s="38" t="s">
        <v>1062</v>
      </c>
    </row>
    <row r="233" spans="1:10" ht="95" x14ac:dyDescent="0.2">
      <c r="A233" s="87" t="s">
        <v>63</v>
      </c>
      <c r="B233" s="37">
        <v>2025</v>
      </c>
      <c r="C233" s="38" t="s">
        <v>1082</v>
      </c>
      <c r="D233" s="38" t="s">
        <v>1083</v>
      </c>
      <c r="E233" s="38" t="s">
        <v>1060</v>
      </c>
      <c r="F233" s="38" t="s">
        <v>1061</v>
      </c>
      <c r="G233" s="37"/>
      <c r="H233" s="38" t="s">
        <v>1084</v>
      </c>
      <c r="I233" s="37" t="s">
        <v>451</v>
      </c>
      <c r="J233" s="38" t="s">
        <v>1062</v>
      </c>
    </row>
    <row r="234" spans="1:10" ht="95" x14ac:dyDescent="0.2">
      <c r="A234" s="87" t="s">
        <v>63</v>
      </c>
      <c r="B234" s="37">
        <v>2025</v>
      </c>
      <c r="C234" s="38" t="s">
        <v>1085</v>
      </c>
      <c r="D234" s="38" t="s">
        <v>1086</v>
      </c>
      <c r="E234" s="38" t="s">
        <v>1060</v>
      </c>
      <c r="F234" s="38" t="s">
        <v>1061</v>
      </c>
      <c r="G234" s="37"/>
      <c r="H234" s="38" t="s">
        <v>1087</v>
      </c>
      <c r="I234" s="37" t="s">
        <v>451</v>
      </c>
      <c r="J234" s="38" t="s">
        <v>1062</v>
      </c>
    </row>
    <row r="235" spans="1:10" ht="76" x14ac:dyDescent="0.2">
      <c r="A235" s="87" t="s">
        <v>73</v>
      </c>
      <c r="B235" s="37">
        <v>2024</v>
      </c>
      <c r="C235" s="38" t="s">
        <v>1088</v>
      </c>
      <c r="D235" s="38" t="s">
        <v>1089</v>
      </c>
      <c r="E235" s="38" t="s">
        <v>1060</v>
      </c>
      <c r="F235" s="38" t="s">
        <v>1061</v>
      </c>
      <c r="G235" s="37"/>
      <c r="H235" s="38" t="s">
        <v>1090</v>
      </c>
      <c r="I235" s="37" t="s">
        <v>451</v>
      </c>
      <c r="J235" s="38" t="s">
        <v>1062</v>
      </c>
    </row>
    <row r="236" spans="1:10" ht="57" x14ac:dyDescent="0.2">
      <c r="A236" s="87" t="s">
        <v>73</v>
      </c>
      <c r="B236" s="37">
        <v>2024</v>
      </c>
      <c r="C236" s="38" t="s">
        <v>1091</v>
      </c>
      <c r="D236" s="38" t="s">
        <v>1092</v>
      </c>
      <c r="E236" s="38" t="s">
        <v>1060</v>
      </c>
      <c r="F236" s="38" t="s">
        <v>1061</v>
      </c>
      <c r="G236" s="37"/>
      <c r="H236" s="38" t="s">
        <v>1093</v>
      </c>
      <c r="I236" s="37" t="s">
        <v>451</v>
      </c>
      <c r="J236" s="38" t="s">
        <v>1062</v>
      </c>
    </row>
    <row r="237" spans="1:10" ht="114" x14ac:dyDescent="0.2">
      <c r="A237" s="87" t="s">
        <v>73</v>
      </c>
      <c r="B237" s="37">
        <v>2024</v>
      </c>
      <c r="C237" s="38" t="s">
        <v>1094</v>
      </c>
      <c r="D237" s="38" t="s">
        <v>1095</v>
      </c>
      <c r="E237" s="38" t="s">
        <v>1060</v>
      </c>
      <c r="F237" s="38" t="s">
        <v>1061</v>
      </c>
      <c r="G237" s="37"/>
      <c r="H237" s="38" t="s">
        <v>1096</v>
      </c>
      <c r="I237" s="37" t="s">
        <v>451</v>
      </c>
      <c r="J237" s="38" t="s">
        <v>1062</v>
      </c>
    </row>
    <row r="238" spans="1:10" ht="95" x14ac:dyDescent="0.2">
      <c r="A238" s="87" t="s">
        <v>83</v>
      </c>
      <c r="B238" s="37">
        <v>2025</v>
      </c>
      <c r="C238" s="38" t="s">
        <v>1097</v>
      </c>
      <c r="D238" s="38" t="s">
        <v>1098</v>
      </c>
      <c r="E238" s="38" t="s">
        <v>1060</v>
      </c>
      <c r="F238" s="38" t="s">
        <v>1061</v>
      </c>
      <c r="G238" s="37"/>
      <c r="H238" s="38" t="s">
        <v>1099</v>
      </c>
      <c r="I238" s="37" t="s">
        <v>451</v>
      </c>
      <c r="J238" s="38" t="s">
        <v>1062</v>
      </c>
    </row>
    <row r="239" spans="1:10" ht="114" x14ac:dyDescent="0.2">
      <c r="A239" s="87" t="s">
        <v>93</v>
      </c>
      <c r="B239" s="37">
        <v>2025</v>
      </c>
      <c r="C239" s="38" t="s">
        <v>1100</v>
      </c>
      <c r="D239" s="38" t="s">
        <v>1101</v>
      </c>
      <c r="E239" s="38" t="s">
        <v>1060</v>
      </c>
      <c r="F239" s="38" t="s">
        <v>1061</v>
      </c>
      <c r="G239" s="37"/>
      <c r="H239" s="38" t="s">
        <v>1102</v>
      </c>
      <c r="I239" s="37" t="s">
        <v>451</v>
      </c>
      <c r="J239" s="38" t="s">
        <v>1062</v>
      </c>
    </row>
    <row r="240" spans="1:10" ht="76" x14ac:dyDescent="0.2">
      <c r="A240" s="87" t="s">
        <v>103</v>
      </c>
      <c r="B240" s="37">
        <v>2024</v>
      </c>
      <c r="C240" s="38" t="s">
        <v>1103</v>
      </c>
      <c r="D240" s="38" t="s">
        <v>1104</v>
      </c>
      <c r="E240" s="38" t="s">
        <v>1060</v>
      </c>
      <c r="F240" s="38" t="s">
        <v>1061</v>
      </c>
      <c r="G240" s="37"/>
      <c r="H240" s="38" t="s">
        <v>1011</v>
      </c>
      <c r="I240" s="37" t="s">
        <v>451</v>
      </c>
      <c r="J240" s="38" t="s">
        <v>1062</v>
      </c>
    </row>
    <row r="241" spans="1:10" ht="76" x14ac:dyDescent="0.2">
      <c r="A241" s="87" t="s">
        <v>113</v>
      </c>
      <c r="B241" s="37">
        <v>2024</v>
      </c>
      <c r="C241" s="38" t="s">
        <v>1105</v>
      </c>
      <c r="D241" s="38" t="s">
        <v>1106</v>
      </c>
      <c r="E241" s="38" t="s">
        <v>1060</v>
      </c>
      <c r="F241" s="38" t="s">
        <v>1061</v>
      </c>
      <c r="G241" s="37"/>
      <c r="H241" s="38" t="s">
        <v>1107</v>
      </c>
      <c r="I241" s="37" t="s">
        <v>451</v>
      </c>
      <c r="J241" s="38" t="s">
        <v>1062</v>
      </c>
    </row>
    <row r="242" spans="1:10" ht="76" x14ac:dyDescent="0.2">
      <c r="A242" s="87" t="s">
        <v>113</v>
      </c>
      <c r="B242" s="37">
        <v>2024</v>
      </c>
      <c r="C242" s="38" t="s">
        <v>1108</v>
      </c>
      <c r="D242" s="38" t="s">
        <v>1109</v>
      </c>
      <c r="E242" s="38" t="s">
        <v>1060</v>
      </c>
      <c r="F242" s="38" t="s">
        <v>1061</v>
      </c>
      <c r="G242" s="37"/>
      <c r="H242" s="38" t="s">
        <v>546</v>
      </c>
      <c r="I242" s="37" t="s">
        <v>451</v>
      </c>
      <c r="J242" s="38" t="s">
        <v>1062</v>
      </c>
    </row>
    <row r="243" spans="1:10" ht="114" x14ac:dyDescent="0.2">
      <c r="A243" s="87" t="s">
        <v>122</v>
      </c>
      <c r="B243" s="37">
        <v>2024</v>
      </c>
      <c r="C243" s="38" t="s">
        <v>1110</v>
      </c>
      <c r="D243" s="38" t="s">
        <v>1111</v>
      </c>
      <c r="E243" s="38" t="s">
        <v>1060</v>
      </c>
      <c r="F243" s="38" t="s">
        <v>1061</v>
      </c>
      <c r="G243" s="37"/>
      <c r="H243" s="38" t="s">
        <v>1112</v>
      </c>
      <c r="I243" s="37" t="s">
        <v>443</v>
      </c>
      <c r="J243" s="38" t="s">
        <v>1062</v>
      </c>
    </row>
    <row r="244" spans="1:10" ht="76" x14ac:dyDescent="0.2">
      <c r="A244" s="87" t="s">
        <v>130</v>
      </c>
      <c r="B244" s="37">
        <v>2024</v>
      </c>
      <c r="C244" s="38" t="s">
        <v>1113</v>
      </c>
      <c r="D244" s="38" t="s">
        <v>1114</v>
      </c>
      <c r="E244" s="38" t="s">
        <v>1060</v>
      </c>
      <c r="F244" s="38" t="s">
        <v>1061</v>
      </c>
      <c r="G244" s="37"/>
      <c r="H244" s="38" t="s">
        <v>478</v>
      </c>
      <c r="I244" s="37" t="s">
        <v>451</v>
      </c>
      <c r="J244" s="38" t="s">
        <v>1062</v>
      </c>
    </row>
    <row r="245" spans="1:10" ht="95" x14ac:dyDescent="0.2">
      <c r="A245" s="87" t="s">
        <v>130</v>
      </c>
      <c r="B245" s="37">
        <v>2024</v>
      </c>
      <c r="C245" s="38" t="s">
        <v>1115</v>
      </c>
      <c r="D245" s="38" t="s">
        <v>1116</v>
      </c>
      <c r="E245" s="38" t="s">
        <v>1060</v>
      </c>
      <c r="F245" s="38" t="s">
        <v>1061</v>
      </c>
      <c r="G245" s="37"/>
      <c r="H245" s="38" t="s">
        <v>662</v>
      </c>
      <c r="I245" s="37" t="s">
        <v>451</v>
      </c>
      <c r="J245" s="38" t="s">
        <v>1062</v>
      </c>
    </row>
    <row r="246" spans="1:10" ht="95" x14ac:dyDescent="0.2">
      <c r="A246" s="87" t="s">
        <v>139</v>
      </c>
      <c r="B246" s="37">
        <v>2023</v>
      </c>
      <c r="C246" s="38" t="s">
        <v>1117</v>
      </c>
      <c r="D246" s="38" t="s">
        <v>1118</v>
      </c>
      <c r="E246" s="38" t="s">
        <v>1060</v>
      </c>
      <c r="F246" s="38" t="s">
        <v>1061</v>
      </c>
      <c r="G246" s="37"/>
      <c r="H246" s="38" t="s">
        <v>1119</v>
      </c>
      <c r="I246" s="37" t="s">
        <v>451</v>
      </c>
      <c r="J246" s="38" t="s">
        <v>1062</v>
      </c>
    </row>
    <row r="247" spans="1:10" ht="57" x14ac:dyDescent="0.2">
      <c r="A247" s="87" t="s">
        <v>139</v>
      </c>
      <c r="B247" s="37">
        <v>2023</v>
      </c>
      <c r="C247" s="38" t="s">
        <v>1120</v>
      </c>
      <c r="D247" s="38" t="s">
        <v>1121</v>
      </c>
      <c r="E247" s="38" t="s">
        <v>1060</v>
      </c>
      <c r="F247" s="38" t="s">
        <v>1061</v>
      </c>
      <c r="G247" s="37"/>
      <c r="H247" s="38" t="s">
        <v>1122</v>
      </c>
      <c r="I247" s="37" t="s">
        <v>451</v>
      </c>
      <c r="J247" s="38" t="s">
        <v>1062</v>
      </c>
    </row>
    <row r="248" spans="1:10" ht="95" x14ac:dyDescent="0.2">
      <c r="A248" s="87" t="s">
        <v>149</v>
      </c>
      <c r="B248" s="37">
        <v>2020</v>
      </c>
      <c r="C248" s="38" t="s">
        <v>1123</v>
      </c>
      <c r="D248" s="38" t="s">
        <v>1124</v>
      </c>
      <c r="E248" s="38" t="s">
        <v>1060</v>
      </c>
      <c r="F248" s="38" t="s">
        <v>1061</v>
      </c>
      <c r="G248" s="37"/>
      <c r="H248" s="38" t="s">
        <v>1125</v>
      </c>
      <c r="I248" s="37" t="s">
        <v>659</v>
      </c>
      <c r="J248" s="38" t="s">
        <v>1062</v>
      </c>
    </row>
    <row r="249" spans="1:10" ht="114" x14ac:dyDescent="0.2">
      <c r="A249" s="87" t="s">
        <v>159</v>
      </c>
      <c r="B249" s="37">
        <v>2025</v>
      </c>
      <c r="C249" s="38" t="s">
        <v>1126</v>
      </c>
      <c r="D249" s="38" t="s">
        <v>1127</v>
      </c>
      <c r="E249" s="38" t="s">
        <v>1060</v>
      </c>
      <c r="F249" s="38" t="s">
        <v>1061</v>
      </c>
      <c r="G249" s="37"/>
      <c r="H249" s="38" t="s">
        <v>1128</v>
      </c>
      <c r="I249" s="37" t="s">
        <v>451</v>
      </c>
      <c r="J249" s="38" t="s">
        <v>1062</v>
      </c>
    </row>
    <row r="250" spans="1:10" ht="114" x14ac:dyDescent="0.2">
      <c r="A250" s="87" t="s">
        <v>159</v>
      </c>
      <c r="B250" s="37">
        <v>2025</v>
      </c>
      <c r="C250" s="38" t="s">
        <v>1129</v>
      </c>
      <c r="D250" s="38" t="s">
        <v>1130</v>
      </c>
      <c r="E250" s="38" t="s">
        <v>1060</v>
      </c>
      <c r="F250" s="38" t="s">
        <v>1061</v>
      </c>
      <c r="G250" s="37"/>
      <c r="H250" s="38" t="s">
        <v>1131</v>
      </c>
      <c r="I250" s="37" t="s">
        <v>451</v>
      </c>
      <c r="J250" s="38" t="s">
        <v>1062</v>
      </c>
    </row>
    <row r="251" spans="1:10" ht="95" x14ac:dyDescent="0.2">
      <c r="A251" s="87" t="s">
        <v>169</v>
      </c>
      <c r="B251" s="37">
        <v>2026</v>
      </c>
      <c r="C251" s="38" t="s">
        <v>1132</v>
      </c>
      <c r="D251" s="38" t="s">
        <v>1133</v>
      </c>
      <c r="E251" s="38" t="s">
        <v>1060</v>
      </c>
      <c r="F251" s="38" t="s">
        <v>1061</v>
      </c>
      <c r="G251" s="37"/>
      <c r="H251" s="38" t="s">
        <v>1134</v>
      </c>
      <c r="I251" s="37" t="s">
        <v>659</v>
      </c>
      <c r="J251" s="38" t="s">
        <v>1062</v>
      </c>
    </row>
    <row r="252" spans="1:10" ht="95" x14ac:dyDescent="0.2">
      <c r="A252" s="87" t="s">
        <v>179</v>
      </c>
      <c r="B252" s="37">
        <v>2025</v>
      </c>
      <c r="C252" s="38" t="s">
        <v>1135</v>
      </c>
      <c r="D252" s="38" t="s">
        <v>1136</v>
      </c>
      <c r="E252" s="38" t="s">
        <v>1060</v>
      </c>
      <c r="F252" s="38" t="s">
        <v>1061</v>
      </c>
      <c r="G252" s="37"/>
      <c r="H252" s="38" t="s">
        <v>1137</v>
      </c>
      <c r="I252" s="37" t="s">
        <v>451</v>
      </c>
      <c r="J252" s="38" t="s">
        <v>1062</v>
      </c>
    </row>
    <row r="253" spans="1:10" ht="95" x14ac:dyDescent="0.2">
      <c r="A253" s="87" t="s">
        <v>179</v>
      </c>
      <c r="B253" s="37">
        <v>2025</v>
      </c>
      <c r="C253" s="38" t="s">
        <v>1138</v>
      </c>
      <c r="D253" s="38" t="s">
        <v>1139</v>
      </c>
      <c r="E253" s="38" t="s">
        <v>1060</v>
      </c>
      <c r="F253" s="38" t="s">
        <v>1061</v>
      </c>
      <c r="G253" s="37"/>
      <c r="H253" s="38" t="s">
        <v>1140</v>
      </c>
      <c r="I253" s="37" t="s">
        <v>659</v>
      </c>
      <c r="J253" s="38" t="s">
        <v>1062</v>
      </c>
    </row>
    <row r="254" spans="1:10" ht="133" x14ac:dyDescent="0.2">
      <c r="A254" s="87" t="s">
        <v>188</v>
      </c>
      <c r="B254" s="37">
        <v>2025</v>
      </c>
      <c r="C254" s="38" t="s">
        <v>1141</v>
      </c>
      <c r="D254" s="38" t="s">
        <v>1142</v>
      </c>
      <c r="E254" s="38" t="s">
        <v>1060</v>
      </c>
      <c r="F254" s="38" t="s">
        <v>1061</v>
      </c>
      <c r="G254" s="37"/>
      <c r="H254" s="38" t="s">
        <v>1143</v>
      </c>
      <c r="I254" s="37" t="s">
        <v>451</v>
      </c>
      <c r="J254" s="38" t="s">
        <v>1062</v>
      </c>
    </row>
    <row r="255" spans="1:10" ht="114" x14ac:dyDescent="0.2">
      <c r="A255" s="87" t="s">
        <v>198</v>
      </c>
      <c r="B255" s="37">
        <v>2026</v>
      </c>
      <c r="C255" s="38" t="s">
        <v>1144</v>
      </c>
      <c r="D255" s="38" t="s">
        <v>1145</v>
      </c>
      <c r="E255" s="38" t="s">
        <v>1060</v>
      </c>
      <c r="F255" s="38" t="s">
        <v>1061</v>
      </c>
      <c r="G255" s="37"/>
      <c r="H255" s="38" t="s">
        <v>1146</v>
      </c>
      <c r="I255" s="37" t="s">
        <v>451</v>
      </c>
      <c r="J255" s="38" t="s">
        <v>1062</v>
      </c>
    </row>
    <row r="256" spans="1:10" ht="152" x14ac:dyDescent="0.2">
      <c r="A256" s="87" t="s">
        <v>198</v>
      </c>
      <c r="B256" s="37">
        <v>2026</v>
      </c>
      <c r="C256" s="38" t="s">
        <v>1147</v>
      </c>
      <c r="D256" s="38" t="s">
        <v>1148</v>
      </c>
      <c r="E256" s="38" t="s">
        <v>1060</v>
      </c>
      <c r="F256" s="38" t="s">
        <v>1061</v>
      </c>
      <c r="G256" s="37"/>
      <c r="H256" s="38" t="s">
        <v>1149</v>
      </c>
      <c r="I256" s="37" t="s">
        <v>659</v>
      </c>
      <c r="J256" s="38" t="s">
        <v>1062</v>
      </c>
    </row>
    <row r="257" spans="1:10" ht="247" x14ac:dyDescent="0.2">
      <c r="A257" s="87" t="s">
        <v>208</v>
      </c>
      <c r="B257" s="37">
        <v>2026</v>
      </c>
      <c r="C257" s="38" t="s">
        <v>1150</v>
      </c>
      <c r="D257" s="38" t="s">
        <v>1151</v>
      </c>
      <c r="E257" s="38" t="s">
        <v>1060</v>
      </c>
      <c r="F257" s="38" t="s">
        <v>1061</v>
      </c>
      <c r="G257" s="37"/>
      <c r="H257" s="38" t="s">
        <v>1152</v>
      </c>
      <c r="I257" s="37" t="s">
        <v>451</v>
      </c>
      <c r="J257" s="38" t="s">
        <v>1062</v>
      </c>
    </row>
    <row r="258" spans="1:10" ht="171" x14ac:dyDescent="0.2">
      <c r="A258" s="87" t="s">
        <v>208</v>
      </c>
      <c r="B258" s="37">
        <v>2026</v>
      </c>
      <c r="C258" s="38" t="s">
        <v>1153</v>
      </c>
      <c r="D258" s="38" t="s">
        <v>1154</v>
      </c>
      <c r="E258" s="38" t="s">
        <v>1060</v>
      </c>
      <c r="F258" s="38" t="s">
        <v>1061</v>
      </c>
      <c r="G258" s="37"/>
      <c r="H258" s="38" t="s">
        <v>1155</v>
      </c>
      <c r="I258" s="37" t="s">
        <v>451</v>
      </c>
      <c r="J258" s="38" t="s">
        <v>1062</v>
      </c>
    </row>
    <row r="259" spans="1:10" ht="266" x14ac:dyDescent="0.2">
      <c r="A259" s="87" t="s">
        <v>208</v>
      </c>
      <c r="B259" s="37">
        <v>2026</v>
      </c>
      <c r="C259" s="38" t="s">
        <v>1156</v>
      </c>
      <c r="D259" s="38" t="s">
        <v>1157</v>
      </c>
      <c r="E259" s="38" t="s">
        <v>1060</v>
      </c>
      <c r="F259" s="38" t="s">
        <v>1061</v>
      </c>
      <c r="G259" s="37"/>
      <c r="H259" s="38" t="s">
        <v>1158</v>
      </c>
      <c r="I259" s="37" t="s">
        <v>451</v>
      </c>
      <c r="J259" s="38" t="s">
        <v>1062</v>
      </c>
    </row>
    <row r="260" spans="1:10" ht="133" x14ac:dyDescent="0.2">
      <c r="A260" s="87" t="s">
        <v>218</v>
      </c>
      <c r="B260" s="37">
        <v>2026</v>
      </c>
      <c r="C260" s="38" t="s">
        <v>1159</v>
      </c>
      <c r="D260" s="38" t="s">
        <v>1160</v>
      </c>
      <c r="E260" s="38" t="s">
        <v>1060</v>
      </c>
      <c r="F260" s="38" t="s">
        <v>1061</v>
      </c>
      <c r="G260" s="37"/>
      <c r="H260" s="38" t="s">
        <v>1161</v>
      </c>
      <c r="I260" s="37" t="s">
        <v>451</v>
      </c>
      <c r="J260" s="38" t="s">
        <v>1062</v>
      </c>
    </row>
    <row r="261" spans="1:10" ht="95" x14ac:dyDescent="0.2">
      <c r="A261" s="87" t="s">
        <v>218</v>
      </c>
      <c r="B261" s="37">
        <v>2026</v>
      </c>
      <c r="C261" s="38" t="s">
        <v>1162</v>
      </c>
      <c r="D261" s="38" t="s">
        <v>1163</v>
      </c>
      <c r="E261" s="38" t="s">
        <v>1060</v>
      </c>
      <c r="F261" s="38" t="s">
        <v>1061</v>
      </c>
      <c r="G261" s="37"/>
      <c r="H261" s="38" t="s">
        <v>1164</v>
      </c>
      <c r="I261" s="37" t="s">
        <v>451</v>
      </c>
      <c r="J261" s="38" t="s">
        <v>1062</v>
      </c>
    </row>
    <row r="262" spans="1:10" ht="114" x14ac:dyDescent="0.2">
      <c r="A262" s="87" t="s">
        <v>218</v>
      </c>
      <c r="B262" s="37">
        <v>2026</v>
      </c>
      <c r="C262" s="38" t="s">
        <v>1165</v>
      </c>
      <c r="D262" s="38" t="s">
        <v>1166</v>
      </c>
      <c r="E262" s="38" t="s">
        <v>1060</v>
      </c>
      <c r="F262" s="38" t="s">
        <v>1061</v>
      </c>
      <c r="G262" s="37"/>
      <c r="H262" s="38" t="s">
        <v>794</v>
      </c>
      <c r="I262" s="37" t="s">
        <v>659</v>
      </c>
      <c r="J262" s="38" t="s">
        <v>1062</v>
      </c>
    </row>
    <row r="263" spans="1:10" ht="114" x14ac:dyDescent="0.2">
      <c r="A263" s="87" t="s">
        <v>227</v>
      </c>
      <c r="B263" s="37">
        <v>2026</v>
      </c>
      <c r="C263" s="38" t="s">
        <v>1167</v>
      </c>
      <c r="D263" s="38" t="s">
        <v>1168</v>
      </c>
      <c r="E263" s="38" t="s">
        <v>1060</v>
      </c>
      <c r="F263" s="38" t="s">
        <v>1061</v>
      </c>
      <c r="G263" s="37"/>
      <c r="H263" s="38" t="s">
        <v>1169</v>
      </c>
      <c r="I263" s="37" t="s">
        <v>451</v>
      </c>
      <c r="J263" s="38" t="s">
        <v>1062</v>
      </c>
    </row>
    <row r="264" spans="1:10" ht="133" x14ac:dyDescent="0.2">
      <c r="A264" s="87" t="s">
        <v>227</v>
      </c>
      <c r="B264" s="37">
        <v>2026</v>
      </c>
      <c r="C264" s="38" t="s">
        <v>1170</v>
      </c>
      <c r="D264" s="38" t="s">
        <v>1171</v>
      </c>
      <c r="E264" s="38" t="s">
        <v>1060</v>
      </c>
      <c r="F264" s="38" t="s">
        <v>1061</v>
      </c>
      <c r="G264" s="37"/>
      <c r="H264" s="38" t="s">
        <v>1172</v>
      </c>
      <c r="I264" s="37" t="s">
        <v>451</v>
      </c>
      <c r="J264" s="38" t="s">
        <v>1062</v>
      </c>
    </row>
    <row r="265" spans="1:10" ht="152" x14ac:dyDescent="0.2">
      <c r="A265" s="87" t="s">
        <v>227</v>
      </c>
      <c r="B265" s="37">
        <v>2026</v>
      </c>
      <c r="C265" s="38" t="s">
        <v>1173</v>
      </c>
      <c r="D265" s="38" t="s">
        <v>1174</v>
      </c>
      <c r="E265" s="38" t="s">
        <v>1060</v>
      </c>
      <c r="F265" s="38" t="s">
        <v>1061</v>
      </c>
      <c r="G265" s="37"/>
      <c r="H265" s="38" t="s">
        <v>1175</v>
      </c>
      <c r="I265" s="37" t="s">
        <v>451</v>
      </c>
      <c r="J265" s="38" t="s">
        <v>1062</v>
      </c>
    </row>
    <row r="266" spans="1:10" ht="95" x14ac:dyDescent="0.2">
      <c r="A266" s="87" t="s">
        <v>227</v>
      </c>
      <c r="B266" s="37">
        <v>2026</v>
      </c>
      <c r="C266" s="38" t="s">
        <v>1176</v>
      </c>
      <c r="D266" s="38" t="s">
        <v>1177</v>
      </c>
      <c r="E266" s="38" t="s">
        <v>1060</v>
      </c>
      <c r="F266" s="38" t="s">
        <v>1061</v>
      </c>
      <c r="G266" s="37"/>
      <c r="H266" s="38" t="s">
        <v>1178</v>
      </c>
      <c r="I266" s="37" t="s">
        <v>659</v>
      </c>
      <c r="J266" s="38" t="s">
        <v>1062</v>
      </c>
    </row>
    <row r="267" spans="1:10" ht="95" x14ac:dyDescent="0.2">
      <c r="A267" s="87" t="s">
        <v>237</v>
      </c>
      <c r="B267" s="37">
        <v>2025</v>
      </c>
      <c r="C267" s="38" t="s">
        <v>1179</v>
      </c>
      <c r="D267" s="38" t="s">
        <v>1180</v>
      </c>
      <c r="E267" s="38" t="s">
        <v>1060</v>
      </c>
      <c r="F267" s="38" t="s">
        <v>1061</v>
      </c>
      <c r="G267" s="37"/>
      <c r="H267" s="38" t="s">
        <v>741</v>
      </c>
      <c r="I267" s="37" t="s">
        <v>451</v>
      </c>
      <c r="J267" s="38" t="s">
        <v>1062</v>
      </c>
    </row>
    <row r="268" spans="1:10" ht="76" x14ac:dyDescent="0.2">
      <c r="A268" s="87" t="s">
        <v>237</v>
      </c>
      <c r="B268" s="37">
        <v>2025</v>
      </c>
      <c r="C268" s="38" t="s">
        <v>1181</v>
      </c>
      <c r="D268" s="38" t="s">
        <v>1182</v>
      </c>
      <c r="E268" s="38" t="s">
        <v>1060</v>
      </c>
      <c r="F268" s="38" t="s">
        <v>1061</v>
      </c>
      <c r="G268" s="37"/>
      <c r="H268" s="38" t="s">
        <v>741</v>
      </c>
      <c r="I268" s="37" t="s">
        <v>451</v>
      </c>
      <c r="J268" s="38" t="s">
        <v>1062</v>
      </c>
    </row>
    <row r="269" spans="1:10" ht="114" x14ac:dyDescent="0.2">
      <c r="A269" s="87" t="s">
        <v>237</v>
      </c>
      <c r="B269" s="37">
        <v>2025</v>
      </c>
      <c r="C269" s="38" t="s">
        <v>1183</v>
      </c>
      <c r="D269" s="38" t="s">
        <v>1184</v>
      </c>
      <c r="E269" s="38" t="s">
        <v>1060</v>
      </c>
      <c r="F269" s="38" t="s">
        <v>1061</v>
      </c>
      <c r="G269" s="37"/>
      <c r="H269" s="38" t="s">
        <v>635</v>
      </c>
      <c r="I269" s="37" t="s">
        <v>451</v>
      </c>
      <c r="J269" s="38" t="s">
        <v>1062</v>
      </c>
    </row>
    <row r="270" spans="1:10" ht="152" x14ac:dyDescent="0.2">
      <c r="A270" s="87" t="s">
        <v>247</v>
      </c>
      <c r="B270" s="37">
        <v>2026</v>
      </c>
      <c r="C270" s="38" t="s">
        <v>1185</v>
      </c>
      <c r="D270" s="38" t="s">
        <v>1186</v>
      </c>
      <c r="E270" s="38" t="s">
        <v>1060</v>
      </c>
      <c r="F270" s="38" t="s">
        <v>1061</v>
      </c>
      <c r="G270" s="37"/>
      <c r="H270" s="38" t="s">
        <v>853</v>
      </c>
      <c r="I270" s="37" t="s">
        <v>659</v>
      </c>
      <c r="J270" s="38" t="s">
        <v>1062</v>
      </c>
    </row>
    <row r="271" spans="1:10" ht="57" x14ac:dyDescent="0.2">
      <c r="A271" s="87" t="s">
        <v>257</v>
      </c>
      <c r="B271" s="37">
        <v>2025</v>
      </c>
      <c r="C271" s="38" t="s">
        <v>1187</v>
      </c>
      <c r="D271" s="38" t="s">
        <v>1188</v>
      </c>
      <c r="E271" s="38" t="s">
        <v>1060</v>
      </c>
      <c r="F271" s="38" t="s">
        <v>1061</v>
      </c>
      <c r="G271" s="37"/>
      <c r="H271" s="38" t="s">
        <v>1189</v>
      </c>
      <c r="I271" s="37" t="s">
        <v>451</v>
      </c>
      <c r="J271" s="38" t="s">
        <v>1062</v>
      </c>
    </row>
    <row r="272" spans="1:10" ht="57" x14ac:dyDescent="0.2">
      <c r="A272" s="87" t="s">
        <v>257</v>
      </c>
      <c r="B272" s="37">
        <v>2025</v>
      </c>
      <c r="C272" s="38" t="s">
        <v>1190</v>
      </c>
      <c r="D272" s="38" t="s">
        <v>1191</v>
      </c>
      <c r="E272" s="38" t="s">
        <v>1060</v>
      </c>
      <c r="F272" s="38" t="s">
        <v>1061</v>
      </c>
      <c r="G272" s="37"/>
      <c r="H272" s="38" t="s">
        <v>478</v>
      </c>
      <c r="I272" s="37" t="s">
        <v>659</v>
      </c>
      <c r="J272" s="38" t="s">
        <v>1062</v>
      </c>
    </row>
    <row r="273" spans="1:10" x14ac:dyDescent="0.2">
      <c r="A273" s="39"/>
      <c r="B273" s="39"/>
      <c r="C273" s="39"/>
      <c r="E273" s="39"/>
      <c r="F273" s="39"/>
      <c r="G273" s="39"/>
      <c r="H273" s="39"/>
      <c r="I273" s="39"/>
      <c r="J273" s="39"/>
    </row>
    <row r="274" spans="1:10" ht="76" x14ac:dyDescent="0.2">
      <c r="A274" s="87" t="s">
        <v>44</v>
      </c>
      <c r="B274" s="37">
        <v>2024</v>
      </c>
      <c r="C274" s="38" t="s">
        <v>1192</v>
      </c>
      <c r="D274" s="38" t="s">
        <v>1193</v>
      </c>
      <c r="E274" s="38" t="s">
        <v>1194</v>
      </c>
      <c r="F274" s="38" t="s">
        <v>1061</v>
      </c>
      <c r="G274" s="37"/>
      <c r="H274" s="38" t="s">
        <v>492</v>
      </c>
      <c r="I274" s="37" t="s">
        <v>659</v>
      </c>
      <c r="J274" s="38" t="s">
        <v>1062</v>
      </c>
    </row>
    <row r="275" spans="1:10" ht="57" x14ac:dyDescent="0.2">
      <c r="A275" s="87" t="s">
        <v>54</v>
      </c>
      <c r="B275" s="37">
        <v>2025</v>
      </c>
      <c r="C275" s="38" t="s">
        <v>1195</v>
      </c>
      <c r="D275" s="38" t="s">
        <v>1196</v>
      </c>
      <c r="E275" s="38" t="s">
        <v>1194</v>
      </c>
      <c r="F275" s="38" t="s">
        <v>1061</v>
      </c>
      <c r="G275" s="37"/>
      <c r="H275" s="38" t="s">
        <v>1197</v>
      </c>
      <c r="I275" s="37" t="s">
        <v>659</v>
      </c>
      <c r="J275" s="38" t="s">
        <v>1062</v>
      </c>
    </row>
    <row r="276" spans="1:10" ht="76" x14ac:dyDescent="0.2">
      <c r="A276" s="87" t="s">
        <v>63</v>
      </c>
      <c r="B276" s="37">
        <v>2025</v>
      </c>
      <c r="C276" s="38" t="s">
        <v>1198</v>
      </c>
      <c r="D276" s="38" t="s">
        <v>1199</v>
      </c>
      <c r="E276" s="38" t="s">
        <v>1194</v>
      </c>
      <c r="F276" s="38" t="s">
        <v>1061</v>
      </c>
      <c r="G276" s="37"/>
      <c r="H276" s="38" t="s">
        <v>674</v>
      </c>
      <c r="I276" s="37" t="s">
        <v>451</v>
      </c>
      <c r="J276" s="38" t="s">
        <v>1062</v>
      </c>
    </row>
    <row r="277" spans="1:10" ht="95" x14ac:dyDescent="0.2">
      <c r="A277" s="87" t="s">
        <v>73</v>
      </c>
      <c r="B277" s="37">
        <v>2024</v>
      </c>
      <c r="C277" s="38" t="s">
        <v>1200</v>
      </c>
      <c r="D277" s="38" t="s">
        <v>1201</v>
      </c>
      <c r="E277" s="38" t="s">
        <v>1194</v>
      </c>
      <c r="F277" s="38" t="s">
        <v>1061</v>
      </c>
      <c r="G277" s="37"/>
      <c r="H277" s="38" t="s">
        <v>1202</v>
      </c>
      <c r="I277" s="37" t="s">
        <v>451</v>
      </c>
      <c r="J277" s="38" t="s">
        <v>1062</v>
      </c>
    </row>
    <row r="278" spans="1:10" ht="190" x14ac:dyDescent="0.2">
      <c r="A278" s="87" t="s">
        <v>83</v>
      </c>
      <c r="B278" s="37">
        <v>2025</v>
      </c>
      <c r="C278" s="38" t="s">
        <v>1203</v>
      </c>
      <c r="D278" s="38" t="s">
        <v>1204</v>
      </c>
      <c r="E278" s="38" t="s">
        <v>1194</v>
      </c>
      <c r="F278" s="38" t="s">
        <v>1061</v>
      </c>
      <c r="G278" s="37"/>
      <c r="H278" s="38" t="s">
        <v>1205</v>
      </c>
      <c r="I278" s="37" t="s">
        <v>451</v>
      </c>
      <c r="J278" s="38" t="s">
        <v>1062</v>
      </c>
    </row>
    <row r="279" spans="1:10" ht="114" x14ac:dyDescent="0.2">
      <c r="A279" s="87" t="s">
        <v>83</v>
      </c>
      <c r="B279" s="37">
        <v>2025</v>
      </c>
      <c r="C279" s="38" t="s">
        <v>1206</v>
      </c>
      <c r="D279" s="38" t="s">
        <v>1207</v>
      </c>
      <c r="E279" s="38" t="s">
        <v>1194</v>
      </c>
      <c r="F279" s="38" t="s">
        <v>1061</v>
      </c>
      <c r="G279" s="37"/>
      <c r="H279" s="38" t="s">
        <v>769</v>
      </c>
      <c r="I279" s="37" t="s">
        <v>451</v>
      </c>
      <c r="J279" s="38" t="s">
        <v>1062</v>
      </c>
    </row>
    <row r="280" spans="1:10" ht="76" x14ac:dyDescent="0.2">
      <c r="A280" s="87" t="s">
        <v>93</v>
      </c>
      <c r="B280" s="37">
        <v>2025</v>
      </c>
      <c r="C280" s="38" t="s">
        <v>1208</v>
      </c>
      <c r="D280" s="38" t="s">
        <v>1209</v>
      </c>
      <c r="E280" s="38" t="s">
        <v>1194</v>
      </c>
      <c r="F280" s="38" t="s">
        <v>1061</v>
      </c>
      <c r="G280" s="37"/>
      <c r="H280" s="38" t="s">
        <v>492</v>
      </c>
      <c r="I280" s="37" t="s">
        <v>659</v>
      </c>
      <c r="J280" s="38" t="s">
        <v>1062</v>
      </c>
    </row>
    <row r="281" spans="1:10" ht="76" x14ac:dyDescent="0.2">
      <c r="A281" s="87" t="s">
        <v>103</v>
      </c>
      <c r="B281" s="37">
        <v>2024</v>
      </c>
      <c r="C281" s="38" t="s">
        <v>1210</v>
      </c>
      <c r="D281" s="38" t="s">
        <v>1211</v>
      </c>
      <c r="E281" s="38" t="s">
        <v>1194</v>
      </c>
      <c r="F281" s="38" t="s">
        <v>1061</v>
      </c>
      <c r="G281" s="37"/>
      <c r="H281" s="38" t="s">
        <v>1212</v>
      </c>
      <c r="I281" s="37" t="s">
        <v>659</v>
      </c>
      <c r="J281" s="38" t="s">
        <v>1062</v>
      </c>
    </row>
    <row r="282" spans="1:10" ht="133" x14ac:dyDescent="0.2">
      <c r="A282" s="87" t="s">
        <v>113</v>
      </c>
      <c r="B282" s="37">
        <v>2024</v>
      </c>
      <c r="C282" s="38" t="s">
        <v>1213</v>
      </c>
      <c r="D282" s="38" t="s">
        <v>1214</v>
      </c>
      <c r="E282" s="38" t="s">
        <v>1194</v>
      </c>
      <c r="F282" s="38" t="s">
        <v>1061</v>
      </c>
      <c r="G282" s="37"/>
      <c r="H282" s="38" t="s">
        <v>1215</v>
      </c>
      <c r="I282" s="37" t="s">
        <v>451</v>
      </c>
      <c r="J282" s="38" t="s">
        <v>1062</v>
      </c>
    </row>
    <row r="283" spans="1:10" ht="171" x14ac:dyDescent="0.2">
      <c r="A283" s="87" t="s">
        <v>113</v>
      </c>
      <c r="B283" s="37">
        <v>2024</v>
      </c>
      <c r="C283" s="38" t="s">
        <v>1216</v>
      </c>
      <c r="D283" s="38" t="s">
        <v>1217</v>
      </c>
      <c r="E283" s="38" t="s">
        <v>1194</v>
      </c>
      <c r="F283" s="38" t="s">
        <v>1061</v>
      </c>
      <c r="G283" s="37"/>
      <c r="H283" s="38" t="s">
        <v>1218</v>
      </c>
      <c r="I283" s="37" t="s">
        <v>451</v>
      </c>
      <c r="J283" s="38" t="s">
        <v>1062</v>
      </c>
    </row>
    <row r="284" spans="1:10" ht="76" x14ac:dyDescent="0.2">
      <c r="A284" s="87" t="s">
        <v>122</v>
      </c>
      <c r="B284" s="37">
        <v>2024</v>
      </c>
      <c r="C284" s="38" t="s">
        <v>1219</v>
      </c>
      <c r="D284" s="38" t="s">
        <v>1220</v>
      </c>
      <c r="E284" s="38" t="s">
        <v>1194</v>
      </c>
      <c r="F284" s="38" t="s">
        <v>1061</v>
      </c>
      <c r="G284" s="37"/>
      <c r="H284" s="38" t="s">
        <v>478</v>
      </c>
      <c r="I284" s="37" t="s">
        <v>451</v>
      </c>
      <c r="J284" s="38" t="s">
        <v>1062</v>
      </c>
    </row>
    <row r="285" spans="1:10" ht="95" x14ac:dyDescent="0.2">
      <c r="A285" s="87" t="s">
        <v>122</v>
      </c>
      <c r="B285" s="37">
        <v>2024</v>
      </c>
      <c r="C285" s="38" t="s">
        <v>1221</v>
      </c>
      <c r="D285" s="38" t="s">
        <v>1222</v>
      </c>
      <c r="E285" s="38" t="s">
        <v>1194</v>
      </c>
      <c r="F285" s="38" t="s">
        <v>1061</v>
      </c>
      <c r="G285" s="37"/>
      <c r="H285" s="38" t="s">
        <v>483</v>
      </c>
      <c r="I285" s="37" t="s">
        <v>451</v>
      </c>
      <c r="J285" s="38" t="s">
        <v>1062</v>
      </c>
    </row>
    <row r="286" spans="1:10" ht="95" x14ac:dyDescent="0.2">
      <c r="A286" s="87" t="s">
        <v>122</v>
      </c>
      <c r="B286" s="37">
        <v>2024</v>
      </c>
      <c r="C286" s="38" t="s">
        <v>1223</v>
      </c>
      <c r="D286" s="38" t="s">
        <v>1224</v>
      </c>
      <c r="E286" s="38" t="s">
        <v>1194</v>
      </c>
      <c r="F286" s="38" t="s">
        <v>1061</v>
      </c>
      <c r="G286" s="37"/>
      <c r="H286" s="38" t="s">
        <v>483</v>
      </c>
      <c r="I286" s="37" t="s">
        <v>451</v>
      </c>
      <c r="J286" s="38" t="s">
        <v>1062</v>
      </c>
    </row>
    <row r="287" spans="1:10" ht="76" x14ac:dyDescent="0.2">
      <c r="A287" s="87" t="s">
        <v>130</v>
      </c>
      <c r="B287" s="37">
        <v>2024</v>
      </c>
      <c r="C287" s="38" t="s">
        <v>1225</v>
      </c>
      <c r="D287" s="38" t="s">
        <v>1226</v>
      </c>
      <c r="E287" s="38" t="s">
        <v>1194</v>
      </c>
      <c r="F287" s="38" t="s">
        <v>1061</v>
      </c>
      <c r="G287" s="37"/>
      <c r="H287" s="38" t="s">
        <v>1227</v>
      </c>
      <c r="I287" s="37" t="s">
        <v>659</v>
      </c>
      <c r="J287" s="38" t="s">
        <v>1062</v>
      </c>
    </row>
    <row r="288" spans="1:10" ht="114" x14ac:dyDescent="0.2">
      <c r="A288" s="87" t="s">
        <v>139</v>
      </c>
      <c r="B288" s="37">
        <v>2023</v>
      </c>
      <c r="C288" s="38" t="s">
        <v>1228</v>
      </c>
      <c r="D288" s="38" t="s">
        <v>1229</v>
      </c>
      <c r="E288" s="38" t="s">
        <v>1194</v>
      </c>
      <c r="F288" s="38" t="s">
        <v>1061</v>
      </c>
      <c r="G288" s="37"/>
      <c r="H288" s="38" t="s">
        <v>492</v>
      </c>
      <c r="I288" s="37" t="s">
        <v>659</v>
      </c>
      <c r="J288" s="38" t="s">
        <v>1062</v>
      </c>
    </row>
    <row r="289" spans="1:10" ht="76" x14ac:dyDescent="0.2">
      <c r="A289" s="87" t="s">
        <v>149</v>
      </c>
      <c r="B289" s="37">
        <v>2020</v>
      </c>
      <c r="C289" s="38" t="s">
        <v>1230</v>
      </c>
      <c r="D289" s="38" t="s">
        <v>1231</v>
      </c>
      <c r="E289" s="38" t="s">
        <v>1194</v>
      </c>
      <c r="F289" s="38" t="s">
        <v>1061</v>
      </c>
      <c r="G289" s="37"/>
      <c r="H289" s="38" t="s">
        <v>1232</v>
      </c>
      <c r="I289" s="37" t="s">
        <v>659</v>
      </c>
      <c r="J289" s="38" t="s">
        <v>1062</v>
      </c>
    </row>
    <row r="290" spans="1:10" ht="95" x14ac:dyDescent="0.2">
      <c r="A290" s="87" t="s">
        <v>159</v>
      </c>
      <c r="B290" s="37">
        <v>2025</v>
      </c>
      <c r="C290" s="38" t="s">
        <v>1233</v>
      </c>
      <c r="D290" s="38" t="s">
        <v>1234</v>
      </c>
      <c r="E290" s="38" t="s">
        <v>1194</v>
      </c>
      <c r="F290" s="38" t="s">
        <v>1061</v>
      </c>
      <c r="G290" s="37"/>
      <c r="H290" s="38" t="s">
        <v>1235</v>
      </c>
      <c r="I290" s="37" t="s">
        <v>659</v>
      </c>
      <c r="J290" s="38" t="s">
        <v>1062</v>
      </c>
    </row>
    <row r="291" spans="1:10" ht="133" x14ac:dyDescent="0.2">
      <c r="A291" s="87" t="s">
        <v>169</v>
      </c>
      <c r="B291" s="37">
        <v>2026</v>
      </c>
      <c r="C291" s="38" t="s">
        <v>1236</v>
      </c>
      <c r="D291" s="38" t="s">
        <v>1237</v>
      </c>
      <c r="E291" s="38" t="s">
        <v>1194</v>
      </c>
      <c r="F291" s="38" t="s">
        <v>1061</v>
      </c>
      <c r="G291" s="37"/>
      <c r="H291" s="38" t="s">
        <v>1238</v>
      </c>
      <c r="I291" s="37" t="s">
        <v>451</v>
      </c>
      <c r="J291" s="38" t="s">
        <v>1062</v>
      </c>
    </row>
    <row r="292" spans="1:10" ht="133" x14ac:dyDescent="0.2">
      <c r="A292" s="87" t="s">
        <v>179</v>
      </c>
      <c r="B292" s="37">
        <v>2025</v>
      </c>
      <c r="C292" s="38" t="s">
        <v>1239</v>
      </c>
      <c r="D292" s="38" t="s">
        <v>1240</v>
      </c>
      <c r="E292" s="38" t="s">
        <v>1194</v>
      </c>
      <c r="F292" s="38" t="s">
        <v>1061</v>
      </c>
      <c r="G292" s="37"/>
      <c r="H292" s="38" t="s">
        <v>1241</v>
      </c>
      <c r="I292" s="37" t="s">
        <v>451</v>
      </c>
      <c r="J292" s="38" t="s">
        <v>1062</v>
      </c>
    </row>
    <row r="293" spans="1:10" ht="133" x14ac:dyDescent="0.2">
      <c r="A293" s="87" t="s">
        <v>179</v>
      </c>
      <c r="B293" s="37">
        <v>2025</v>
      </c>
      <c r="C293" s="38" t="s">
        <v>1242</v>
      </c>
      <c r="D293" s="38" t="s">
        <v>1243</v>
      </c>
      <c r="E293" s="38" t="s">
        <v>1194</v>
      </c>
      <c r="F293" s="38" t="s">
        <v>1061</v>
      </c>
      <c r="G293" s="37"/>
      <c r="H293" s="38" t="s">
        <v>1244</v>
      </c>
      <c r="I293" s="37" t="s">
        <v>451</v>
      </c>
      <c r="J293" s="38" t="s">
        <v>1062</v>
      </c>
    </row>
    <row r="294" spans="1:10" ht="114" x14ac:dyDescent="0.2">
      <c r="A294" s="87" t="s">
        <v>188</v>
      </c>
      <c r="B294" s="37">
        <v>2025</v>
      </c>
      <c r="C294" s="38" t="s">
        <v>1245</v>
      </c>
      <c r="D294" s="38" t="s">
        <v>1246</v>
      </c>
      <c r="E294" s="38" t="s">
        <v>1194</v>
      </c>
      <c r="F294" s="38" t="s">
        <v>1061</v>
      </c>
      <c r="G294" s="37"/>
      <c r="H294" s="38" t="s">
        <v>483</v>
      </c>
      <c r="I294" s="37" t="s">
        <v>451</v>
      </c>
      <c r="J294" s="38" t="s">
        <v>1062</v>
      </c>
    </row>
    <row r="295" spans="1:10" ht="95" x14ac:dyDescent="0.2">
      <c r="A295" s="87" t="s">
        <v>188</v>
      </c>
      <c r="B295" s="37">
        <v>2025</v>
      </c>
      <c r="C295" s="38" t="s">
        <v>1247</v>
      </c>
      <c r="D295" s="38" t="s">
        <v>1248</v>
      </c>
      <c r="E295" s="38" t="s">
        <v>1194</v>
      </c>
      <c r="F295" s="38" t="s">
        <v>1061</v>
      </c>
      <c r="G295" s="37"/>
      <c r="H295" s="38" t="s">
        <v>1249</v>
      </c>
      <c r="I295" s="37" t="s">
        <v>451</v>
      </c>
      <c r="J295" s="38" t="s">
        <v>1062</v>
      </c>
    </row>
    <row r="296" spans="1:10" ht="190" x14ac:dyDescent="0.2">
      <c r="A296" s="87" t="s">
        <v>198</v>
      </c>
      <c r="B296" s="37">
        <v>2026</v>
      </c>
      <c r="C296" s="38" t="s">
        <v>1250</v>
      </c>
      <c r="D296" s="38" t="s">
        <v>1251</v>
      </c>
      <c r="E296" s="38" t="s">
        <v>1194</v>
      </c>
      <c r="F296" s="38" t="s">
        <v>1061</v>
      </c>
      <c r="G296" s="37"/>
      <c r="H296" s="38" t="s">
        <v>1252</v>
      </c>
      <c r="I296" s="37" t="s">
        <v>451</v>
      </c>
      <c r="J296" s="38" t="s">
        <v>1062</v>
      </c>
    </row>
    <row r="297" spans="1:10" ht="133" x14ac:dyDescent="0.2">
      <c r="A297" s="87" t="s">
        <v>198</v>
      </c>
      <c r="B297" s="37">
        <v>2026</v>
      </c>
      <c r="C297" s="38" t="s">
        <v>1253</v>
      </c>
      <c r="D297" s="38" t="s">
        <v>1254</v>
      </c>
      <c r="E297" s="38" t="s">
        <v>1194</v>
      </c>
      <c r="F297" s="38" t="s">
        <v>1061</v>
      </c>
      <c r="G297" s="37"/>
      <c r="H297" s="38" t="s">
        <v>1255</v>
      </c>
      <c r="I297" s="37" t="s">
        <v>659</v>
      </c>
      <c r="J297" s="38" t="s">
        <v>1062</v>
      </c>
    </row>
    <row r="298" spans="1:10" ht="190" x14ac:dyDescent="0.2">
      <c r="A298" s="87" t="s">
        <v>208</v>
      </c>
      <c r="B298" s="37">
        <v>2026</v>
      </c>
      <c r="C298" s="38" t="s">
        <v>1256</v>
      </c>
      <c r="D298" s="38" t="s">
        <v>1257</v>
      </c>
      <c r="E298" s="38" t="s">
        <v>1194</v>
      </c>
      <c r="F298" s="38" t="s">
        <v>1061</v>
      </c>
      <c r="G298" s="37"/>
      <c r="H298" s="38" t="s">
        <v>1258</v>
      </c>
      <c r="I298" s="37" t="s">
        <v>451</v>
      </c>
      <c r="J298" s="38" t="s">
        <v>1062</v>
      </c>
    </row>
    <row r="299" spans="1:10" ht="152" x14ac:dyDescent="0.2">
      <c r="A299" s="87" t="s">
        <v>208</v>
      </c>
      <c r="B299" s="37">
        <v>2026</v>
      </c>
      <c r="C299" s="38" t="s">
        <v>1259</v>
      </c>
      <c r="D299" s="38" t="s">
        <v>1260</v>
      </c>
      <c r="E299" s="38" t="s">
        <v>1194</v>
      </c>
      <c r="F299" s="38" t="s">
        <v>1061</v>
      </c>
      <c r="G299" s="37"/>
      <c r="H299" s="38" t="s">
        <v>1261</v>
      </c>
      <c r="I299" s="37" t="s">
        <v>659</v>
      </c>
      <c r="J299" s="38" t="s">
        <v>1062</v>
      </c>
    </row>
    <row r="300" spans="1:10" ht="95" x14ac:dyDescent="0.2">
      <c r="A300" s="87" t="s">
        <v>218</v>
      </c>
      <c r="B300" s="37">
        <v>2026</v>
      </c>
      <c r="C300" s="38" t="s">
        <v>1262</v>
      </c>
      <c r="D300" s="38" t="s">
        <v>1263</v>
      </c>
      <c r="E300" s="38" t="s">
        <v>1194</v>
      </c>
      <c r="F300" s="38" t="s">
        <v>1061</v>
      </c>
      <c r="G300" s="37"/>
      <c r="H300" s="38" t="s">
        <v>1264</v>
      </c>
      <c r="I300" s="37" t="s">
        <v>451</v>
      </c>
      <c r="J300" s="38" t="s">
        <v>1062</v>
      </c>
    </row>
    <row r="301" spans="1:10" ht="76" x14ac:dyDescent="0.2">
      <c r="A301" s="87" t="s">
        <v>218</v>
      </c>
      <c r="B301" s="37">
        <v>2026</v>
      </c>
      <c r="C301" s="38" t="s">
        <v>1265</v>
      </c>
      <c r="D301" s="38" t="s">
        <v>1266</v>
      </c>
      <c r="E301" s="38" t="s">
        <v>1194</v>
      </c>
      <c r="F301" s="38" t="s">
        <v>1061</v>
      </c>
      <c r="G301" s="37"/>
      <c r="H301" s="38" t="s">
        <v>1267</v>
      </c>
      <c r="I301" s="37" t="s">
        <v>659</v>
      </c>
      <c r="J301" s="38" t="s">
        <v>1062</v>
      </c>
    </row>
    <row r="302" spans="1:10" ht="76" x14ac:dyDescent="0.2">
      <c r="A302" s="87" t="s">
        <v>227</v>
      </c>
      <c r="B302" s="37">
        <v>2026</v>
      </c>
      <c r="C302" s="38" t="s">
        <v>1268</v>
      </c>
      <c r="D302" s="38" t="s">
        <v>1269</v>
      </c>
      <c r="E302" s="38" t="s">
        <v>1194</v>
      </c>
      <c r="F302" s="38" t="s">
        <v>1061</v>
      </c>
      <c r="G302" s="37"/>
      <c r="H302" s="38" t="s">
        <v>1270</v>
      </c>
      <c r="I302" s="37" t="s">
        <v>451</v>
      </c>
      <c r="J302" s="38" t="s">
        <v>1062</v>
      </c>
    </row>
    <row r="303" spans="1:10" ht="133" x14ac:dyDescent="0.2">
      <c r="A303" s="87" t="s">
        <v>227</v>
      </c>
      <c r="B303" s="37">
        <v>2026</v>
      </c>
      <c r="C303" s="38" t="s">
        <v>1271</v>
      </c>
      <c r="D303" s="38" t="s">
        <v>1272</v>
      </c>
      <c r="E303" s="38" t="s">
        <v>1194</v>
      </c>
      <c r="F303" s="38" t="s">
        <v>1061</v>
      </c>
      <c r="G303" s="37"/>
      <c r="H303" s="38" t="s">
        <v>1011</v>
      </c>
      <c r="I303" s="37" t="s">
        <v>451</v>
      </c>
      <c r="J303" s="38" t="s">
        <v>1062</v>
      </c>
    </row>
    <row r="304" spans="1:10" ht="247" x14ac:dyDescent="0.2">
      <c r="A304" s="87" t="s">
        <v>227</v>
      </c>
      <c r="B304" s="37">
        <v>2026</v>
      </c>
      <c r="C304" s="38" t="s">
        <v>1273</v>
      </c>
      <c r="D304" s="38" t="s">
        <v>1274</v>
      </c>
      <c r="E304" s="38" t="s">
        <v>1194</v>
      </c>
      <c r="F304" s="38" t="s">
        <v>1061</v>
      </c>
      <c r="G304" s="37"/>
      <c r="H304" s="38" t="s">
        <v>1275</v>
      </c>
      <c r="I304" s="37" t="s">
        <v>659</v>
      </c>
      <c r="J304" s="38" t="s">
        <v>1062</v>
      </c>
    </row>
    <row r="305" spans="1:10" ht="152" x14ac:dyDescent="0.2">
      <c r="A305" s="87" t="s">
        <v>237</v>
      </c>
      <c r="B305" s="37">
        <v>2025</v>
      </c>
      <c r="C305" s="38" t="s">
        <v>1276</v>
      </c>
      <c r="D305" s="38" t="s">
        <v>1277</v>
      </c>
      <c r="E305" s="38" t="s">
        <v>1194</v>
      </c>
      <c r="F305" s="38" t="s">
        <v>1061</v>
      </c>
      <c r="G305" s="37"/>
      <c r="H305" s="38" t="s">
        <v>1278</v>
      </c>
      <c r="I305" s="37" t="s">
        <v>451</v>
      </c>
      <c r="J305" s="38" t="s">
        <v>1062</v>
      </c>
    </row>
    <row r="306" spans="1:10" ht="95" x14ac:dyDescent="0.2">
      <c r="A306" s="87" t="s">
        <v>237</v>
      </c>
      <c r="B306" s="37">
        <v>2025</v>
      </c>
      <c r="C306" s="38" t="s">
        <v>1279</v>
      </c>
      <c r="D306" s="38" t="s">
        <v>1280</v>
      </c>
      <c r="E306" s="38" t="s">
        <v>1194</v>
      </c>
      <c r="F306" s="38" t="s">
        <v>1061</v>
      </c>
      <c r="G306" s="37"/>
      <c r="H306" s="38" t="s">
        <v>561</v>
      </c>
      <c r="I306" s="37" t="s">
        <v>451</v>
      </c>
      <c r="J306" s="38" t="s">
        <v>1062</v>
      </c>
    </row>
    <row r="307" spans="1:10" ht="76" x14ac:dyDescent="0.2">
      <c r="A307" s="87" t="s">
        <v>247</v>
      </c>
      <c r="B307" s="37">
        <v>2026</v>
      </c>
      <c r="C307" s="38" t="s">
        <v>1281</v>
      </c>
      <c r="D307" s="38" t="s">
        <v>1282</v>
      </c>
      <c r="E307" s="38" t="s">
        <v>1194</v>
      </c>
      <c r="F307" s="38" t="s">
        <v>1061</v>
      </c>
      <c r="G307" s="37"/>
      <c r="H307" s="38" t="s">
        <v>1283</v>
      </c>
      <c r="I307" s="37" t="s">
        <v>451</v>
      </c>
      <c r="J307" s="38" t="s">
        <v>1062</v>
      </c>
    </row>
    <row r="308" spans="1:10" ht="114" x14ac:dyDescent="0.2">
      <c r="A308" s="87" t="s">
        <v>247</v>
      </c>
      <c r="B308" s="37">
        <v>2026</v>
      </c>
      <c r="C308" s="38" t="s">
        <v>1284</v>
      </c>
      <c r="D308" s="38" t="s">
        <v>1285</v>
      </c>
      <c r="E308" s="38" t="s">
        <v>1194</v>
      </c>
      <c r="F308" s="38" t="s">
        <v>1061</v>
      </c>
      <c r="G308" s="37"/>
      <c r="H308" s="38" t="s">
        <v>638</v>
      </c>
      <c r="I308" s="37" t="s">
        <v>451</v>
      </c>
      <c r="J308" s="38" t="s">
        <v>1062</v>
      </c>
    </row>
    <row r="309" spans="1:10" ht="76" x14ac:dyDescent="0.2">
      <c r="A309" s="87" t="s">
        <v>247</v>
      </c>
      <c r="B309" s="37">
        <v>2026</v>
      </c>
      <c r="C309" s="38" t="s">
        <v>1286</v>
      </c>
      <c r="D309" s="38" t="s">
        <v>1287</v>
      </c>
      <c r="E309" s="38" t="s">
        <v>1194</v>
      </c>
      <c r="F309" s="38" t="s">
        <v>1061</v>
      </c>
      <c r="G309" s="37"/>
      <c r="H309" s="38" t="s">
        <v>638</v>
      </c>
      <c r="I309" s="37" t="s">
        <v>451</v>
      </c>
      <c r="J309" s="38" t="s">
        <v>1062</v>
      </c>
    </row>
    <row r="310" spans="1:10" ht="95" x14ac:dyDescent="0.2">
      <c r="A310" s="87" t="s">
        <v>257</v>
      </c>
      <c r="B310" s="37">
        <v>2025</v>
      </c>
      <c r="C310" s="38" t="s">
        <v>1288</v>
      </c>
      <c r="D310" s="38" t="s">
        <v>1289</v>
      </c>
      <c r="E310" s="38" t="s">
        <v>1194</v>
      </c>
      <c r="F310" s="38" t="s">
        <v>1061</v>
      </c>
      <c r="G310" s="37"/>
      <c r="H310" s="38" t="s">
        <v>1290</v>
      </c>
      <c r="I310" s="37" t="s">
        <v>451</v>
      </c>
      <c r="J310" s="38" t="s">
        <v>1062</v>
      </c>
    </row>
    <row r="311" spans="1:10" ht="76" x14ac:dyDescent="0.2">
      <c r="A311" s="87" t="s">
        <v>257</v>
      </c>
      <c r="B311" s="37">
        <v>2025</v>
      </c>
      <c r="C311" s="38" t="s">
        <v>1291</v>
      </c>
      <c r="D311" s="38" t="s">
        <v>1292</v>
      </c>
      <c r="E311" s="38" t="s">
        <v>1194</v>
      </c>
      <c r="F311" s="38" t="s">
        <v>1061</v>
      </c>
      <c r="G311" s="37"/>
      <c r="H311" s="38" t="s">
        <v>1189</v>
      </c>
      <c r="I311" s="37" t="s">
        <v>451</v>
      </c>
      <c r="J311" s="38" t="s">
        <v>1062</v>
      </c>
    </row>
    <row r="312" spans="1:10" x14ac:dyDescent="0.2">
      <c r="A312" s="39"/>
      <c r="B312" s="39"/>
      <c r="C312" s="39"/>
      <c r="E312" s="39"/>
      <c r="F312" s="39"/>
      <c r="G312" s="39"/>
      <c r="H312" s="39"/>
      <c r="I312" s="39"/>
      <c r="J312" s="39"/>
    </row>
    <row r="313" spans="1:10" ht="76" x14ac:dyDescent="0.2">
      <c r="A313" s="87" t="s">
        <v>54</v>
      </c>
      <c r="B313" s="37">
        <v>2025</v>
      </c>
      <c r="C313" s="38" t="s">
        <v>1293</v>
      </c>
      <c r="D313" s="38" t="s">
        <v>1294</v>
      </c>
      <c r="E313" s="38" t="s">
        <v>1295</v>
      </c>
      <c r="F313" s="38" t="s">
        <v>1061</v>
      </c>
      <c r="G313" s="37"/>
      <c r="H313" s="38" t="s">
        <v>492</v>
      </c>
      <c r="I313" s="37" t="s">
        <v>659</v>
      </c>
      <c r="J313" s="38" t="s">
        <v>1062</v>
      </c>
    </row>
    <row r="314" spans="1:10" ht="76" x14ac:dyDescent="0.2">
      <c r="A314" s="87" t="s">
        <v>44</v>
      </c>
      <c r="B314" s="37">
        <v>2024</v>
      </c>
      <c r="C314" s="38" t="s">
        <v>1296</v>
      </c>
      <c r="D314" s="38" t="s">
        <v>1297</v>
      </c>
      <c r="E314" s="38" t="s">
        <v>1295</v>
      </c>
      <c r="F314" s="38" t="s">
        <v>1061</v>
      </c>
      <c r="G314" s="37"/>
      <c r="H314" s="38" t="s">
        <v>492</v>
      </c>
      <c r="I314" s="37" t="s">
        <v>659</v>
      </c>
      <c r="J314" s="38" t="s">
        <v>1062</v>
      </c>
    </row>
    <row r="315" spans="1:10" ht="76" x14ac:dyDescent="0.2">
      <c r="A315" s="87" t="s">
        <v>63</v>
      </c>
      <c r="B315" s="37">
        <v>2025</v>
      </c>
      <c r="C315" s="38" t="s">
        <v>1298</v>
      </c>
      <c r="D315" s="38" t="s">
        <v>1299</v>
      </c>
      <c r="E315" s="38" t="s">
        <v>1295</v>
      </c>
      <c r="F315" s="38" t="s">
        <v>1061</v>
      </c>
      <c r="G315" s="37"/>
      <c r="H315" s="38" t="s">
        <v>1084</v>
      </c>
      <c r="I315" s="37" t="s">
        <v>451</v>
      </c>
      <c r="J315" s="38" t="s">
        <v>1062</v>
      </c>
    </row>
    <row r="316" spans="1:10" ht="95" x14ac:dyDescent="0.2">
      <c r="A316" s="87" t="s">
        <v>73</v>
      </c>
      <c r="B316" s="37">
        <v>2024</v>
      </c>
      <c r="C316" s="38" t="s">
        <v>1300</v>
      </c>
      <c r="D316" s="38" t="s">
        <v>1301</v>
      </c>
      <c r="E316" s="38" t="s">
        <v>1295</v>
      </c>
      <c r="F316" s="38" t="s">
        <v>1061</v>
      </c>
      <c r="G316" s="37"/>
      <c r="H316" s="38" t="s">
        <v>1302</v>
      </c>
      <c r="I316" s="37" t="s">
        <v>451</v>
      </c>
      <c r="J316" s="38" t="s">
        <v>1062</v>
      </c>
    </row>
    <row r="317" spans="1:10" ht="57" x14ac:dyDescent="0.2">
      <c r="A317" s="87" t="s">
        <v>73</v>
      </c>
      <c r="B317" s="37">
        <v>2024</v>
      </c>
      <c r="C317" s="38" t="s">
        <v>1303</v>
      </c>
      <c r="D317" s="38" t="s">
        <v>1304</v>
      </c>
      <c r="E317" s="38" t="s">
        <v>1295</v>
      </c>
      <c r="F317" s="38" t="s">
        <v>1061</v>
      </c>
      <c r="G317" s="37"/>
      <c r="H317" s="38" t="s">
        <v>1305</v>
      </c>
      <c r="I317" s="37" t="s">
        <v>451</v>
      </c>
      <c r="J317" s="38" t="s">
        <v>1062</v>
      </c>
    </row>
    <row r="318" spans="1:10" ht="114" x14ac:dyDescent="0.2">
      <c r="A318" s="87" t="s">
        <v>73</v>
      </c>
      <c r="B318" s="37">
        <v>2024</v>
      </c>
      <c r="C318" s="38" t="s">
        <v>1306</v>
      </c>
      <c r="D318" s="38" t="s">
        <v>1307</v>
      </c>
      <c r="E318" s="38" t="s">
        <v>1295</v>
      </c>
      <c r="F318" s="38" t="s">
        <v>1061</v>
      </c>
      <c r="G318" s="37"/>
      <c r="H318" s="38" t="s">
        <v>1308</v>
      </c>
      <c r="I318" s="37" t="s">
        <v>451</v>
      </c>
      <c r="J318" s="38" t="s">
        <v>1062</v>
      </c>
    </row>
    <row r="319" spans="1:10" ht="95" x14ac:dyDescent="0.2">
      <c r="A319" s="87" t="s">
        <v>83</v>
      </c>
      <c r="B319" s="37">
        <v>2025</v>
      </c>
      <c r="C319" s="38" t="s">
        <v>1309</v>
      </c>
      <c r="D319" s="38" t="s">
        <v>1310</v>
      </c>
      <c r="E319" s="38" t="s">
        <v>1295</v>
      </c>
      <c r="F319" s="38" t="s">
        <v>1061</v>
      </c>
      <c r="G319" s="37"/>
      <c r="H319" s="38" t="s">
        <v>1006</v>
      </c>
      <c r="I319" s="37" t="s">
        <v>451</v>
      </c>
      <c r="J319" s="38" t="s">
        <v>1062</v>
      </c>
    </row>
    <row r="320" spans="1:10" ht="95" x14ac:dyDescent="0.2">
      <c r="A320" s="87" t="s">
        <v>93</v>
      </c>
      <c r="B320" s="37">
        <v>2025</v>
      </c>
      <c r="C320" s="38" t="s">
        <v>1311</v>
      </c>
      <c r="D320" s="38" t="s">
        <v>1312</v>
      </c>
      <c r="E320" s="38" t="s">
        <v>1295</v>
      </c>
      <c r="F320" s="38" t="s">
        <v>1061</v>
      </c>
      <c r="G320" s="37"/>
      <c r="H320" s="38" t="s">
        <v>1313</v>
      </c>
      <c r="I320" s="37" t="s">
        <v>451</v>
      </c>
      <c r="J320" s="38" t="s">
        <v>1062</v>
      </c>
    </row>
    <row r="321" spans="1:10" ht="95" x14ac:dyDescent="0.2">
      <c r="A321" s="87" t="s">
        <v>103</v>
      </c>
      <c r="B321" s="37">
        <v>2024</v>
      </c>
      <c r="C321" s="38" t="s">
        <v>1311</v>
      </c>
      <c r="D321" s="38" t="s">
        <v>1314</v>
      </c>
      <c r="E321" s="38" t="s">
        <v>1295</v>
      </c>
      <c r="F321" s="38" t="s">
        <v>1061</v>
      </c>
      <c r="G321" s="37"/>
      <c r="H321" s="38" t="s">
        <v>1212</v>
      </c>
      <c r="I321" s="37" t="s">
        <v>451</v>
      </c>
      <c r="J321" s="38" t="s">
        <v>1062</v>
      </c>
    </row>
    <row r="322" spans="1:10" ht="152" x14ac:dyDescent="0.2">
      <c r="A322" s="87" t="s">
        <v>103</v>
      </c>
      <c r="B322" s="37">
        <v>2024</v>
      </c>
      <c r="C322" s="38" t="s">
        <v>1315</v>
      </c>
      <c r="D322" s="38" t="s">
        <v>1316</v>
      </c>
      <c r="E322" s="38" t="s">
        <v>1295</v>
      </c>
      <c r="F322" s="38" t="s">
        <v>1061</v>
      </c>
      <c r="G322" s="37"/>
      <c r="H322" s="38" t="s">
        <v>578</v>
      </c>
      <c r="I322" s="37" t="s">
        <v>451</v>
      </c>
      <c r="J322" s="38" t="s">
        <v>1062</v>
      </c>
    </row>
    <row r="323" spans="1:10" ht="95" x14ac:dyDescent="0.2">
      <c r="A323" s="87" t="s">
        <v>113</v>
      </c>
      <c r="B323" s="37">
        <v>2024</v>
      </c>
      <c r="C323" s="38" t="s">
        <v>1317</v>
      </c>
      <c r="D323" s="38" t="s">
        <v>1318</v>
      </c>
      <c r="E323" s="38" t="s">
        <v>1295</v>
      </c>
      <c r="F323" s="38" t="s">
        <v>1061</v>
      </c>
      <c r="G323" s="37"/>
      <c r="H323" s="38" t="s">
        <v>741</v>
      </c>
      <c r="I323" s="37" t="s">
        <v>451</v>
      </c>
      <c r="J323" s="38" t="s">
        <v>1062</v>
      </c>
    </row>
    <row r="324" spans="1:10" ht="95" x14ac:dyDescent="0.2">
      <c r="A324" s="87" t="s">
        <v>122</v>
      </c>
      <c r="B324" s="37">
        <v>2024</v>
      </c>
      <c r="C324" s="38" t="s">
        <v>1319</v>
      </c>
      <c r="D324" s="38" t="s">
        <v>1320</v>
      </c>
      <c r="E324" s="38" t="s">
        <v>1295</v>
      </c>
      <c r="F324" s="38" t="s">
        <v>1061</v>
      </c>
      <c r="G324" s="37"/>
      <c r="H324" s="38" t="s">
        <v>483</v>
      </c>
      <c r="I324" s="37" t="s">
        <v>451</v>
      </c>
      <c r="J324" s="38" t="s">
        <v>1062</v>
      </c>
    </row>
    <row r="325" spans="1:10" ht="57" x14ac:dyDescent="0.2">
      <c r="A325" s="87" t="s">
        <v>130</v>
      </c>
      <c r="B325" s="37">
        <v>2024</v>
      </c>
      <c r="C325" s="38" t="s">
        <v>1321</v>
      </c>
      <c r="D325" s="38" t="s">
        <v>1322</v>
      </c>
      <c r="E325" s="38" t="s">
        <v>1295</v>
      </c>
      <c r="F325" s="38" t="s">
        <v>1061</v>
      </c>
      <c r="G325" s="37"/>
      <c r="H325" s="38" t="s">
        <v>478</v>
      </c>
      <c r="I325" s="37" t="s">
        <v>659</v>
      </c>
      <c r="J325" s="38" t="s">
        <v>1062</v>
      </c>
    </row>
    <row r="326" spans="1:10" ht="76" x14ac:dyDescent="0.2">
      <c r="A326" s="87" t="s">
        <v>139</v>
      </c>
      <c r="B326" s="37">
        <v>2023</v>
      </c>
      <c r="C326" s="38" t="s">
        <v>1323</v>
      </c>
      <c r="D326" s="38" t="s">
        <v>1324</v>
      </c>
      <c r="E326" s="38" t="s">
        <v>1295</v>
      </c>
      <c r="F326" s="38" t="s">
        <v>1061</v>
      </c>
      <c r="G326" s="37"/>
      <c r="H326" s="38" t="s">
        <v>492</v>
      </c>
      <c r="I326" s="37" t="s">
        <v>659</v>
      </c>
      <c r="J326" s="38" t="s">
        <v>1062</v>
      </c>
    </row>
    <row r="327" spans="1:10" ht="133" x14ac:dyDescent="0.2">
      <c r="A327" s="87" t="s">
        <v>149</v>
      </c>
      <c r="B327" s="37">
        <v>2020</v>
      </c>
      <c r="C327" s="38" t="s">
        <v>1325</v>
      </c>
      <c r="D327" s="38" t="s">
        <v>1326</v>
      </c>
      <c r="E327" s="38" t="s">
        <v>1295</v>
      </c>
      <c r="F327" s="38" t="s">
        <v>1061</v>
      </c>
      <c r="G327" s="37"/>
      <c r="H327" s="38" t="s">
        <v>598</v>
      </c>
      <c r="I327" s="37" t="s">
        <v>451</v>
      </c>
      <c r="J327" s="38" t="s">
        <v>1062</v>
      </c>
    </row>
    <row r="328" spans="1:10" ht="95" x14ac:dyDescent="0.2">
      <c r="A328" s="87" t="s">
        <v>149</v>
      </c>
      <c r="B328" s="37">
        <v>2020</v>
      </c>
      <c r="C328" s="38" t="s">
        <v>1327</v>
      </c>
      <c r="D328" s="38" t="s">
        <v>1328</v>
      </c>
      <c r="E328" s="38" t="s">
        <v>1295</v>
      </c>
      <c r="F328" s="38" t="s">
        <v>1061</v>
      </c>
      <c r="G328" s="37"/>
      <c r="H328" s="38" t="s">
        <v>598</v>
      </c>
      <c r="I328" s="37" t="s">
        <v>451</v>
      </c>
      <c r="J328" s="38" t="s">
        <v>1062</v>
      </c>
    </row>
    <row r="329" spans="1:10" ht="76" x14ac:dyDescent="0.2">
      <c r="A329" s="87" t="s">
        <v>149</v>
      </c>
      <c r="B329" s="37">
        <v>2020</v>
      </c>
      <c r="C329" s="38" t="s">
        <v>1329</v>
      </c>
      <c r="D329" s="38" t="s">
        <v>1330</v>
      </c>
      <c r="E329" s="38" t="s">
        <v>1295</v>
      </c>
      <c r="F329" s="38" t="s">
        <v>1061</v>
      </c>
      <c r="G329" s="37"/>
      <c r="H329" s="38" t="s">
        <v>1232</v>
      </c>
      <c r="I329" s="37" t="s">
        <v>451</v>
      </c>
      <c r="J329" s="38" t="s">
        <v>1062</v>
      </c>
    </row>
    <row r="330" spans="1:10" ht="57" x14ac:dyDescent="0.2">
      <c r="A330" s="87" t="s">
        <v>159</v>
      </c>
      <c r="B330" s="37">
        <v>2025</v>
      </c>
      <c r="C330" s="38" t="s">
        <v>1331</v>
      </c>
      <c r="D330" s="38" t="s">
        <v>1332</v>
      </c>
      <c r="E330" s="38" t="s">
        <v>1295</v>
      </c>
      <c r="F330" s="38" t="s">
        <v>1061</v>
      </c>
      <c r="G330" s="37"/>
      <c r="H330" s="38" t="s">
        <v>483</v>
      </c>
      <c r="I330" s="37" t="s">
        <v>659</v>
      </c>
      <c r="J330" s="38" t="s">
        <v>1062</v>
      </c>
    </row>
    <row r="331" spans="1:10" ht="133" x14ac:dyDescent="0.2">
      <c r="A331" s="87" t="s">
        <v>169</v>
      </c>
      <c r="B331" s="37">
        <v>2026</v>
      </c>
      <c r="C331" s="38" t="s">
        <v>1333</v>
      </c>
      <c r="D331" s="38" t="s">
        <v>1334</v>
      </c>
      <c r="E331" s="38" t="s">
        <v>1295</v>
      </c>
      <c r="F331" s="38" t="s">
        <v>1061</v>
      </c>
      <c r="G331" s="37"/>
      <c r="H331" s="38" t="s">
        <v>469</v>
      </c>
      <c r="I331" s="37" t="s">
        <v>451</v>
      </c>
      <c r="J331" s="38" t="s">
        <v>1062</v>
      </c>
    </row>
    <row r="332" spans="1:10" ht="133" x14ac:dyDescent="0.2">
      <c r="A332" s="87" t="s">
        <v>169</v>
      </c>
      <c r="B332" s="37">
        <v>2026</v>
      </c>
      <c r="C332" s="38" t="s">
        <v>1335</v>
      </c>
      <c r="D332" s="38" t="s">
        <v>1336</v>
      </c>
      <c r="E332" s="38" t="s">
        <v>1295</v>
      </c>
      <c r="F332" s="38" t="s">
        <v>1061</v>
      </c>
      <c r="G332" s="37"/>
      <c r="H332" s="38" t="s">
        <v>1337</v>
      </c>
      <c r="I332" s="37" t="s">
        <v>451</v>
      </c>
      <c r="J332" s="38" t="s">
        <v>1062</v>
      </c>
    </row>
    <row r="333" spans="1:10" ht="133" x14ac:dyDescent="0.2">
      <c r="A333" s="87" t="s">
        <v>179</v>
      </c>
      <c r="B333" s="37">
        <v>2025</v>
      </c>
      <c r="C333" s="38" t="s">
        <v>1338</v>
      </c>
      <c r="D333" s="38" t="s">
        <v>1339</v>
      </c>
      <c r="E333" s="38" t="s">
        <v>1295</v>
      </c>
      <c r="F333" s="38" t="s">
        <v>1061</v>
      </c>
      <c r="G333" s="37"/>
      <c r="H333" s="38" t="s">
        <v>1340</v>
      </c>
      <c r="I333" s="37" t="s">
        <v>451</v>
      </c>
      <c r="J333" s="38" t="s">
        <v>1062</v>
      </c>
    </row>
    <row r="334" spans="1:10" ht="171" x14ac:dyDescent="0.2">
      <c r="A334" s="87" t="s">
        <v>179</v>
      </c>
      <c r="B334" s="37">
        <v>2025</v>
      </c>
      <c r="C334" s="38" t="s">
        <v>1341</v>
      </c>
      <c r="D334" s="38" t="s">
        <v>1342</v>
      </c>
      <c r="E334" s="38" t="s">
        <v>1295</v>
      </c>
      <c r="F334" s="38" t="s">
        <v>1061</v>
      </c>
      <c r="G334" s="37"/>
      <c r="H334" s="38" t="s">
        <v>924</v>
      </c>
      <c r="I334" s="37" t="s">
        <v>451</v>
      </c>
      <c r="J334" s="38" t="s">
        <v>1062</v>
      </c>
    </row>
    <row r="335" spans="1:10" ht="171" x14ac:dyDescent="0.2">
      <c r="A335" s="87" t="s">
        <v>188</v>
      </c>
      <c r="B335" s="37">
        <v>2025</v>
      </c>
      <c r="C335" s="38" t="s">
        <v>1343</v>
      </c>
      <c r="D335" s="38" t="s">
        <v>1344</v>
      </c>
      <c r="E335" s="38" t="s">
        <v>1295</v>
      </c>
      <c r="F335" s="38" t="s">
        <v>1061</v>
      </c>
      <c r="G335" s="37"/>
      <c r="H335" s="38" t="s">
        <v>1345</v>
      </c>
      <c r="I335" s="37" t="s">
        <v>451</v>
      </c>
      <c r="J335" s="38" t="s">
        <v>1062</v>
      </c>
    </row>
    <row r="336" spans="1:10" ht="95" x14ac:dyDescent="0.2">
      <c r="A336" s="87" t="s">
        <v>188</v>
      </c>
      <c r="B336" s="37">
        <v>2025</v>
      </c>
      <c r="C336" s="38" t="s">
        <v>1346</v>
      </c>
      <c r="D336" s="38" t="s">
        <v>1347</v>
      </c>
      <c r="E336" s="38" t="s">
        <v>1295</v>
      </c>
      <c r="F336" s="38" t="s">
        <v>1061</v>
      </c>
      <c r="G336" s="37"/>
      <c r="H336" s="38" t="s">
        <v>1348</v>
      </c>
      <c r="I336" s="37" t="s">
        <v>451</v>
      </c>
      <c r="J336" s="38" t="s">
        <v>1062</v>
      </c>
    </row>
    <row r="337" spans="1:10" ht="247" x14ac:dyDescent="0.2">
      <c r="A337" s="87" t="s">
        <v>198</v>
      </c>
      <c r="B337" s="37">
        <v>2026</v>
      </c>
      <c r="C337" s="38" t="s">
        <v>1349</v>
      </c>
      <c r="D337" s="38" t="s">
        <v>1350</v>
      </c>
      <c r="E337" s="38" t="s">
        <v>1295</v>
      </c>
      <c r="F337" s="38" t="s">
        <v>1061</v>
      </c>
      <c r="G337" s="37"/>
      <c r="H337" s="38" t="s">
        <v>1351</v>
      </c>
      <c r="I337" s="37" t="s">
        <v>451</v>
      </c>
      <c r="J337" s="38" t="s">
        <v>1062</v>
      </c>
    </row>
    <row r="338" spans="1:10" ht="152" x14ac:dyDescent="0.2">
      <c r="A338" s="87" t="s">
        <v>198</v>
      </c>
      <c r="B338" s="37">
        <v>2026</v>
      </c>
      <c r="C338" s="38" t="s">
        <v>1352</v>
      </c>
      <c r="D338" s="38" t="s">
        <v>1353</v>
      </c>
      <c r="E338" s="38" t="s">
        <v>1295</v>
      </c>
      <c r="F338" s="38" t="s">
        <v>1061</v>
      </c>
      <c r="G338" s="37"/>
      <c r="H338" s="38" t="s">
        <v>1354</v>
      </c>
      <c r="I338" s="37" t="s">
        <v>451</v>
      </c>
      <c r="J338" s="38" t="s">
        <v>1062</v>
      </c>
    </row>
    <row r="339" spans="1:10" ht="133" x14ac:dyDescent="0.2">
      <c r="A339" s="87" t="s">
        <v>198</v>
      </c>
      <c r="B339" s="37">
        <v>2026</v>
      </c>
      <c r="C339" s="38" t="s">
        <v>1355</v>
      </c>
      <c r="D339" s="38" t="s">
        <v>1356</v>
      </c>
      <c r="E339" s="38" t="s">
        <v>1295</v>
      </c>
      <c r="F339" s="38" t="s">
        <v>1061</v>
      </c>
      <c r="G339" s="37"/>
      <c r="H339" s="38" t="s">
        <v>1357</v>
      </c>
      <c r="I339" s="37" t="s">
        <v>659</v>
      </c>
      <c r="J339" s="38" t="s">
        <v>1062</v>
      </c>
    </row>
    <row r="340" spans="1:10" ht="209" x14ac:dyDescent="0.2">
      <c r="A340" s="87" t="s">
        <v>208</v>
      </c>
      <c r="B340" s="37">
        <v>2026</v>
      </c>
      <c r="C340" s="38" t="s">
        <v>1358</v>
      </c>
      <c r="D340" s="38" t="s">
        <v>1359</v>
      </c>
      <c r="E340" s="38" t="s">
        <v>1295</v>
      </c>
      <c r="F340" s="38" t="s">
        <v>1061</v>
      </c>
      <c r="G340" s="37"/>
      <c r="H340" s="38" t="s">
        <v>1360</v>
      </c>
      <c r="I340" s="37" t="s">
        <v>451</v>
      </c>
      <c r="J340" s="38" t="s">
        <v>1062</v>
      </c>
    </row>
    <row r="341" spans="1:10" ht="247" x14ac:dyDescent="0.2">
      <c r="A341" s="87" t="s">
        <v>208</v>
      </c>
      <c r="B341" s="37">
        <v>2026</v>
      </c>
      <c r="C341" s="38" t="s">
        <v>1361</v>
      </c>
      <c r="D341" s="38" t="s">
        <v>1362</v>
      </c>
      <c r="E341" s="38" t="s">
        <v>1295</v>
      </c>
      <c r="F341" s="38" t="s">
        <v>1061</v>
      </c>
      <c r="G341" s="37"/>
      <c r="H341" s="38" t="s">
        <v>1363</v>
      </c>
      <c r="I341" s="37" t="s">
        <v>451</v>
      </c>
      <c r="J341" s="38" t="s">
        <v>1062</v>
      </c>
    </row>
    <row r="342" spans="1:10" ht="133" x14ac:dyDescent="0.2">
      <c r="A342" s="87" t="s">
        <v>208</v>
      </c>
      <c r="B342" s="37">
        <v>2026</v>
      </c>
      <c r="C342" s="38" t="s">
        <v>1364</v>
      </c>
      <c r="D342" s="38" t="s">
        <v>1365</v>
      </c>
      <c r="E342" s="38" t="s">
        <v>1295</v>
      </c>
      <c r="F342" s="38" t="s">
        <v>1061</v>
      </c>
      <c r="G342" s="37"/>
      <c r="H342" s="38" t="s">
        <v>1366</v>
      </c>
      <c r="I342" s="37" t="s">
        <v>659</v>
      </c>
      <c r="J342" s="38" t="s">
        <v>1062</v>
      </c>
    </row>
    <row r="343" spans="1:10" ht="95" x14ac:dyDescent="0.2">
      <c r="A343" s="87" t="s">
        <v>218</v>
      </c>
      <c r="B343" s="37">
        <v>2026</v>
      </c>
      <c r="C343" s="38" t="s">
        <v>1367</v>
      </c>
      <c r="D343" s="38" t="s">
        <v>1368</v>
      </c>
      <c r="E343" s="38" t="s">
        <v>1295</v>
      </c>
      <c r="F343" s="38" t="s">
        <v>1061</v>
      </c>
      <c r="G343" s="37"/>
      <c r="H343" s="38" t="s">
        <v>1369</v>
      </c>
      <c r="I343" s="37" t="s">
        <v>451</v>
      </c>
      <c r="J343" s="38" t="s">
        <v>1062</v>
      </c>
    </row>
    <row r="344" spans="1:10" ht="76" x14ac:dyDescent="0.2">
      <c r="A344" s="87" t="s">
        <v>218</v>
      </c>
      <c r="B344" s="37">
        <v>2026</v>
      </c>
      <c r="C344" s="38" t="s">
        <v>1370</v>
      </c>
      <c r="D344" s="38" t="s">
        <v>1371</v>
      </c>
      <c r="E344" s="38" t="s">
        <v>1295</v>
      </c>
      <c r="F344" s="38" t="s">
        <v>1061</v>
      </c>
      <c r="G344" s="37"/>
      <c r="H344" s="38" t="s">
        <v>1372</v>
      </c>
      <c r="I344" s="37" t="s">
        <v>451</v>
      </c>
      <c r="J344" s="38" t="s">
        <v>1062</v>
      </c>
    </row>
    <row r="345" spans="1:10" ht="114" x14ac:dyDescent="0.2">
      <c r="A345" s="87" t="s">
        <v>218</v>
      </c>
      <c r="B345" s="37">
        <v>2026</v>
      </c>
      <c r="C345" s="38" t="s">
        <v>1373</v>
      </c>
      <c r="D345" s="38" t="s">
        <v>1374</v>
      </c>
      <c r="E345" s="38" t="s">
        <v>1295</v>
      </c>
      <c r="F345" s="38" t="s">
        <v>1061</v>
      </c>
      <c r="G345" s="37"/>
      <c r="H345" s="38" t="s">
        <v>1375</v>
      </c>
      <c r="I345" s="37" t="s">
        <v>659</v>
      </c>
      <c r="J345" s="38" t="s">
        <v>1062</v>
      </c>
    </row>
    <row r="346" spans="1:10" ht="114" x14ac:dyDescent="0.2">
      <c r="A346" s="87" t="s">
        <v>227</v>
      </c>
      <c r="B346" s="37">
        <v>2026</v>
      </c>
      <c r="C346" s="38" t="s">
        <v>1376</v>
      </c>
      <c r="D346" s="38" t="s">
        <v>1377</v>
      </c>
      <c r="E346" s="38" t="s">
        <v>1295</v>
      </c>
      <c r="F346" s="38" t="s">
        <v>1061</v>
      </c>
      <c r="G346" s="37"/>
      <c r="H346" s="38" t="s">
        <v>1378</v>
      </c>
      <c r="I346" s="37" t="s">
        <v>451</v>
      </c>
      <c r="J346" s="38" t="s">
        <v>1062</v>
      </c>
    </row>
    <row r="347" spans="1:10" ht="76" x14ac:dyDescent="0.2">
      <c r="A347" s="87" t="s">
        <v>227</v>
      </c>
      <c r="B347" s="37">
        <v>2026</v>
      </c>
      <c r="C347" s="38" t="s">
        <v>1379</v>
      </c>
      <c r="D347" s="38" t="s">
        <v>1380</v>
      </c>
      <c r="E347" s="38" t="s">
        <v>1295</v>
      </c>
      <c r="F347" s="38" t="s">
        <v>1061</v>
      </c>
      <c r="G347" s="37"/>
      <c r="H347" s="38" t="s">
        <v>1381</v>
      </c>
      <c r="I347" s="37" t="s">
        <v>451</v>
      </c>
      <c r="J347" s="38" t="s">
        <v>1062</v>
      </c>
    </row>
    <row r="348" spans="1:10" ht="76" x14ac:dyDescent="0.2">
      <c r="A348" s="87" t="s">
        <v>227</v>
      </c>
      <c r="B348" s="37">
        <v>2026</v>
      </c>
      <c r="C348" s="38" t="s">
        <v>1382</v>
      </c>
      <c r="D348" s="38" t="s">
        <v>1383</v>
      </c>
      <c r="E348" s="38" t="s">
        <v>1295</v>
      </c>
      <c r="F348" s="38" t="s">
        <v>1061</v>
      </c>
      <c r="G348" s="37"/>
      <c r="H348" s="38" t="s">
        <v>1122</v>
      </c>
      <c r="I348" s="37" t="s">
        <v>659</v>
      </c>
      <c r="J348" s="38" t="s">
        <v>1062</v>
      </c>
    </row>
    <row r="349" spans="1:10" ht="76" x14ac:dyDescent="0.2">
      <c r="A349" s="87" t="s">
        <v>237</v>
      </c>
      <c r="B349" s="37">
        <v>2025</v>
      </c>
      <c r="C349" s="38" t="s">
        <v>1384</v>
      </c>
      <c r="D349" s="38" t="s">
        <v>1385</v>
      </c>
      <c r="E349" s="38" t="s">
        <v>1295</v>
      </c>
      <c r="F349" s="38" t="s">
        <v>1061</v>
      </c>
      <c r="G349" s="37"/>
      <c r="H349" s="38" t="s">
        <v>561</v>
      </c>
      <c r="I349" s="37" t="s">
        <v>451</v>
      </c>
      <c r="J349" s="38" t="s">
        <v>1062</v>
      </c>
    </row>
    <row r="350" spans="1:10" ht="114" x14ac:dyDescent="0.2">
      <c r="A350" s="87" t="s">
        <v>237</v>
      </c>
      <c r="B350" s="37">
        <v>2025</v>
      </c>
      <c r="C350" s="38" t="s">
        <v>1386</v>
      </c>
      <c r="D350" s="38" t="s">
        <v>1387</v>
      </c>
      <c r="E350" s="38" t="s">
        <v>1295</v>
      </c>
      <c r="F350" s="38" t="s">
        <v>1061</v>
      </c>
      <c r="G350" s="37"/>
      <c r="H350" s="38" t="s">
        <v>1388</v>
      </c>
      <c r="I350" s="37" t="s">
        <v>451</v>
      </c>
      <c r="J350" s="38" t="s">
        <v>1062</v>
      </c>
    </row>
    <row r="351" spans="1:10" ht="76" x14ac:dyDescent="0.2">
      <c r="A351" s="87" t="s">
        <v>237</v>
      </c>
      <c r="B351" s="37">
        <v>2025</v>
      </c>
      <c r="C351" s="38" t="s">
        <v>1389</v>
      </c>
      <c r="D351" s="38" t="s">
        <v>1390</v>
      </c>
      <c r="E351" s="38" t="s">
        <v>1295</v>
      </c>
      <c r="F351" s="38" t="s">
        <v>1061</v>
      </c>
      <c r="G351" s="37"/>
      <c r="H351" s="38" t="s">
        <v>492</v>
      </c>
      <c r="I351" s="37" t="s">
        <v>659</v>
      </c>
      <c r="J351" s="38" t="s">
        <v>1062</v>
      </c>
    </row>
    <row r="352" spans="1:10" ht="76" x14ac:dyDescent="0.2">
      <c r="A352" s="87" t="s">
        <v>247</v>
      </c>
      <c r="B352" s="37">
        <v>2026</v>
      </c>
      <c r="C352" s="38" t="s">
        <v>1391</v>
      </c>
      <c r="D352" s="38" t="s">
        <v>1392</v>
      </c>
      <c r="E352" s="38" t="s">
        <v>1295</v>
      </c>
      <c r="F352" s="38" t="s">
        <v>1061</v>
      </c>
      <c r="G352" s="37"/>
      <c r="H352" s="38" t="s">
        <v>1393</v>
      </c>
      <c r="I352" s="37" t="s">
        <v>451</v>
      </c>
      <c r="J352" s="38" t="s">
        <v>1062</v>
      </c>
    </row>
    <row r="353" spans="1:10" ht="190" x14ac:dyDescent="0.2">
      <c r="A353" s="87" t="s">
        <v>247</v>
      </c>
      <c r="B353" s="37">
        <v>2026</v>
      </c>
      <c r="C353" s="38" t="s">
        <v>1394</v>
      </c>
      <c r="D353" s="38" t="s">
        <v>1395</v>
      </c>
      <c r="E353" s="38" t="s">
        <v>1295</v>
      </c>
      <c r="F353" s="38" t="s">
        <v>1061</v>
      </c>
      <c r="G353" s="37"/>
      <c r="H353" s="38" t="s">
        <v>853</v>
      </c>
      <c r="I353" s="37" t="s">
        <v>659</v>
      </c>
      <c r="J353" s="38" t="s">
        <v>1062</v>
      </c>
    </row>
    <row r="354" spans="1:10" ht="95" x14ac:dyDescent="0.2">
      <c r="A354" s="87" t="s">
        <v>257</v>
      </c>
      <c r="B354" s="37">
        <v>2025</v>
      </c>
      <c r="C354" s="38" t="s">
        <v>1396</v>
      </c>
      <c r="D354" s="38" t="s">
        <v>1397</v>
      </c>
      <c r="E354" s="38" t="s">
        <v>1295</v>
      </c>
      <c r="F354" s="38" t="s">
        <v>1061</v>
      </c>
      <c r="G354" s="37"/>
      <c r="H354" s="38" t="s">
        <v>1189</v>
      </c>
      <c r="I354" s="37" t="s">
        <v>451</v>
      </c>
      <c r="J354" s="38" t="s">
        <v>1062</v>
      </c>
    </row>
    <row r="355" spans="1:10" ht="57" x14ac:dyDescent="0.2">
      <c r="A355" s="87" t="s">
        <v>257</v>
      </c>
      <c r="B355" s="37">
        <v>2025</v>
      </c>
      <c r="C355" s="38" t="s">
        <v>1398</v>
      </c>
      <c r="D355" s="38" t="s">
        <v>1399</v>
      </c>
      <c r="E355" s="38" t="s">
        <v>1295</v>
      </c>
      <c r="F355" s="38" t="s">
        <v>1061</v>
      </c>
      <c r="G355" s="37"/>
      <c r="H355" s="38" t="s">
        <v>492</v>
      </c>
      <c r="I355" s="37" t="s">
        <v>659</v>
      </c>
      <c r="J355" s="38" t="s">
        <v>1062</v>
      </c>
    </row>
    <row r="356" spans="1:10" x14ac:dyDescent="0.2">
      <c r="A356" s="39"/>
      <c r="B356" s="39"/>
      <c r="C356" s="39"/>
      <c r="E356" s="39"/>
      <c r="F356" s="39"/>
      <c r="G356" s="39"/>
      <c r="H356" s="39"/>
      <c r="I356" s="39"/>
      <c r="J356" s="39"/>
    </row>
    <row r="357" spans="1:10" ht="76" x14ac:dyDescent="0.2">
      <c r="A357" s="87" t="s">
        <v>44</v>
      </c>
      <c r="B357" s="37">
        <v>2024</v>
      </c>
      <c r="C357" s="38" t="s">
        <v>1400</v>
      </c>
      <c r="D357" s="38" t="s">
        <v>1401</v>
      </c>
      <c r="E357" s="38" t="s">
        <v>1402</v>
      </c>
      <c r="F357" s="38" t="s">
        <v>1403</v>
      </c>
      <c r="G357" s="37"/>
      <c r="H357" s="38" t="s">
        <v>543</v>
      </c>
      <c r="I357" s="37" t="s">
        <v>451</v>
      </c>
      <c r="J357" s="38" t="s">
        <v>1404</v>
      </c>
    </row>
    <row r="358" spans="1:10" ht="76" x14ac:dyDescent="0.2">
      <c r="A358" s="87" t="s">
        <v>44</v>
      </c>
      <c r="B358" s="37">
        <v>2024</v>
      </c>
      <c r="C358" s="38" t="s">
        <v>1405</v>
      </c>
      <c r="D358" s="38" t="s">
        <v>1406</v>
      </c>
      <c r="E358" s="38" t="s">
        <v>1402</v>
      </c>
      <c r="F358" s="38" t="s">
        <v>1403</v>
      </c>
      <c r="G358" s="37"/>
      <c r="H358" s="38" t="s">
        <v>1407</v>
      </c>
      <c r="I358" s="37" t="s">
        <v>451</v>
      </c>
      <c r="J358" s="38" t="s">
        <v>1404</v>
      </c>
    </row>
    <row r="359" spans="1:10" ht="76" x14ac:dyDescent="0.2">
      <c r="A359" s="87" t="s">
        <v>54</v>
      </c>
      <c r="B359" s="37">
        <v>2025</v>
      </c>
      <c r="C359" s="38" t="s">
        <v>1408</v>
      </c>
      <c r="D359" s="38" t="s">
        <v>1409</v>
      </c>
      <c r="E359" s="38" t="s">
        <v>1402</v>
      </c>
      <c r="F359" s="38" t="s">
        <v>1403</v>
      </c>
      <c r="G359" s="37"/>
      <c r="H359" s="38" t="s">
        <v>598</v>
      </c>
      <c r="I359" s="37" t="s">
        <v>451</v>
      </c>
      <c r="J359" s="38" t="s">
        <v>1404</v>
      </c>
    </row>
    <row r="360" spans="1:10" ht="114" x14ac:dyDescent="0.2">
      <c r="A360" s="87" t="s">
        <v>54</v>
      </c>
      <c r="B360" s="37">
        <v>2025</v>
      </c>
      <c r="C360" s="38" t="s">
        <v>1410</v>
      </c>
      <c r="D360" s="38" t="s">
        <v>1411</v>
      </c>
      <c r="E360" s="38" t="s">
        <v>1402</v>
      </c>
      <c r="F360" s="38" t="s">
        <v>1403</v>
      </c>
      <c r="G360" s="37"/>
      <c r="H360" s="38" t="s">
        <v>1412</v>
      </c>
      <c r="I360" s="37" t="s">
        <v>451</v>
      </c>
      <c r="J360" s="38" t="s">
        <v>1404</v>
      </c>
    </row>
    <row r="361" spans="1:10" ht="57" x14ac:dyDescent="0.2">
      <c r="A361" s="87" t="s">
        <v>54</v>
      </c>
      <c r="B361" s="37">
        <v>2025</v>
      </c>
      <c r="C361" s="38" t="s">
        <v>1413</v>
      </c>
      <c r="D361" s="38" t="s">
        <v>1414</v>
      </c>
      <c r="E361" s="38" t="s">
        <v>1402</v>
      </c>
      <c r="F361" s="38" t="s">
        <v>1403</v>
      </c>
      <c r="G361" s="37"/>
      <c r="H361" s="38" t="s">
        <v>1212</v>
      </c>
      <c r="I361" s="37" t="s">
        <v>451</v>
      </c>
      <c r="J361" s="38" t="s">
        <v>1404</v>
      </c>
    </row>
    <row r="362" spans="1:10" ht="76" x14ac:dyDescent="0.2">
      <c r="A362" s="87" t="s">
        <v>54</v>
      </c>
      <c r="B362" s="37">
        <v>2025</v>
      </c>
      <c r="C362" s="38" t="s">
        <v>1415</v>
      </c>
      <c r="D362" s="38" t="s">
        <v>1416</v>
      </c>
      <c r="E362" s="38" t="s">
        <v>1402</v>
      </c>
      <c r="F362" s="38" t="s">
        <v>1403</v>
      </c>
      <c r="G362" s="37"/>
      <c r="H362" s="38" t="s">
        <v>1417</v>
      </c>
      <c r="I362" s="37" t="s">
        <v>451</v>
      </c>
      <c r="J362" s="38" t="s">
        <v>1404</v>
      </c>
    </row>
    <row r="363" spans="1:10" ht="76" x14ac:dyDescent="0.2">
      <c r="A363" s="87" t="s">
        <v>63</v>
      </c>
      <c r="B363" s="37">
        <v>2025</v>
      </c>
      <c r="C363" s="38" t="s">
        <v>1418</v>
      </c>
      <c r="D363" s="38" t="s">
        <v>1419</v>
      </c>
      <c r="E363" s="38" t="s">
        <v>1402</v>
      </c>
      <c r="F363" s="38" t="s">
        <v>1403</v>
      </c>
      <c r="G363" s="37"/>
      <c r="H363" s="38" t="s">
        <v>997</v>
      </c>
      <c r="I363" s="37" t="s">
        <v>451</v>
      </c>
      <c r="J363" s="38" t="s">
        <v>1404</v>
      </c>
    </row>
    <row r="364" spans="1:10" ht="114" x14ac:dyDescent="0.2">
      <c r="A364" s="87" t="s">
        <v>63</v>
      </c>
      <c r="B364" s="37">
        <v>2025</v>
      </c>
      <c r="C364" s="38" t="s">
        <v>1420</v>
      </c>
      <c r="D364" s="38" t="s">
        <v>1421</v>
      </c>
      <c r="E364" s="38" t="s">
        <v>1402</v>
      </c>
      <c r="F364" s="38" t="s">
        <v>1403</v>
      </c>
      <c r="G364" s="37"/>
      <c r="H364" s="38" t="s">
        <v>1422</v>
      </c>
      <c r="I364" s="37" t="s">
        <v>451</v>
      </c>
      <c r="J364" s="38" t="s">
        <v>1404</v>
      </c>
    </row>
    <row r="365" spans="1:10" ht="190" x14ac:dyDescent="0.2">
      <c r="A365" s="87" t="s">
        <v>73</v>
      </c>
      <c r="B365" s="37">
        <v>2024</v>
      </c>
      <c r="C365" s="38" t="s">
        <v>1423</v>
      </c>
      <c r="D365" s="38" t="s">
        <v>1424</v>
      </c>
      <c r="E365" s="38" t="s">
        <v>1402</v>
      </c>
      <c r="F365" s="38" t="s">
        <v>1403</v>
      </c>
      <c r="G365" s="37"/>
      <c r="H365" s="38" t="s">
        <v>1425</v>
      </c>
      <c r="I365" s="37" t="s">
        <v>451</v>
      </c>
      <c r="J365" s="38" t="s">
        <v>1404</v>
      </c>
    </row>
    <row r="366" spans="1:10" ht="114" x14ac:dyDescent="0.2">
      <c r="A366" s="87" t="s">
        <v>73</v>
      </c>
      <c r="B366" s="37">
        <v>2024</v>
      </c>
      <c r="C366" s="38" t="s">
        <v>1426</v>
      </c>
      <c r="D366" s="38" t="s">
        <v>1427</v>
      </c>
      <c r="E366" s="38" t="s">
        <v>1402</v>
      </c>
      <c r="F366" s="38" t="s">
        <v>1403</v>
      </c>
      <c r="G366" s="37"/>
      <c r="H366" s="38" t="s">
        <v>1428</v>
      </c>
      <c r="I366" s="37" t="s">
        <v>451</v>
      </c>
      <c r="J366" s="38" t="s">
        <v>1404</v>
      </c>
    </row>
    <row r="367" spans="1:10" ht="95" x14ac:dyDescent="0.2">
      <c r="A367" s="87" t="s">
        <v>73</v>
      </c>
      <c r="B367" s="37">
        <v>2024</v>
      </c>
      <c r="C367" s="38" t="s">
        <v>1429</v>
      </c>
      <c r="D367" s="38" t="s">
        <v>1430</v>
      </c>
      <c r="E367" s="38" t="s">
        <v>1402</v>
      </c>
      <c r="F367" s="38" t="s">
        <v>1403</v>
      </c>
      <c r="G367" s="37"/>
      <c r="H367" s="38" t="s">
        <v>1431</v>
      </c>
      <c r="I367" s="37" t="s">
        <v>451</v>
      </c>
      <c r="J367" s="38" t="s">
        <v>1404</v>
      </c>
    </row>
    <row r="368" spans="1:10" ht="76" x14ac:dyDescent="0.2">
      <c r="A368" s="87" t="s">
        <v>73</v>
      </c>
      <c r="B368" s="37">
        <v>2024</v>
      </c>
      <c r="C368" s="38" t="s">
        <v>1432</v>
      </c>
      <c r="D368" s="38" t="s">
        <v>1433</v>
      </c>
      <c r="E368" s="38" t="s">
        <v>1402</v>
      </c>
      <c r="F368" s="38" t="s">
        <v>1403</v>
      </c>
      <c r="G368" s="37"/>
      <c r="H368" s="38" t="s">
        <v>1434</v>
      </c>
      <c r="I368" s="37" t="s">
        <v>451</v>
      </c>
      <c r="J368" s="38" t="s">
        <v>1404</v>
      </c>
    </row>
    <row r="369" spans="1:10" ht="76" x14ac:dyDescent="0.2">
      <c r="A369" s="87" t="s">
        <v>83</v>
      </c>
      <c r="B369" s="37">
        <v>2025</v>
      </c>
      <c r="C369" s="38" t="s">
        <v>1435</v>
      </c>
      <c r="D369" s="38" t="s">
        <v>1436</v>
      </c>
      <c r="E369" s="38" t="s">
        <v>1402</v>
      </c>
      <c r="F369" s="38" t="s">
        <v>1403</v>
      </c>
      <c r="G369" s="37"/>
      <c r="H369" s="38" t="s">
        <v>1205</v>
      </c>
      <c r="I369" s="37" t="s">
        <v>451</v>
      </c>
      <c r="J369" s="38" t="s">
        <v>1404</v>
      </c>
    </row>
    <row r="370" spans="1:10" ht="95" x14ac:dyDescent="0.2">
      <c r="A370" s="87" t="s">
        <v>83</v>
      </c>
      <c r="B370" s="37">
        <v>2025</v>
      </c>
      <c r="C370" s="38" t="s">
        <v>1437</v>
      </c>
      <c r="D370" s="38" t="s">
        <v>1438</v>
      </c>
      <c r="E370" s="38" t="s">
        <v>1402</v>
      </c>
      <c r="F370" s="38" t="s">
        <v>1403</v>
      </c>
      <c r="G370" s="37"/>
      <c r="H370" s="38" t="s">
        <v>1205</v>
      </c>
      <c r="I370" s="37" t="s">
        <v>451</v>
      </c>
      <c r="J370" s="38" t="s">
        <v>1404</v>
      </c>
    </row>
    <row r="371" spans="1:10" ht="171" x14ac:dyDescent="0.2">
      <c r="A371" s="87" t="s">
        <v>83</v>
      </c>
      <c r="B371" s="37">
        <v>2025</v>
      </c>
      <c r="C371" s="38" t="s">
        <v>1439</v>
      </c>
      <c r="D371" s="38" t="s">
        <v>1440</v>
      </c>
      <c r="E371" s="38" t="s">
        <v>1402</v>
      </c>
      <c r="F371" s="38" t="s">
        <v>1403</v>
      </c>
      <c r="G371" s="37"/>
      <c r="H371" s="38" t="s">
        <v>1441</v>
      </c>
      <c r="I371" s="37" t="s">
        <v>451</v>
      </c>
      <c r="J371" s="38" t="s">
        <v>1404</v>
      </c>
    </row>
    <row r="372" spans="1:10" ht="133" x14ac:dyDescent="0.2">
      <c r="A372" s="87" t="s">
        <v>83</v>
      </c>
      <c r="B372" s="37">
        <v>2025</v>
      </c>
      <c r="C372" s="38" t="s">
        <v>1442</v>
      </c>
      <c r="D372" s="38" t="s">
        <v>1443</v>
      </c>
      <c r="E372" s="38" t="s">
        <v>1402</v>
      </c>
      <c r="F372" s="38" t="s">
        <v>1403</v>
      </c>
      <c r="G372" s="37"/>
      <c r="H372" s="38" t="s">
        <v>1444</v>
      </c>
      <c r="I372" s="37" t="s">
        <v>451</v>
      </c>
      <c r="J372" s="38" t="s">
        <v>1404</v>
      </c>
    </row>
    <row r="373" spans="1:10" ht="76" x14ac:dyDescent="0.2">
      <c r="A373" s="87" t="s">
        <v>93</v>
      </c>
      <c r="B373" s="37">
        <v>2025</v>
      </c>
      <c r="C373" s="38" t="s">
        <v>1445</v>
      </c>
      <c r="D373" s="38" t="s">
        <v>1446</v>
      </c>
      <c r="E373" s="38" t="s">
        <v>1402</v>
      </c>
      <c r="F373" s="38" t="s">
        <v>1403</v>
      </c>
      <c r="G373" s="37"/>
      <c r="H373" s="38" t="s">
        <v>1447</v>
      </c>
      <c r="I373" s="37" t="s">
        <v>451</v>
      </c>
      <c r="J373" s="38" t="s">
        <v>1404</v>
      </c>
    </row>
    <row r="374" spans="1:10" ht="95" x14ac:dyDescent="0.2">
      <c r="A374" s="87" t="s">
        <v>93</v>
      </c>
      <c r="B374" s="37">
        <v>2025</v>
      </c>
      <c r="C374" s="38" t="s">
        <v>1448</v>
      </c>
      <c r="D374" s="38" t="s">
        <v>1449</v>
      </c>
      <c r="E374" s="38" t="s">
        <v>1402</v>
      </c>
      <c r="F374" s="38" t="s">
        <v>1403</v>
      </c>
      <c r="G374" s="37"/>
      <c r="H374" s="38" t="s">
        <v>1450</v>
      </c>
      <c r="I374" s="37" t="s">
        <v>659</v>
      </c>
      <c r="J374" s="38" t="s">
        <v>1404</v>
      </c>
    </row>
    <row r="375" spans="1:10" ht="133" x14ac:dyDescent="0.2">
      <c r="A375" s="87" t="s">
        <v>103</v>
      </c>
      <c r="B375" s="37">
        <v>2024</v>
      </c>
      <c r="C375" s="38" t="s">
        <v>1451</v>
      </c>
      <c r="D375" s="38" t="s">
        <v>1452</v>
      </c>
      <c r="E375" s="38" t="s">
        <v>1402</v>
      </c>
      <c r="F375" s="38" t="s">
        <v>1403</v>
      </c>
      <c r="G375" s="37"/>
      <c r="H375" s="38" t="s">
        <v>1453</v>
      </c>
      <c r="I375" s="37" t="s">
        <v>451</v>
      </c>
      <c r="J375" s="38" t="s">
        <v>1404</v>
      </c>
    </row>
    <row r="376" spans="1:10" ht="95" x14ac:dyDescent="0.2">
      <c r="A376" s="87" t="s">
        <v>113</v>
      </c>
      <c r="B376" s="37">
        <v>2024</v>
      </c>
      <c r="C376" s="38" t="s">
        <v>1454</v>
      </c>
      <c r="D376" s="38" t="s">
        <v>1455</v>
      </c>
      <c r="E376" s="38" t="s">
        <v>1402</v>
      </c>
      <c r="F376" s="38" t="s">
        <v>1403</v>
      </c>
      <c r="G376" s="37"/>
      <c r="H376" s="38" t="s">
        <v>1011</v>
      </c>
      <c r="I376" s="37" t="s">
        <v>451</v>
      </c>
      <c r="J376" s="38" t="s">
        <v>1404</v>
      </c>
    </row>
    <row r="377" spans="1:10" ht="133" x14ac:dyDescent="0.2">
      <c r="A377" s="87" t="s">
        <v>113</v>
      </c>
      <c r="B377" s="37">
        <v>2024</v>
      </c>
      <c r="C377" s="38" t="s">
        <v>1456</v>
      </c>
      <c r="D377" s="38" t="s">
        <v>1457</v>
      </c>
      <c r="E377" s="38" t="s">
        <v>1402</v>
      </c>
      <c r="F377" s="38" t="s">
        <v>1403</v>
      </c>
      <c r="G377" s="37"/>
      <c r="H377" s="38" t="s">
        <v>1458</v>
      </c>
      <c r="I377" s="37" t="s">
        <v>451</v>
      </c>
      <c r="J377" s="38" t="s">
        <v>1404</v>
      </c>
    </row>
    <row r="378" spans="1:10" ht="95" x14ac:dyDescent="0.2">
      <c r="A378" s="87" t="s">
        <v>122</v>
      </c>
      <c r="B378" s="37">
        <v>2024</v>
      </c>
      <c r="C378" s="38" t="s">
        <v>1459</v>
      </c>
      <c r="D378" s="38" t="s">
        <v>1460</v>
      </c>
      <c r="E378" s="38" t="s">
        <v>1402</v>
      </c>
      <c r="F378" s="38" t="s">
        <v>1403</v>
      </c>
      <c r="G378" s="37"/>
      <c r="H378" s="38" t="s">
        <v>1461</v>
      </c>
      <c r="I378" s="37" t="s">
        <v>443</v>
      </c>
      <c r="J378" s="38" t="s">
        <v>1404</v>
      </c>
    </row>
    <row r="379" spans="1:10" ht="152" x14ac:dyDescent="0.2">
      <c r="A379" s="87" t="s">
        <v>130</v>
      </c>
      <c r="B379" s="37">
        <v>2024</v>
      </c>
      <c r="C379" s="38" t="s">
        <v>1462</v>
      </c>
      <c r="D379" s="38" t="s">
        <v>1463</v>
      </c>
      <c r="E379" s="38" t="s">
        <v>1402</v>
      </c>
      <c r="F379" s="38" t="s">
        <v>1403</v>
      </c>
      <c r="G379" s="37"/>
      <c r="H379" s="38" t="s">
        <v>566</v>
      </c>
      <c r="I379" s="37" t="s">
        <v>451</v>
      </c>
      <c r="J379" s="38" t="s">
        <v>1404</v>
      </c>
    </row>
    <row r="380" spans="1:10" ht="114" x14ac:dyDescent="0.2">
      <c r="A380" s="87" t="s">
        <v>130</v>
      </c>
      <c r="B380" s="37">
        <v>2024</v>
      </c>
      <c r="C380" s="38" t="s">
        <v>1464</v>
      </c>
      <c r="D380" s="38" t="s">
        <v>1465</v>
      </c>
      <c r="E380" s="38" t="s">
        <v>1402</v>
      </c>
      <c r="F380" s="38" t="s">
        <v>1403</v>
      </c>
      <c r="G380" s="37"/>
      <c r="H380" s="38" t="s">
        <v>769</v>
      </c>
      <c r="I380" s="37" t="s">
        <v>451</v>
      </c>
      <c r="J380" s="38" t="s">
        <v>1404</v>
      </c>
    </row>
    <row r="381" spans="1:10" ht="95" x14ac:dyDescent="0.2">
      <c r="A381" s="87" t="s">
        <v>130</v>
      </c>
      <c r="B381" s="37">
        <v>2024</v>
      </c>
      <c r="C381" s="38" t="s">
        <v>1466</v>
      </c>
      <c r="D381" s="38" t="s">
        <v>1467</v>
      </c>
      <c r="E381" s="38" t="s">
        <v>1402</v>
      </c>
      <c r="F381" s="38" t="s">
        <v>1403</v>
      </c>
      <c r="G381" s="37"/>
      <c r="H381" s="38" t="s">
        <v>903</v>
      </c>
      <c r="I381" s="37" t="s">
        <v>451</v>
      </c>
      <c r="J381" s="38" t="s">
        <v>1404</v>
      </c>
    </row>
    <row r="382" spans="1:10" ht="114" x14ac:dyDescent="0.2">
      <c r="A382" s="87" t="s">
        <v>139</v>
      </c>
      <c r="B382" s="37">
        <v>2023</v>
      </c>
      <c r="C382" s="38" t="s">
        <v>1468</v>
      </c>
      <c r="D382" s="38" t="s">
        <v>1469</v>
      </c>
      <c r="E382" s="38" t="s">
        <v>1402</v>
      </c>
      <c r="F382" s="38" t="s">
        <v>1403</v>
      </c>
      <c r="G382" s="37"/>
      <c r="H382" s="38" t="s">
        <v>1470</v>
      </c>
      <c r="I382" s="37" t="s">
        <v>451</v>
      </c>
      <c r="J382" s="38" t="s">
        <v>1404</v>
      </c>
    </row>
    <row r="383" spans="1:10" ht="133" x14ac:dyDescent="0.2">
      <c r="A383" s="87" t="s">
        <v>139</v>
      </c>
      <c r="B383" s="37">
        <v>2023</v>
      </c>
      <c r="C383" s="38" t="s">
        <v>1471</v>
      </c>
      <c r="D383" s="38" t="s">
        <v>1472</v>
      </c>
      <c r="E383" s="38" t="s">
        <v>1402</v>
      </c>
      <c r="F383" s="38" t="s">
        <v>1403</v>
      </c>
      <c r="G383" s="37"/>
      <c r="H383" s="38" t="s">
        <v>1473</v>
      </c>
      <c r="I383" s="37" t="s">
        <v>451</v>
      </c>
      <c r="J383" s="38" t="s">
        <v>1404</v>
      </c>
    </row>
    <row r="384" spans="1:10" ht="95" x14ac:dyDescent="0.2">
      <c r="A384" s="87" t="s">
        <v>149</v>
      </c>
      <c r="B384" s="37">
        <v>2020</v>
      </c>
      <c r="C384" s="38" t="s">
        <v>1474</v>
      </c>
      <c r="D384" s="38" t="s">
        <v>1475</v>
      </c>
      <c r="E384" s="38" t="s">
        <v>1402</v>
      </c>
      <c r="F384" s="38" t="s">
        <v>1403</v>
      </c>
      <c r="G384" s="37"/>
      <c r="H384" s="38" t="s">
        <v>1476</v>
      </c>
      <c r="I384" s="37" t="s">
        <v>451</v>
      </c>
      <c r="J384" s="38" t="s">
        <v>1404</v>
      </c>
    </row>
    <row r="385" spans="1:10" ht="95" x14ac:dyDescent="0.2">
      <c r="A385" s="87" t="s">
        <v>149</v>
      </c>
      <c r="B385" s="37">
        <v>2020</v>
      </c>
      <c r="C385" s="38" t="s">
        <v>1477</v>
      </c>
      <c r="D385" s="38" t="s">
        <v>1478</v>
      </c>
      <c r="E385" s="38" t="s">
        <v>1402</v>
      </c>
      <c r="F385" s="38" t="s">
        <v>1403</v>
      </c>
      <c r="G385" s="37"/>
      <c r="H385" s="38" t="s">
        <v>1011</v>
      </c>
      <c r="I385" s="37" t="s">
        <v>451</v>
      </c>
      <c r="J385" s="38" t="s">
        <v>1404</v>
      </c>
    </row>
    <row r="386" spans="1:10" ht="114" x14ac:dyDescent="0.2">
      <c r="A386" s="87" t="s">
        <v>159</v>
      </c>
      <c r="B386" s="37">
        <v>2025</v>
      </c>
      <c r="C386" s="38" t="s">
        <v>1479</v>
      </c>
      <c r="D386" s="38" t="s">
        <v>1480</v>
      </c>
      <c r="E386" s="38" t="s">
        <v>1402</v>
      </c>
      <c r="F386" s="38" t="s">
        <v>1403</v>
      </c>
      <c r="G386" s="37"/>
      <c r="H386" s="38" t="s">
        <v>1481</v>
      </c>
      <c r="I386" s="37" t="s">
        <v>451</v>
      </c>
      <c r="J386" s="38" t="s">
        <v>1404</v>
      </c>
    </row>
    <row r="387" spans="1:10" ht="95" x14ac:dyDescent="0.2">
      <c r="A387" s="87" t="s">
        <v>159</v>
      </c>
      <c r="B387" s="37">
        <v>2025</v>
      </c>
      <c r="C387" s="38" t="s">
        <v>1482</v>
      </c>
      <c r="D387" s="38" t="s">
        <v>1483</v>
      </c>
      <c r="E387" s="38" t="s">
        <v>1402</v>
      </c>
      <c r="F387" s="38" t="s">
        <v>1403</v>
      </c>
      <c r="G387" s="37"/>
      <c r="H387" s="38" t="s">
        <v>1484</v>
      </c>
      <c r="I387" s="37" t="s">
        <v>451</v>
      </c>
      <c r="J387" s="38" t="s">
        <v>1404</v>
      </c>
    </row>
    <row r="388" spans="1:10" ht="171" x14ac:dyDescent="0.2">
      <c r="A388" s="87" t="s">
        <v>169</v>
      </c>
      <c r="B388" s="37">
        <v>2026</v>
      </c>
      <c r="C388" s="38" t="s">
        <v>1485</v>
      </c>
      <c r="D388" s="38" t="s">
        <v>1486</v>
      </c>
      <c r="E388" s="38" t="s">
        <v>1402</v>
      </c>
      <c r="F388" s="38" t="s">
        <v>1403</v>
      </c>
      <c r="G388" s="37"/>
      <c r="H388" s="38" t="s">
        <v>555</v>
      </c>
      <c r="I388" s="37" t="s">
        <v>451</v>
      </c>
      <c r="J388" s="38" t="s">
        <v>1404</v>
      </c>
    </row>
    <row r="389" spans="1:10" ht="114" x14ac:dyDescent="0.2">
      <c r="A389" s="87" t="s">
        <v>169</v>
      </c>
      <c r="B389" s="37">
        <v>2026</v>
      </c>
      <c r="C389" s="38" t="s">
        <v>1487</v>
      </c>
      <c r="D389" s="38" t="s">
        <v>1488</v>
      </c>
      <c r="E389" s="38" t="s">
        <v>1402</v>
      </c>
      <c r="F389" s="38" t="s">
        <v>1403</v>
      </c>
      <c r="G389" s="37"/>
      <c r="H389" s="38" t="s">
        <v>1489</v>
      </c>
      <c r="I389" s="37" t="s">
        <v>451</v>
      </c>
      <c r="J389" s="38" t="s">
        <v>1404</v>
      </c>
    </row>
    <row r="390" spans="1:10" ht="114" x14ac:dyDescent="0.2">
      <c r="A390" s="87" t="s">
        <v>169</v>
      </c>
      <c r="B390" s="37">
        <v>2026</v>
      </c>
      <c r="C390" s="38" t="s">
        <v>1490</v>
      </c>
      <c r="D390" s="38" t="s">
        <v>1491</v>
      </c>
      <c r="E390" s="38" t="s">
        <v>1402</v>
      </c>
      <c r="F390" s="38" t="s">
        <v>1403</v>
      </c>
      <c r="G390" s="37"/>
      <c r="H390" s="38" t="s">
        <v>1492</v>
      </c>
      <c r="I390" s="37" t="s">
        <v>451</v>
      </c>
      <c r="J390" s="38" t="s">
        <v>1404</v>
      </c>
    </row>
    <row r="391" spans="1:10" ht="114" x14ac:dyDescent="0.2">
      <c r="A391" s="87" t="s">
        <v>179</v>
      </c>
      <c r="B391" s="37">
        <v>2025</v>
      </c>
      <c r="C391" s="38" t="s">
        <v>1493</v>
      </c>
      <c r="D391" s="38" t="s">
        <v>1494</v>
      </c>
      <c r="E391" s="38" t="s">
        <v>1402</v>
      </c>
      <c r="F391" s="38" t="s">
        <v>1403</v>
      </c>
      <c r="G391" s="37"/>
      <c r="H391" s="38" t="s">
        <v>1495</v>
      </c>
      <c r="I391" s="37" t="s">
        <v>451</v>
      </c>
      <c r="J391" s="38" t="s">
        <v>1404</v>
      </c>
    </row>
    <row r="392" spans="1:10" ht="152" x14ac:dyDescent="0.2">
      <c r="A392" s="87" t="s">
        <v>179</v>
      </c>
      <c r="B392" s="37">
        <v>2025</v>
      </c>
      <c r="C392" s="38" t="s">
        <v>1496</v>
      </c>
      <c r="D392" s="38" t="s">
        <v>1497</v>
      </c>
      <c r="E392" s="38" t="s">
        <v>1402</v>
      </c>
      <c r="F392" s="38" t="s">
        <v>1403</v>
      </c>
      <c r="G392" s="37"/>
      <c r="H392" s="38" t="s">
        <v>1498</v>
      </c>
      <c r="I392" s="37" t="s">
        <v>451</v>
      </c>
      <c r="J392" s="38" t="s">
        <v>1404</v>
      </c>
    </row>
    <row r="393" spans="1:10" ht="133" x14ac:dyDescent="0.2">
      <c r="A393" s="87" t="s">
        <v>188</v>
      </c>
      <c r="B393" s="37">
        <v>2025</v>
      </c>
      <c r="C393" s="38" t="s">
        <v>1499</v>
      </c>
      <c r="D393" s="38" t="s">
        <v>1500</v>
      </c>
      <c r="E393" s="38" t="s">
        <v>1402</v>
      </c>
      <c r="F393" s="38" t="s">
        <v>1403</v>
      </c>
      <c r="G393" s="37"/>
      <c r="H393" s="38" t="s">
        <v>1501</v>
      </c>
      <c r="I393" s="37" t="s">
        <v>451</v>
      </c>
      <c r="J393" s="38" t="s">
        <v>1404</v>
      </c>
    </row>
    <row r="394" spans="1:10" ht="133" x14ac:dyDescent="0.2">
      <c r="A394" s="87" t="s">
        <v>188</v>
      </c>
      <c r="B394" s="37">
        <v>2025</v>
      </c>
      <c r="C394" s="38" t="s">
        <v>1502</v>
      </c>
      <c r="D394" s="38" t="s">
        <v>1503</v>
      </c>
      <c r="E394" s="38" t="s">
        <v>1402</v>
      </c>
      <c r="F394" s="38" t="s">
        <v>1403</v>
      </c>
      <c r="G394" s="37"/>
      <c r="H394" s="38" t="s">
        <v>1504</v>
      </c>
      <c r="I394" s="37" t="s">
        <v>451</v>
      </c>
      <c r="J394" s="38" t="s">
        <v>1404</v>
      </c>
    </row>
    <row r="395" spans="1:10" ht="190" x14ac:dyDescent="0.2">
      <c r="A395" s="87" t="s">
        <v>198</v>
      </c>
      <c r="B395" s="37">
        <v>2026</v>
      </c>
      <c r="C395" s="38" t="s">
        <v>1505</v>
      </c>
      <c r="D395" s="38" t="s">
        <v>1506</v>
      </c>
      <c r="E395" s="38" t="s">
        <v>1402</v>
      </c>
      <c r="F395" s="38" t="s">
        <v>1403</v>
      </c>
      <c r="G395" s="37"/>
      <c r="H395" s="38" t="s">
        <v>1507</v>
      </c>
      <c r="I395" s="37" t="s">
        <v>451</v>
      </c>
      <c r="J395" s="38" t="s">
        <v>1404</v>
      </c>
    </row>
    <row r="396" spans="1:10" ht="209" x14ac:dyDescent="0.2">
      <c r="A396" s="87" t="s">
        <v>208</v>
      </c>
      <c r="B396" s="37">
        <v>2026</v>
      </c>
      <c r="C396" s="38" t="s">
        <v>1508</v>
      </c>
      <c r="D396" s="38" t="s">
        <v>1509</v>
      </c>
      <c r="E396" s="38" t="s">
        <v>1402</v>
      </c>
      <c r="F396" s="38" t="s">
        <v>1403</v>
      </c>
      <c r="G396" s="37"/>
      <c r="H396" s="38" t="s">
        <v>483</v>
      </c>
      <c r="I396" s="37" t="s">
        <v>451</v>
      </c>
      <c r="J396" s="38" t="s">
        <v>1404</v>
      </c>
    </row>
    <row r="397" spans="1:10" ht="171" x14ac:dyDescent="0.2">
      <c r="A397" s="87" t="s">
        <v>208</v>
      </c>
      <c r="B397" s="37">
        <v>2026</v>
      </c>
      <c r="C397" s="38" t="s">
        <v>1510</v>
      </c>
      <c r="D397" s="38" t="s">
        <v>1511</v>
      </c>
      <c r="E397" s="38" t="s">
        <v>1402</v>
      </c>
      <c r="F397" s="38" t="s">
        <v>1403</v>
      </c>
      <c r="G397" s="37"/>
      <c r="H397" s="38" t="s">
        <v>1512</v>
      </c>
      <c r="I397" s="37" t="s">
        <v>451</v>
      </c>
      <c r="J397" s="38" t="s">
        <v>1404</v>
      </c>
    </row>
    <row r="398" spans="1:10" ht="171" x14ac:dyDescent="0.2">
      <c r="A398" s="87" t="s">
        <v>208</v>
      </c>
      <c r="B398" s="37">
        <v>2026</v>
      </c>
      <c r="C398" s="38" t="s">
        <v>1513</v>
      </c>
      <c r="D398" s="38" t="s">
        <v>1514</v>
      </c>
      <c r="E398" s="38" t="s">
        <v>1402</v>
      </c>
      <c r="F398" s="38" t="s">
        <v>1403</v>
      </c>
      <c r="G398" s="37"/>
      <c r="H398" s="38" t="s">
        <v>1515</v>
      </c>
      <c r="I398" s="37" t="s">
        <v>659</v>
      </c>
      <c r="J398" s="38" t="s">
        <v>1404</v>
      </c>
    </row>
    <row r="399" spans="1:10" ht="95" x14ac:dyDescent="0.2">
      <c r="A399" s="87" t="s">
        <v>218</v>
      </c>
      <c r="B399" s="37">
        <v>2026</v>
      </c>
      <c r="C399" s="38" t="s">
        <v>1516</v>
      </c>
      <c r="D399" s="38" t="s">
        <v>1517</v>
      </c>
      <c r="E399" s="38" t="s">
        <v>1402</v>
      </c>
      <c r="F399" s="38" t="s">
        <v>1403</v>
      </c>
      <c r="G399" s="37"/>
      <c r="H399" s="38" t="s">
        <v>1518</v>
      </c>
      <c r="I399" s="37" t="s">
        <v>451</v>
      </c>
      <c r="J399" s="38" t="s">
        <v>1404</v>
      </c>
    </row>
    <row r="400" spans="1:10" ht="95" x14ac:dyDescent="0.2">
      <c r="A400" s="87" t="s">
        <v>218</v>
      </c>
      <c r="B400" s="37">
        <v>2026</v>
      </c>
      <c r="C400" s="38" t="s">
        <v>1519</v>
      </c>
      <c r="D400" s="38" t="s">
        <v>1520</v>
      </c>
      <c r="E400" s="38" t="s">
        <v>1402</v>
      </c>
      <c r="F400" s="38" t="s">
        <v>1403</v>
      </c>
      <c r="G400" s="37"/>
      <c r="H400" s="38" t="s">
        <v>1521</v>
      </c>
      <c r="I400" s="37" t="s">
        <v>659</v>
      </c>
      <c r="J400" s="38" t="s">
        <v>1404</v>
      </c>
    </row>
    <row r="401" spans="1:10" ht="76" x14ac:dyDescent="0.2">
      <c r="A401" s="87" t="s">
        <v>227</v>
      </c>
      <c r="B401" s="37">
        <v>2026</v>
      </c>
      <c r="C401" s="38" t="s">
        <v>1522</v>
      </c>
      <c r="D401" s="38" t="s">
        <v>1523</v>
      </c>
      <c r="E401" s="38" t="s">
        <v>1402</v>
      </c>
      <c r="F401" s="38" t="s">
        <v>1403</v>
      </c>
      <c r="G401" s="37"/>
      <c r="H401" s="38" t="s">
        <v>1524</v>
      </c>
      <c r="I401" s="37" t="s">
        <v>451</v>
      </c>
      <c r="J401" s="38" t="s">
        <v>1404</v>
      </c>
    </row>
    <row r="402" spans="1:10" ht="114" x14ac:dyDescent="0.2">
      <c r="A402" s="87" t="s">
        <v>227</v>
      </c>
      <c r="B402" s="37">
        <v>2026</v>
      </c>
      <c r="C402" s="38" t="s">
        <v>1525</v>
      </c>
      <c r="D402" s="38" t="s">
        <v>1526</v>
      </c>
      <c r="E402" s="38" t="s">
        <v>1402</v>
      </c>
      <c r="F402" s="38" t="s">
        <v>1403</v>
      </c>
      <c r="G402" s="37"/>
      <c r="H402" s="38" t="s">
        <v>1527</v>
      </c>
      <c r="I402" s="37" t="s">
        <v>451</v>
      </c>
      <c r="J402" s="38" t="s">
        <v>1404</v>
      </c>
    </row>
    <row r="403" spans="1:10" ht="133" x14ac:dyDescent="0.2">
      <c r="A403" s="87" t="s">
        <v>227</v>
      </c>
      <c r="B403" s="37">
        <v>2026</v>
      </c>
      <c r="C403" s="38" t="s">
        <v>1528</v>
      </c>
      <c r="D403" s="38" t="s">
        <v>1529</v>
      </c>
      <c r="E403" s="38" t="s">
        <v>1402</v>
      </c>
      <c r="F403" s="38" t="s">
        <v>1403</v>
      </c>
      <c r="G403" s="37"/>
      <c r="H403" s="38" t="s">
        <v>1530</v>
      </c>
      <c r="I403" s="37" t="s">
        <v>451</v>
      </c>
      <c r="J403" s="38" t="s">
        <v>1404</v>
      </c>
    </row>
    <row r="404" spans="1:10" ht="76" x14ac:dyDescent="0.2">
      <c r="A404" s="87" t="s">
        <v>227</v>
      </c>
      <c r="B404" s="37">
        <v>2026</v>
      </c>
      <c r="C404" s="38" t="s">
        <v>1531</v>
      </c>
      <c r="D404" s="38" t="s">
        <v>1532</v>
      </c>
      <c r="E404" s="38" t="s">
        <v>1402</v>
      </c>
      <c r="F404" s="38" t="s">
        <v>1403</v>
      </c>
      <c r="G404" s="37"/>
      <c r="H404" s="38" t="s">
        <v>1533</v>
      </c>
      <c r="I404" s="37" t="s">
        <v>451</v>
      </c>
      <c r="J404" s="38" t="s">
        <v>1404</v>
      </c>
    </row>
    <row r="405" spans="1:10" ht="114" x14ac:dyDescent="0.2">
      <c r="A405" s="87" t="s">
        <v>237</v>
      </c>
      <c r="B405" s="37">
        <v>2025</v>
      </c>
      <c r="C405" s="38" t="s">
        <v>1534</v>
      </c>
      <c r="D405" s="38" t="s">
        <v>1535</v>
      </c>
      <c r="E405" s="38" t="s">
        <v>1402</v>
      </c>
      <c r="F405" s="38" t="s">
        <v>1403</v>
      </c>
      <c r="G405" s="37"/>
      <c r="H405" s="38" t="s">
        <v>1536</v>
      </c>
      <c r="I405" s="37" t="s">
        <v>451</v>
      </c>
      <c r="J405" s="38" t="s">
        <v>1404</v>
      </c>
    </row>
    <row r="406" spans="1:10" ht="76" x14ac:dyDescent="0.2">
      <c r="A406" s="87" t="s">
        <v>237</v>
      </c>
      <c r="B406" s="37">
        <v>2025</v>
      </c>
      <c r="C406" s="38" t="s">
        <v>1537</v>
      </c>
      <c r="D406" s="38" t="s">
        <v>1538</v>
      </c>
      <c r="E406" s="38" t="s">
        <v>1402</v>
      </c>
      <c r="F406" s="38" t="s">
        <v>1403</v>
      </c>
      <c r="G406" s="37"/>
      <c r="H406" s="38" t="s">
        <v>1539</v>
      </c>
      <c r="I406" s="37" t="s">
        <v>451</v>
      </c>
      <c r="J406" s="38" t="s">
        <v>1404</v>
      </c>
    </row>
    <row r="407" spans="1:10" ht="133" x14ac:dyDescent="0.2">
      <c r="A407" s="87" t="s">
        <v>237</v>
      </c>
      <c r="B407" s="37">
        <v>2025</v>
      </c>
      <c r="C407" s="38" t="s">
        <v>1540</v>
      </c>
      <c r="D407" s="38" t="s">
        <v>1541</v>
      </c>
      <c r="E407" s="38" t="s">
        <v>1402</v>
      </c>
      <c r="F407" s="38" t="s">
        <v>1403</v>
      </c>
      <c r="G407" s="37"/>
      <c r="H407" s="38" t="s">
        <v>1388</v>
      </c>
      <c r="I407" s="37" t="s">
        <v>659</v>
      </c>
      <c r="J407" s="38" t="s">
        <v>1404</v>
      </c>
    </row>
    <row r="408" spans="1:10" ht="209" x14ac:dyDescent="0.2">
      <c r="A408" s="87" t="s">
        <v>247</v>
      </c>
      <c r="B408" s="37">
        <v>2026</v>
      </c>
      <c r="C408" s="38" t="s">
        <v>1542</v>
      </c>
      <c r="D408" s="38" t="s">
        <v>1543</v>
      </c>
      <c r="E408" s="38" t="s">
        <v>1402</v>
      </c>
      <c r="F408" s="38" t="s">
        <v>1403</v>
      </c>
      <c r="G408" s="37"/>
      <c r="H408" s="38" t="s">
        <v>1544</v>
      </c>
      <c r="I408" s="37" t="s">
        <v>659</v>
      </c>
      <c r="J408" s="38" t="s">
        <v>1404</v>
      </c>
    </row>
    <row r="409" spans="1:10" ht="95" x14ac:dyDescent="0.2">
      <c r="A409" s="87" t="s">
        <v>257</v>
      </c>
      <c r="B409" s="37">
        <v>2025</v>
      </c>
      <c r="C409" s="38" t="s">
        <v>1545</v>
      </c>
      <c r="D409" s="38" t="s">
        <v>1546</v>
      </c>
      <c r="E409" s="38" t="s">
        <v>1402</v>
      </c>
      <c r="F409" s="38" t="s">
        <v>1403</v>
      </c>
      <c r="G409" s="37"/>
      <c r="H409" s="38" t="s">
        <v>875</v>
      </c>
      <c r="I409" s="37" t="s">
        <v>451</v>
      </c>
      <c r="J409" s="38" t="s">
        <v>1404</v>
      </c>
    </row>
    <row r="410" spans="1:10" ht="57" x14ac:dyDescent="0.2">
      <c r="A410" s="87" t="s">
        <v>257</v>
      </c>
      <c r="B410" s="37">
        <v>2025</v>
      </c>
      <c r="C410" s="38" t="s">
        <v>1547</v>
      </c>
      <c r="D410" s="38" t="s">
        <v>1548</v>
      </c>
      <c r="E410" s="38" t="s">
        <v>1402</v>
      </c>
      <c r="F410" s="38" t="s">
        <v>1403</v>
      </c>
      <c r="G410" s="37"/>
      <c r="H410" s="38" t="s">
        <v>973</v>
      </c>
      <c r="I410" s="37" t="s">
        <v>451</v>
      </c>
      <c r="J410" s="38" t="s">
        <v>1404</v>
      </c>
    </row>
    <row r="411" spans="1:10" ht="76" x14ac:dyDescent="0.2">
      <c r="A411" s="87" t="s">
        <v>257</v>
      </c>
      <c r="B411" s="37">
        <v>2025</v>
      </c>
      <c r="C411" s="38" t="s">
        <v>1549</v>
      </c>
      <c r="D411" s="38" t="s">
        <v>1550</v>
      </c>
      <c r="E411" s="38" t="s">
        <v>1402</v>
      </c>
      <c r="F411" s="38" t="s">
        <v>1403</v>
      </c>
      <c r="G411" s="37"/>
      <c r="H411" s="38" t="s">
        <v>492</v>
      </c>
      <c r="I411" s="37" t="s">
        <v>659</v>
      </c>
      <c r="J411" s="38" t="s">
        <v>1404</v>
      </c>
    </row>
    <row r="412" spans="1:10" x14ac:dyDescent="0.2">
      <c r="A412" s="39"/>
      <c r="B412" s="39"/>
      <c r="C412" s="39"/>
      <c r="E412" s="39"/>
      <c r="F412" s="39"/>
      <c r="G412" s="39"/>
      <c r="H412" s="39"/>
      <c r="I412" s="39"/>
      <c r="J412" s="39"/>
    </row>
    <row r="413" spans="1:10" ht="76" x14ac:dyDescent="0.2">
      <c r="A413" s="87" t="s">
        <v>44</v>
      </c>
      <c r="B413" s="37">
        <v>2024</v>
      </c>
      <c r="C413" s="38" t="s">
        <v>1551</v>
      </c>
      <c r="D413" s="38" t="s">
        <v>1552</v>
      </c>
      <c r="E413" s="38" t="s">
        <v>1553</v>
      </c>
      <c r="F413" s="38" t="s">
        <v>1403</v>
      </c>
      <c r="G413" s="37"/>
      <c r="H413" s="38" t="s">
        <v>1068</v>
      </c>
      <c r="I413" s="37" t="s">
        <v>451</v>
      </c>
      <c r="J413" s="38" t="s">
        <v>1404</v>
      </c>
    </row>
    <row r="414" spans="1:10" ht="57" x14ac:dyDescent="0.2">
      <c r="A414" s="87" t="s">
        <v>54</v>
      </c>
      <c r="B414" s="37">
        <v>2025</v>
      </c>
      <c r="C414" s="38" t="s">
        <v>1554</v>
      </c>
      <c r="D414" s="38" t="s">
        <v>1555</v>
      </c>
      <c r="E414" s="38" t="s">
        <v>1553</v>
      </c>
      <c r="F414" s="38" t="s">
        <v>1403</v>
      </c>
      <c r="G414" s="37"/>
      <c r="H414" s="38" t="s">
        <v>1556</v>
      </c>
      <c r="I414" s="37" t="s">
        <v>451</v>
      </c>
      <c r="J414" s="38" t="s">
        <v>1404</v>
      </c>
    </row>
    <row r="415" spans="1:10" ht="114" x14ac:dyDescent="0.2">
      <c r="A415" s="87" t="s">
        <v>63</v>
      </c>
      <c r="B415" s="37">
        <v>2025</v>
      </c>
      <c r="C415" s="38" t="s">
        <v>1557</v>
      </c>
      <c r="D415" s="38" t="s">
        <v>1558</v>
      </c>
      <c r="E415" s="38" t="s">
        <v>1553</v>
      </c>
      <c r="F415" s="38" t="s">
        <v>1403</v>
      </c>
      <c r="G415" s="37"/>
      <c r="H415" s="38" t="s">
        <v>1559</v>
      </c>
      <c r="I415" s="37" t="s">
        <v>451</v>
      </c>
      <c r="J415" s="38" t="s">
        <v>1404</v>
      </c>
    </row>
    <row r="416" spans="1:10" ht="114" x14ac:dyDescent="0.2">
      <c r="A416" s="87" t="s">
        <v>73</v>
      </c>
      <c r="B416" s="37">
        <v>2024</v>
      </c>
      <c r="C416" s="38" t="s">
        <v>1560</v>
      </c>
      <c r="D416" s="38" t="s">
        <v>1561</v>
      </c>
      <c r="E416" s="38" t="s">
        <v>1553</v>
      </c>
      <c r="F416" s="38" t="s">
        <v>1403</v>
      </c>
      <c r="G416" s="37"/>
      <c r="H416" s="38" t="s">
        <v>1562</v>
      </c>
      <c r="I416" s="37" t="s">
        <v>451</v>
      </c>
      <c r="J416" s="38" t="s">
        <v>1404</v>
      </c>
    </row>
    <row r="417" spans="1:10" ht="76" x14ac:dyDescent="0.2">
      <c r="A417" s="87" t="s">
        <v>73</v>
      </c>
      <c r="B417" s="37">
        <v>2024</v>
      </c>
      <c r="C417" s="38" t="s">
        <v>1563</v>
      </c>
      <c r="D417" s="38" t="s">
        <v>1564</v>
      </c>
      <c r="E417" s="38" t="s">
        <v>1553</v>
      </c>
      <c r="F417" s="38" t="s">
        <v>1403</v>
      </c>
      <c r="G417" s="37"/>
      <c r="H417" s="38" t="s">
        <v>1565</v>
      </c>
      <c r="I417" s="37" t="s">
        <v>451</v>
      </c>
      <c r="J417" s="38" t="s">
        <v>1404</v>
      </c>
    </row>
    <row r="418" spans="1:10" ht="95" x14ac:dyDescent="0.2">
      <c r="A418" s="87" t="s">
        <v>83</v>
      </c>
      <c r="B418" s="37">
        <v>2025</v>
      </c>
      <c r="C418" s="38" t="s">
        <v>1566</v>
      </c>
      <c r="D418" s="38" t="s">
        <v>1567</v>
      </c>
      <c r="E418" s="38" t="s">
        <v>1553</v>
      </c>
      <c r="F418" s="38" t="s">
        <v>1403</v>
      </c>
      <c r="G418" s="37"/>
      <c r="H418" s="38" t="s">
        <v>1568</v>
      </c>
      <c r="I418" s="37" t="s">
        <v>451</v>
      </c>
      <c r="J418" s="38" t="s">
        <v>1404</v>
      </c>
    </row>
    <row r="419" spans="1:10" ht="133" x14ac:dyDescent="0.2">
      <c r="A419" s="87" t="s">
        <v>83</v>
      </c>
      <c r="B419" s="37">
        <v>2025</v>
      </c>
      <c r="C419" s="38" t="s">
        <v>1569</v>
      </c>
      <c r="D419" s="38" t="s">
        <v>1570</v>
      </c>
      <c r="E419" s="38" t="s">
        <v>1553</v>
      </c>
      <c r="F419" s="38" t="s">
        <v>1403</v>
      </c>
      <c r="G419" s="37"/>
      <c r="H419" s="38" t="s">
        <v>1571</v>
      </c>
      <c r="I419" s="37" t="s">
        <v>451</v>
      </c>
      <c r="J419" s="38" t="s">
        <v>1404</v>
      </c>
    </row>
    <row r="420" spans="1:10" ht="95" x14ac:dyDescent="0.2">
      <c r="A420" s="87" t="s">
        <v>93</v>
      </c>
      <c r="B420" s="37">
        <v>2025</v>
      </c>
      <c r="C420" s="38" t="s">
        <v>1572</v>
      </c>
      <c r="D420" s="38" t="s">
        <v>1573</v>
      </c>
      <c r="E420" s="38" t="s">
        <v>1553</v>
      </c>
      <c r="F420" s="38" t="s">
        <v>1403</v>
      </c>
      <c r="G420" s="37"/>
      <c r="H420" s="38" t="s">
        <v>1507</v>
      </c>
      <c r="I420" s="37" t="s">
        <v>451</v>
      </c>
      <c r="J420" s="38" t="s">
        <v>1404</v>
      </c>
    </row>
    <row r="421" spans="1:10" ht="76" x14ac:dyDescent="0.2">
      <c r="A421" s="87" t="s">
        <v>93</v>
      </c>
      <c r="B421" s="37">
        <v>2025</v>
      </c>
      <c r="C421" s="38" t="s">
        <v>1574</v>
      </c>
      <c r="D421" s="38" t="s">
        <v>1575</v>
      </c>
      <c r="E421" s="38" t="s">
        <v>1553</v>
      </c>
      <c r="F421" s="38" t="s">
        <v>1403</v>
      </c>
      <c r="G421" s="37"/>
      <c r="H421" s="38" t="s">
        <v>1576</v>
      </c>
      <c r="I421" s="37" t="s">
        <v>659</v>
      </c>
      <c r="J421" s="38" t="s">
        <v>1404</v>
      </c>
    </row>
    <row r="422" spans="1:10" ht="114" x14ac:dyDescent="0.2">
      <c r="A422" s="87" t="s">
        <v>103</v>
      </c>
      <c r="B422" s="37">
        <v>2024</v>
      </c>
      <c r="C422" s="38" t="s">
        <v>1577</v>
      </c>
      <c r="D422" s="38" t="s">
        <v>1578</v>
      </c>
      <c r="E422" s="38" t="s">
        <v>1553</v>
      </c>
      <c r="F422" s="38" t="s">
        <v>1403</v>
      </c>
      <c r="G422" s="37"/>
      <c r="H422" s="38" t="s">
        <v>741</v>
      </c>
      <c r="I422" s="37" t="s">
        <v>451</v>
      </c>
      <c r="J422" s="38" t="s">
        <v>1404</v>
      </c>
    </row>
    <row r="423" spans="1:10" ht="95" x14ac:dyDescent="0.2">
      <c r="A423" s="87" t="s">
        <v>113</v>
      </c>
      <c r="B423" s="37">
        <v>2024</v>
      </c>
      <c r="C423" s="38" t="s">
        <v>1579</v>
      </c>
      <c r="D423" s="38" t="s">
        <v>1580</v>
      </c>
      <c r="E423" s="38" t="s">
        <v>1553</v>
      </c>
      <c r="F423" s="38" t="s">
        <v>1403</v>
      </c>
      <c r="G423" s="37"/>
      <c r="H423" s="38" t="s">
        <v>1581</v>
      </c>
      <c r="I423" s="37" t="s">
        <v>659</v>
      </c>
      <c r="J423" s="38" t="s">
        <v>1404</v>
      </c>
    </row>
    <row r="424" spans="1:10" ht="76" x14ac:dyDescent="0.2">
      <c r="A424" s="87" t="s">
        <v>122</v>
      </c>
      <c r="B424" s="37">
        <v>2024</v>
      </c>
      <c r="C424" s="38" t="s">
        <v>1582</v>
      </c>
      <c r="D424" s="38" t="s">
        <v>1583</v>
      </c>
      <c r="E424" s="38" t="s">
        <v>1553</v>
      </c>
      <c r="F424" s="38" t="s">
        <v>1403</v>
      </c>
      <c r="G424" s="37"/>
      <c r="H424" s="38" t="s">
        <v>1584</v>
      </c>
      <c r="I424" s="37" t="s">
        <v>443</v>
      </c>
      <c r="J424" s="38" t="s">
        <v>1404</v>
      </c>
    </row>
    <row r="425" spans="1:10" ht="95" x14ac:dyDescent="0.2">
      <c r="A425" s="87" t="s">
        <v>130</v>
      </c>
      <c r="B425" s="37">
        <v>2024</v>
      </c>
      <c r="C425" s="38" t="s">
        <v>1585</v>
      </c>
      <c r="D425" s="38" t="s">
        <v>1586</v>
      </c>
      <c r="E425" s="38" t="s">
        <v>1553</v>
      </c>
      <c r="F425" s="38" t="s">
        <v>1403</v>
      </c>
      <c r="G425" s="37"/>
      <c r="H425" s="38" t="s">
        <v>1587</v>
      </c>
      <c r="I425" s="37" t="s">
        <v>451</v>
      </c>
      <c r="J425" s="38" t="s">
        <v>1404</v>
      </c>
    </row>
    <row r="426" spans="1:10" ht="114" x14ac:dyDescent="0.2">
      <c r="A426" s="87" t="s">
        <v>139</v>
      </c>
      <c r="B426" s="37">
        <v>2023</v>
      </c>
      <c r="C426" s="38" t="s">
        <v>1588</v>
      </c>
      <c r="D426" s="38" t="s">
        <v>1589</v>
      </c>
      <c r="E426" s="38" t="s">
        <v>1553</v>
      </c>
      <c r="F426" s="38" t="s">
        <v>1403</v>
      </c>
      <c r="G426" s="37"/>
      <c r="H426" s="38" t="s">
        <v>1590</v>
      </c>
      <c r="I426" s="37" t="s">
        <v>659</v>
      </c>
      <c r="J426" s="38" t="s">
        <v>1404</v>
      </c>
    </row>
    <row r="427" spans="1:10" ht="95" x14ac:dyDescent="0.2">
      <c r="A427" s="87" t="s">
        <v>149</v>
      </c>
      <c r="B427" s="37">
        <v>2020</v>
      </c>
      <c r="C427" s="38" t="s">
        <v>1591</v>
      </c>
      <c r="D427" s="38" t="s">
        <v>1592</v>
      </c>
      <c r="E427" s="38" t="s">
        <v>1553</v>
      </c>
      <c r="F427" s="38" t="s">
        <v>1403</v>
      </c>
      <c r="G427" s="37"/>
      <c r="H427" s="38" t="s">
        <v>1476</v>
      </c>
      <c r="I427" s="37" t="s">
        <v>451</v>
      </c>
      <c r="J427" s="38" t="s">
        <v>1404</v>
      </c>
    </row>
    <row r="428" spans="1:10" ht="114" x14ac:dyDescent="0.2">
      <c r="A428" s="87" t="s">
        <v>159</v>
      </c>
      <c r="B428" s="37">
        <v>2025</v>
      </c>
      <c r="C428" s="38" t="s">
        <v>1593</v>
      </c>
      <c r="D428" s="38" t="s">
        <v>1594</v>
      </c>
      <c r="E428" s="38" t="s">
        <v>1553</v>
      </c>
      <c r="F428" s="38" t="s">
        <v>1403</v>
      </c>
      <c r="G428" s="37"/>
      <c r="H428" s="38" t="s">
        <v>1595</v>
      </c>
      <c r="I428" s="37" t="s">
        <v>451</v>
      </c>
      <c r="J428" s="38" t="s">
        <v>1404</v>
      </c>
    </row>
    <row r="429" spans="1:10" ht="133" x14ac:dyDescent="0.2">
      <c r="A429" s="87" t="s">
        <v>169</v>
      </c>
      <c r="B429" s="37">
        <v>2026</v>
      </c>
      <c r="C429" s="38" t="s">
        <v>1596</v>
      </c>
      <c r="D429" s="38" t="s">
        <v>1597</v>
      </c>
      <c r="E429" s="38" t="s">
        <v>1553</v>
      </c>
      <c r="F429" s="38" t="s">
        <v>1403</v>
      </c>
      <c r="G429" s="37"/>
      <c r="H429" s="38" t="s">
        <v>1598</v>
      </c>
      <c r="I429" s="37" t="s">
        <v>451</v>
      </c>
      <c r="J429" s="38" t="s">
        <v>1404</v>
      </c>
    </row>
    <row r="430" spans="1:10" ht="152" x14ac:dyDescent="0.2">
      <c r="A430" s="87" t="s">
        <v>179</v>
      </c>
      <c r="B430" s="37">
        <v>2025</v>
      </c>
      <c r="C430" s="38" t="s">
        <v>1599</v>
      </c>
      <c r="D430" s="38" t="s">
        <v>1600</v>
      </c>
      <c r="E430" s="38" t="s">
        <v>1553</v>
      </c>
      <c r="F430" s="38" t="s">
        <v>1403</v>
      </c>
      <c r="G430" s="37"/>
      <c r="H430" s="38" t="s">
        <v>1601</v>
      </c>
      <c r="I430" s="37" t="s">
        <v>451</v>
      </c>
      <c r="J430" s="38" t="s">
        <v>1404</v>
      </c>
    </row>
    <row r="431" spans="1:10" ht="152" x14ac:dyDescent="0.2">
      <c r="A431" s="87" t="s">
        <v>179</v>
      </c>
      <c r="B431" s="37">
        <v>2025</v>
      </c>
      <c r="C431" s="38" t="s">
        <v>1602</v>
      </c>
      <c r="D431" s="38" t="s">
        <v>1603</v>
      </c>
      <c r="E431" s="38" t="s">
        <v>1553</v>
      </c>
      <c r="F431" s="38" t="s">
        <v>1403</v>
      </c>
      <c r="G431" s="37"/>
      <c r="H431" s="38" t="s">
        <v>1604</v>
      </c>
      <c r="I431" s="37" t="s">
        <v>659</v>
      </c>
      <c r="J431" s="38" t="s">
        <v>1404</v>
      </c>
    </row>
    <row r="432" spans="1:10" ht="133" x14ac:dyDescent="0.2">
      <c r="A432" s="87" t="s">
        <v>188</v>
      </c>
      <c r="B432" s="37">
        <v>2025</v>
      </c>
      <c r="C432" s="38" t="s">
        <v>1605</v>
      </c>
      <c r="D432" s="38" t="s">
        <v>1606</v>
      </c>
      <c r="E432" s="38" t="s">
        <v>1553</v>
      </c>
      <c r="F432" s="38" t="s">
        <v>1403</v>
      </c>
      <c r="G432" s="37"/>
      <c r="H432" s="38" t="s">
        <v>1607</v>
      </c>
      <c r="I432" s="37" t="s">
        <v>451</v>
      </c>
      <c r="J432" s="38" t="s">
        <v>1404</v>
      </c>
    </row>
    <row r="433" spans="1:10" ht="152" x14ac:dyDescent="0.2">
      <c r="A433" s="87" t="s">
        <v>198</v>
      </c>
      <c r="B433" s="37">
        <v>2026</v>
      </c>
      <c r="C433" s="38" t="s">
        <v>1608</v>
      </c>
      <c r="D433" s="38" t="s">
        <v>1609</v>
      </c>
      <c r="E433" s="38" t="s">
        <v>1553</v>
      </c>
      <c r="F433" s="38" t="s">
        <v>1403</v>
      </c>
      <c r="G433" s="37"/>
      <c r="H433" s="38" t="s">
        <v>1610</v>
      </c>
      <c r="I433" s="37" t="s">
        <v>451</v>
      </c>
      <c r="J433" s="38" t="s">
        <v>1404</v>
      </c>
    </row>
    <row r="434" spans="1:10" ht="247" x14ac:dyDescent="0.2">
      <c r="A434" s="87" t="s">
        <v>198</v>
      </c>
      <c r="B434" s="37">
        <v>2026</v>
      </c>
      <c r="C434" s="38" t="s">
        <v>1611</v>
      </c>
      <c r="D434" s="38" t="s">
        <v>1612</v>
      </c>
      <c r="E434" s="38" t="s">
        <v>1553</v>
      </c>
      <c r="F434" s="38" t="s">
        <v>1403</v>
      </c>
      <c r="G434" s="37"/>
      <c r="H434" s="38" t="s">
        <v>1613</v>
      </c>
      <c r="I434" s="37" t="s">
        <v>659</v>
      </c>
      <c r="J434" s="38" t="s">
        <v>1404</v>
      </c>
    </row>
    <row r="435" spans="1:10" ht="228" x14ac:dyDescent="0.2">
      <c r="A435" s="87" t="s">
        <v>208</v>
      </c>
      <c r="B435" s="37">
        <v>2026</v>
      </c>
      <c r="C435" s="38" t="s">
        <v>1614</v>
      </c>
      <c r="D435" s="38" t="s">
        <v>1615</v>
      </c>
      <c r="E435" s="38" t="s">
        <v>1553</v>
      </c>
      <c r="F435" s="38" t="s">
        <v>1403</v>
      </c>
      <c r="G435" s="37"/>
      <c r="H435" s="38" t="s">
        <v>794</v>
      </c>
      <c r="I435" s="37" t="s">
        <v>451</v>
      </c>
      <c r="J435" s="38" t="s">
        <v>1404</v>
      </c>
    </row>
    <row r="436" spans="1:10" ht="209" x14ac:dyDescent="0.2">
      <c r="A436" s="87" t="s">
        <v>208</v>
      </c>
      <c r="B436" s="37">
        <v>2026</v>
      </c>
      <c r="C436" s="38" t="s">
        <v>1616</v>
      </c>
      <c r="D436" s="38" t="s">
        <v>1617</v>
      </c>
      <c r="E436" s="38" t="s">
        <v>1553</v>
      </c>
      <c r="F436" s="38" t="s">
        <v>1403</v>
      </c>
      <c r="G436" s="37"/>
      <c r="H436" s="38" t="s">
        <v>1618</v>
      </c>
      <c r="I436" s="37" t="s">
        <v>451</v>
      </c>
      <c r="J436" s="38" t="s">
        <v>1404</v>
      </c>
    </row>
    <row r="437" spans="1:10" ht="114" x14ac:dyDescent="0.2">
      <c r="A437" s="87" t="s">
        <v>218</v>
      </c>
      <c r="B437" s="37">
        <v>2026</v>
      </c>
      <c r="C437" s="38" t="s">
        <v>1619</v>
      </c>
      <c r="D437" s="38" t="s">
        <v>1620</v>
      </c>
      <c r="E437" s="38" t="s">
        <v>1553</v>
      </c>
      <c r="F437" s="38" t="s">
        <v>1403</v>
      </c>
      <c r="G437" s="37"/>
      <c r="H437" s="38" t="s">
        <v>1621</v>
      </c>
      <c r="I437" s="37" t="s">
        <v>451</v>
      </c>
      <c r="J437" s="38" t="s">
        <v>1404</v>
      </c>
    </row>
    <row r="438" spans="1:10" ht="76" x14ac:dyDescent="0.2">
      <c r="A438" s="87" t="s">
        <v>218</v>
      </c>
      <c r="B438" s="37">
        <v>2026</v>
      </c>
      <c r="C438" s="38" t="s">
        <v>1622</v>
      </c>
      <c r="D438" s="38" t="s">
        <v>1623</v>
      </c>
      <c r="E438" s="38" t="s">
        <v>1553</v>
      </c>
      <c r="F438" s="38" t="s">
        <v>1403</v>
      </c>
      <c r="G438" s="37"/>
      <c r="H438" s="38" t="s">
        <v>1624</v>
      </c>
      <c r="I438" s="37" t="s">
        <v>451</v>
      </c>
      <c r="J438" s="38" t="s">
        <v>1404</v>
      </c>
    </row>
    <row r="439" spans="1:10" ht="114" x14ac:dyDescent="0.2">
      <c r="A439" s="87" t="s">
        <v>218</v>
      </c>
      <c r="B439" s="37">
        <v>2026</v>
      </c>
      <c r="C439" s="38" t="s">
        <v>1625</v>
      </c>
      <c r="D439" s="38" t="s">
        <v>1626</v>
      </c>
      <c r="E439" s="38" t="s">
        <v>1553</v>
      </c>
      <c r="F439" s="38" t="s">
        <v>1403</v>
      </c>
      <c r="G439" s="37"/>
      <c r="H439" s="38" t="s">
        <v>1627</v>
      </c>
      <c r="I439" s="37" t="s">
        <v>659</v>
      </c>
      <c r="J439" s="38" t="s">
        <v>1404</v>
      </c>
    </row>
    <row r="440" spans="1:10" ht="114" x14ac:dyDescent="0.2">
      <c r="A440" s="87" t="s">
        <v>227</v>
      </c>
      <c r="B440" s="37">
        <v>2026</v>
      </c>
      <c r="C440" s="38" t="s">
        <v>1628</v>
      </c>
      <c r="D440" s="38" t="s">
        <v>1629</v>
      </c>
      <c r="E440" s="38" t="s">
        <v>1553</v>
      </c>
      <c r="F440" s="38" t="s">
        <v>1403</v>
      </c>
      <c r="G440" s="37"/>
      <c r="H440" s="38" t="s">
        <v>1122</v>
      </c>
      <c r="I440" s="37" t="s">
        <v>451</v>
      </c>
      <c r="J440" s="38" t="s">
        <v>1404</v>
      </c>
    </row>
    <row r="441" spans="1:10" ht="114" x14ac:dyDescent="0.2">
      <c r="A441" s="87" t="s">
        <v>227</v>
      </c>
      <c r="B441" s="37">
        <v>2026</v>
      </c>
      <c r="C441" s="38" t="s">
        <v>1630</v>
      </c>
      <c r="D441" s="38" t="s">
        <v>1631</v>
      </c>
      <c r="E441" s="38" t="s">
        <v>1553</v>
      </c>
      <c r="F441" s="38" t="s">
        <v>1403</v>
      </c>
      <c r="G441" s="37"/>
      <c r="H441" s="38" t="s">
        <v>1632</v>
      </c>
      <c r="I441" s="37" t="s">
        <v>451</v>
      </c>
      <c r="J441" s="38" t="s">
        <v>1404</v>
      </c>
    </row>
    <row r="442" spans="1:10" ht="95" x14ac:dyDescent="0.2">
      <c r="A442" s="87" t="s">
        <v>227</v>
      </c>
      <c r="B442" s="37">
        <v>2026</v>
      </c>
      <c r="C442" s="38" t="s">
        <v>1633</v>
      </c>
      <c r="D442" s="38" t="s">
        <v>1634</v>
      </c>
      <c r="E442" s="38" t="s">
        <v>1553</v>
      </c>
      <c r="F442" s="38" t="s">
        <v>1403</v>
      </c>
      <c r="G442" s="37"/>
      <c r="H442" s="38" t="s">
        <v>1635</v>
      </c>
      <c r="I442" s="37" t="s">
        <v>451</v>
      </c>
      <c r="J442" s="38" t="s">
        <v>1404</v>
      </c>
    </row>
    <row r="443" spans="1:10" ht="76" x14ac:dyDescent="0.2">
      <c r="A443" s="87" t="s">
        <v>237</v>
      </c>
      <c r="B443" s="37">
        <v>2025</v>
      </c>
      <c r="C443" s="38" t="s">
        <v>1636</v>
      </c>
      <c r="D443" s="38" t="s">
        <v>1637</v>
      </c>
      <c r="E443" s="38" t="s">
        <v>1553</v>
      </c>
      <c r="F443" s="38" t="s">
        <v>1403</v>
      </c>
      <c r="G443" s="37"/>
      <c r="H443" s="38" t="s">
        <v>1638</v>
      </c>
      <c r="I443" s="37" t="s">
        <v>451</v>
      </c>
      <c r="J443" s="38" t="s">
        <v>1404</v>
      </c>
    </row>
    <row r="444" spans="1:10" ht="114" x14ac:dyDescent="0.2">
      <c r="A444" s="87" t="s">
        <v>237</v>
      </c>
      <c r="B444" s="37">
        <v>2025</v>
      </c>
      <c r="C444" s="38" t="s">
        <v>1639</v>
      </c>
      <c r="D444" s="38" t="s">
        <v>1640</v>
      </c>
      <c r="E444" s="38" t="s">
        <v>1553</v>
      </c>
      <c r="F444" s="38" t="s">
        <v>1403</v>
      </c>
      <c r="G444" s="37"/>
      <c r="H444" s="38" t="s">
        <v>1641</v>
      </c>
      <c r="I444" s="37" t="s">
        <v>659</v>
      </c>
      <c r="J444" s="38" t="s">
        <v>1404</v>
      </c>
    </row>
    <row r="445" spans="1:10" ht="76" x14ac:dyDescent="0.2">
      <c r="A445" s="87" t="s">
        <v>247</v>
      </c>
      <c r="B445" s="37">
        <v>2026</v>
      </c>
      <c r="C445" s="38" t="s">
        <v>1642</v>
      </c>
      <c r="D445" s="38" t="s">
        <v>1643</v>
      </c>
      <c r="E445" s="38" t="s">
        <v>1553</v>
      </c>
      <c r="F445" s="38" t="s">
        <v>1403</v>
      </c>
      <c r="G445" s="37"/>
      <c r="H445" s="38" t="s">
        <v>1644</v>
      </c>
      <c r="I445" s="37" t="s">
        <v>451</v>
      </c>
      <c r="J445" s="38" t="s">
        <v>1404</v>
      </c>
    </row>
    <row r="446" spans="1:10" ht="152" x14ac:dyDescent="0.2">
      <c r="A446" s="87" t="s">
        <v>247</v>
      </c>
      <c r="B446" s="37">
        <v>2026</v>
      </c>
      <c r="C446" s="38" t="s">
        <v>1645</v>
      </c>
      <c r="D446" s="38" t="s">
        <v>1646</v>
      </c>
      <c r="E446" s="38" t="s">
        <v>1553</v>
      </c>
      <c r="F446" s="38" t="s">
        <v>1403</v>
      </c>
      <c r="G446" s="37"/>
      <c r="H446" s="38" t="s">
        <v>1647</v>
      </c>
      <c r="I446" s="37" t="s">
        <v>659</v>
      </c>
      <c r="J446" s="38" t="s">
        <v>1404</v>
      </c>
    </row>
    <row r="447" spans="1:10" ht="114" x14ac:dyDescent="0.2">
      <c r="A447" s="87" t="s">
        <v>257</v>
      </c>
      <c r="B447" s="37">
        <v>2025</v>
      </c>
      <c r="C447" s="38" t="s">
        <v>1648</v>
      </c>
      <c r="D447" s="38" t="s">
        <v>1649</v>
      </c>
      <c r="E447" s="38" t="s">
        <v>1553</v>
      </c>
      <c r="F447" s="38" t="s">
        <v>1403</v>
      </c>
      <c r="G447" s="37"/>
      <c r="H447" s="38" t="s">
        <v>1650</v>
      </c>
      <c r="I447" s="37" t="s">
        <v>451</v>
      </c>
      <c r="J447" s="38" t="s">
        <v>1404</v>
      </c>
    </row>
    <row r="448" spans="1:10" ht="95" x14ac:dyDescent="0.2">
      <c r="A448" s="87" t="s">
        <v>257</v>
      </c>
      <c r="B448" s="37">
        <v>2025</v>
      </c>
      <c r="C448" s="38" t="s">
        <v>1651</v>
      </c>
      <c r="D448" s="38" t="s">
        <v>1652</v>
      </c>
      <c r="E448" s="38" t="s">
        <v>1553</v>
      </c>
      <c r="F448" s="38" t="s">
        <v>1403</v>
      </c>
      <c r="G448" s="37"/>
      <c r="H448" s="38" t="s">
        <v>1653</v>
      </c>
      <c r="I448" s="37" t="s">
        <v>451</v>
      </c>
      <c r="J448" s="38" t="s">
        <v>1404</v>
      </c>
    </row>
    <row r="449" spans="1:10" x14ac:dyDescent="0.2">
      <c r="A449" s="39"/>
      <c r="B449" s="39"/>
      <c r="C449" s="39"/>
      <c r="E449" s="39"/>
      <c r="F449" s="39"/>
      <c r="G449" s="39"/>
      <c r="H449" s="39"/>
      <c r="I449" s="39"/>
      <c r="J449" s="39"/>
    </row>
    <row r="450" spans="1:10" ht="57" x14ac:dyDescent="0.2">
      <c r="A450" s="87" t="s">
        <v>44</v>
      </c>
      <c r="B450" s="37">
        <v>2024</v>
      </c>
      <c r="C450" s="38" t="s">
        <v>1654</v>
      </c>
      <c r="D450" s="38" t="s">
        <v>1655</v>
      </c>
      <c r="E450" s="38" t="s">
        <v>1656</v>
      </c>
      <c r="F450" s="38" t="s">
        <v>1403</v>
      </c>
      <c r="G450" s="37"/>
      <c r="H450" s="38" t="s">
        <v>1657</v>
      </c>
      <c r="I450" s="37" t="s">
        <v>451</v>
      </c>
      <c r="J450" s="38" t="s">
        <v>1404</v>
      </c>
    </row>
    <row r="451" spans="1:10" ht="76" x14ac:dyDescent="0.2">
      <c r="A451" s="87" t="s">
        <v>44</v>
      </c>
      <c r="B451" s="37">
        <v>2024</v>
      </c>
      <c r="C451" s="38" t="s">
        <v>1658</v>
      </c>
      <c r="D451" s="38" t="s">
        <v>1659</v>
      </c>
      <c r="E451" s="38" t="s">
        <v>1656</v>
      </c>
      <c r="F451" s="38" t="s">
        <v>1403</v>
      </c>
      <c r="G451" s="37"/>
      <c r="H451" s="38" t="s">
        <v>543</v>
      </c>
      <c r="I451" s="37" t="s">
        <v>659</v>
      </c>
      <c r="J451" s="38" t="s">
        <v>1404</v>
      </c>
    </row>
    <row r="452" spans="1:10" ht="57" x14ac:dyDescent="0.2">
      <c r="A452" s="87" t="s">
        <v>54</v>
      </c>
      <c r="B452" s="37">
        <v>2025</v>
      </c>
      <c r="C452" s="38" t="s">
        <v>1660</v>
      </c>
      <c r="D452" s="38" t="s">
        <v>1661</v>
      </c>
      <c r="E452" s="38" t="s">
        <v>1656</v>
      </c>
      <c r="F452" s="38" t="s">
        <v>1403</v>
      </c>
      <c r="G452" s="37"/>
      <c r="H452" s="38" t="s">
        <v>1212</v>
      </c>
      <c r="I452" s="37" t="s">
        <v>451</v>
      </c>
      <c r="J452" s="38" t="s">
        <v>1404</v>
      </c>
    </row>
    <row r="453" spans="1:10" ht="57" x14ac:dyDescent="0.2">
      <c r="A453" s="87" t="s">
        <v>54</v>
      </c>
      <c r="B453" s="37">
        <v>2025</v>
      </c>
      <c r="C453" s="38" t="s">
        <v>1662</v>
      </c>
      <c r="D453" s="38" t="s">
        <v>1663</v>
      </c>
      <c r="E453" s="38" t="s">
        <v>1656</v>
      </c>
      <c r="F453" s="38" t="s">
        <v>1403</v>
      </c>
      <c r="G453" s="37"/>
      <c r="H453" s="38" t="s">
        <v>1664</v>
      </c>
      <c r="I453" s="37" t="s">
        <v>451</v>
      </c>
      <c r="J453" s="38" t="s">
        <v>1404</v>
      </c>
    </row>
    <row r="454" spans="1:10" ht="76" x14ac:dyDescent="0.2">
      <c r="A454" s="87" t="s">
        <v>63</v>
      </c>
      <c r="B454" s="37">
        <v>2025</v>
      </c>
      <c r="C454" s="38" t="s">
        <v>1665</v>
      </c>
      <c r="D454" s="38" t="s">
        <v>1666</v>
      </c>
      <c r="E454" s="38" t="s">
        <v>1656</v>
      </c>
      <c r="F454" s="38" t="s">
        <v>1403</v>
      </c>
      <c r="G454" s="37"/>
      <c r="H454" s="38" t="s">
        <v>1667</v>
      </c>
      <c r="I454" s="37" t="s">
        <v>451</v>
      </c>
      <c r="J454" s="38" t="s">
        <v>1404</v>
      </c>
    </row>
    <row r="455" spans="1:10" ht="57" x14ac:dyDescent="0.2">
      <c r="A455" s="87" t="s">
        <v>63</v>
      </c>
      <c r="B455" s="37">
        <v>2025</v>
      </c>
      <c r="C455" s="38" t="s">
        <v>1668</v>
      </c>
      <c r="D455" s="38" t="s">
        <v>1669</v>
      </c>
      <c r="E455" s="38" t="s">
        <v>1656</v>
      </c>
      <c r="F455" s="38" t="s">
        <v>1403</v>
      </c>
      <c r="G455" s="37"/>
      <c r="H455" s="38" t="s">
        <v>997</v>
      </c>
      <c r="I455" s="37" t="s">
        <v>451</v>
      </c>
      <c r="J455" s="38" t="s">
        <v>1404</v>
      </c>
    </row>
    <row r="456" spans="1:10" ht="57" x14ac:dyDescent="0.2">
      <c r="A456" s="87" t="s">
        <v>63</v>
      </c>
      <c r="B456" s="37">
        <v>2025</v>
      </c>
      <c r="C456" s="38" t="s">
        <v>1670</v>
      </c>
      <c r="D456" s="38" t="s">
        <v>1671</v>
      </c>
      <c r="E456" s="38" t="s">
        <v>1656</v>
      </c>
      <c r="F456" s="38" t="s">
        <v>1403</v>
      </c>
      <c r="G456" s="37"/>
      <c r="H456" s="38" t="s">
        <v>1672</v>
      </c>
      <c r="I456" s="37" t="s">
        <v>659</v>
      </c>
      <c r="J456" s="38" t="s">
        <v>1404</v>
      </c>
    </row>
    <row r="457" spans="1:10" ht="76" x14ac:dyDescent="0.2">
      <c r="A457" s="87" t="s">
        <v>73</v>
      </c>
      <c r="B457" s="37">
        <v>2024</v>
      </c>
      <c r="C457" s="38" t="s">
        <v>1673</v>
      </c>
      <c r="D457" s="38" t="s">
        <v>1674</v>
      </c>
      <c r="E457" s="38" t="s">
        <v>1656</v>
      </c>
      <c r="F457" s="38" t="s">
        <v>1403</v>
      </c>
      <c r="G457" s="37"/>
      <c r="H457" s="38" t="s">
        <v>1675</v>
      </c>
      <c r="I457" s="37" t="s">
        <v>451</v>
      </c>
      <c r="J457" s="38" t="s">
        <v>1404</v>
      </c>
    </row>
    <row r="458" spans="1:10" ht="95" x14ac:dyDescent="0.2">
      <c r="A458" s="87" t="s">
        <v>73</v>
      </c>
      <c r="B458" s="37">
        <v>2024</v>
      </c>
      <c r="C458" s="38" t="s">
        <v>1676</v>
      </c>
      <c r="D458" s="38" t="s">
        <v>1677</v>
      </c>
      <c r="E458" s="38" t="s">
        <v>1656</v>
      </c>
      <c r="F458" s="38" t="s">
        <v>1403</v>
      </c>
      <c r="G458" s="37"/>
      <c r="H458" s="38" t="s">
        <v>1678</v>
      </c>
      <c r="I458" s="37" t="s">
        <v>451</v>
      </c>
      <c r="J458" s="38" t="s">
        <v>1404</v>
      </c>
    </row>
    <row r="459" spans="1:10" ht="114" x14ac:dyDescent="0.2">
      <c r="A459" s="87" t="s">
        <v>73</v>
      </c>
      <c r="B459" s="37">
        <v>2024</v>
      </c>
      <c r="C459" s="38" t="s">
        <v>1679</v>
      </c>
      <c r="D459" s="38" t="s">
        <v>1680</v>
      </c>
      <c r="E459" s="38" t="s">
        <v>1656</v>
      </c>
      <c r="F459" s="38" t="s">
        <v>1403</v>
      </c>
      <c r="G459" s="37"/>
      <c r="H459" s="38" t="s">
        <v>1681</v>
      </c>
      <c r="I459" s="37" t="s">
        <v>451</v>
      </c>
      <c r="J459" s="38" t="s">
        <v>1404</v>
      </c>
    </row>
    <row r="460" spans="1:10" ht="76" x14ac:dyDescent="0.2">
      <c r="A460" s="87" t="s">
        <v>83</v>
      </c>
      <c r="B460" s="37">
        <v>2025</v>
      </c>
      <c r="C460" s="38" t="s">
        <v>1682</v>
      </c>
      <c r="D460" s="38" t="s">
        <v>1683</v>
      </c>
      <c r="E460" s="38" t="s">
        <v>1656</v>
      </c>
      <c r="F460" s="38" t="s">
        <v>1403</v>
      </c>
      <c r="G460" s="37"/>
      <c r="H460" s="38" t="s">
        <v>1684</v>
      </c>
      <c r="I460" s="37" t="s">
        <v>451</v>
      </c>
      <c r="J460" s="38" t="s">
        <v>1404</v>
      </c>
    </row>
    <row r="461" spans="1:10" ht="57" x14ac:dyDescent="0.2">
      <c r="A461" s="87" t="s">
        <v>83</v>
      </c>
      <c r="B461" s="37">
        <v>2025</v>
      </c>
      <c r="C461" s="38" t="s">
        <v>1685</v>
      </c>
      <c r="D461" s="38" t="s">
        <v>1686</v>
      </c>
      <c r="E461" s="38" t="s">
        <v>1656</v>
      </c>
      <c r="F461" s="38" t="s">
        <v>1403</v>
      </c>
      <c r="G461" s="37"/>
      <c r="H461" s="38" t="s">
        <v>1687</v>
      </c>
      <c r="I461" s="37" t="s">
        <v>451</v>
      </c>
      <c r="J461" s="38" t="s">
        <v>1404</v>
      </c>
    </row>
    <row r="462" spans="1:10" ht="57" x14ac:dyDescent="0.2">
      <c r="A462" s="87" t="s">
        <v>93</v>
      </c>
      <c r="B462" s="37">
        <v>2025</v>
      </c>
      <c r="C462" s="38" t="s">
        <v>1688</v>
      </c>
      <c r="D462" s="38" t="s">
        <v>1689</v>
      </c>
      <c r="E462" s="38" t="s">
        <v>1656</v>
      </c>
      <c r="F462" s="38" t="s">
        <v>1403</v>
      </c>
      <c r="G462" s="37"/>
      <c r="H462" s="38" t="s">
        <v>1690</v>
      </c>
      <c r="I462" s="37" t="s">
        <v>451</v>
      </c>
      <c r="J462" s="38" t="s">
        <v>1404</v>
      </c>
    </row>
    <row r="463" spans="1:10" ht="57" x14ac:dyDescent="0.2">
      <c r="A463" s="87" t="s">
        <v>93</v>
      </c>
      <c r="B463" s="37">
        <v>2025</v>
      </c>
      <c r="C463" s="38" t="s">
        <v>1691</v>
      </c>
      <c r="D463" s="38" t="s">
        <v>1692</v>
      </c>
      <c r="E463" s="38" t="s">
        <v>1656</v>
      </c>
      <c r="F463" s="38" t="s">
        <v>1403</v>
      </c>
      <c r="G463" s="37"/>
      <c r="H463" s="38" t="s">
        <v>572</v>
      </c>
      <c r="I463" s="37" t="s">
        <v>659</v>
      </c>
      <c r="J463" s="38" t="s">
        <v>1404</v>
      </c>
    </row>
    <row r="464" spans="1:10" ht="38" x14ac:dyDescent="0.2">
      <c r="A464" s="87" t="s">
        <v>103</v>
      </c>
      <c r="B464" s="37">
        <v>2024</v>
      </c>
      <c r="C464" s="38" t="s">
        <v>1693</v>
      </c>
      <c r="D464" s="38" t="s">
        <v>1694</v>
      </c>
      <c r="E464" s="38" t="s">
        <v>1656</v>
      </c>
      <c r="F464" s="38" t="s">
        <v>1403</v>
      </c>
      <c r="G464" s="37"/>
      <c r="H464" s="38" t="s">
        <v>1695</v>
      </c>
      <c r="I464" s="37" t="s">
        <v>451</v>
      </c>
      <c r="J464" s="38" t="s">
        <v>1404</v>
      </c>
    </row>
    <row r="465" spans="1:10" ht="57" x14ac:dyDescent="0.2">
      <c r="A465" s="87" t="s">
        <v>103</v>
      </c>
      <c r="B465" s="37">
        <v>2024</v>
      </c>
      <c r="C465" s="38" t="s">
        <v>1696</v>
      </c>
      <c r="D465" s="38" t="s">
        <v>1697</v>
      </c>
      <c r="E465" s="38" t="s">
        <v>1656</v>
      </c>
      <c r="F465" s="38" t="s">
        <v>1403</v>
      </c>
      <c r="G465" s="37"/>
      <c r="H465" s="38" t="s">
        <v>1011</v>
      </c>
      <c r="I465" s="37" t="s">
        <v>659</v>
      </c>
      <c r="J465" s="38" t="s">
        <v>1404</v>
      </c>
    </row>
    <row r="466" spans="1:10" ht="76" x14ac:dyDescent="0.2">
      <c r="A466" s="87" t="s">
        <v>113</v>
      </c>
      <c r="B466" s="37">
        <v>2024</v>
      </c>
      <c r="C466" s="38" t="s">
        <v>1698</v>
      </c>
      <c r="D466" s="38" t="s">
        <v>1699</v>
      </c>
      <c r="E466" s="38" t="s">
        <v>1656</v>
      </c>
      <c r="F466" s="38" t="s">
        <v>1403</v>
      </c>
      <c r="G466" s="37"/>
      <c r="H466" s="38" t="s">
        <v>1700</v>
      </c>
      <c r="I466" s="37" t="s">
        <v>451</v>
      </c>
      <c r="J466" s="38" t="s">
        <v>1404</v>
      </c>
    </row>
    <row r="467" spans="1:10" ht="57" x14ac:dyDescent="0.2">
      <c r="A467" s="87" t="s">
        <v>113</v>
      </c>
      <c r="B467" s="37">
        <v>2024</v>
      </c>
      <c r="C467" s="38" t="s">
        <v>1701</v>
      </c>
      <c r="D467" s="38" t="s">
        <v>1702</v>
      </c>
      <c r="E467" s="38" t="s">
        <v>1656</v>
      </c>
      <c r="F467" s="38" t="s">
        <v>1403</v>
      </c>
      <c r="G467" s="37"/>
      <c r="H467" s="38" t="s">
        <v>1703</v>
      </c>
      <c r="I467" s="37" t="s">
        <v>659</v>
      </c>
      <c r="J467" s="38" t="s">
        <v>1404</v>
      </c>
    </row>
    <row r="468" spans="1:10" ht="95" x14ac:dyDescent="0.2">
      <c r="A468" s="87" t="s">
        <v>122</v>
      </c>
      <c r="B468" s="37">
        <v>2024</v>
      </c>
      <c r="C468" s="38" t="s">
        <v>1704</v>
      </c>
      <c r="D468" s="38" t="s">
        <v>1705</v>
      </c>
      <c r="E468" s="38" t="s">
        <v>1656</v>
      </c>
      <c r="F468" s="38" t="s">
        <v>1403</v>
      </c>
      <c r="G468" s="37"/>
      <c r="H468" s="38" t="s">
        <v>1706</v>
      </c>
      <c r="I468" s="37" t="s">
        <v>659</v>
      </c>
      <c r="J468" s="38" t="s">
        <v>1404</v>
      </c>
    </row>
    <row r="469" spans="1:10" ht="57" x14ac:dyDescent="0.2">
      <c r="A469" s="87" t="s">
        <v>130</v>
      </c>
      <c r="B469" s="37">
        <v>2024</v>
      </c>
      <c r="C469" s="38" t="s">
        <v>1707</v>
      </c>
      <c r="D469" s="38" t="s">
        <v>1708</v>
      </c>
      <c r="E469" s="38" t="s">
        <v>1656</v>
      </c>
      <c r="F469" s="38" t="s">
        <v>1403</v>
      </c>
      <c r="G469" s="37"/>
      <c r="H469" s="38" t="s">
        <v>1667</v>
      </c>
      <c r="I469" s="37" t="s">
        <v>451</v>
      </c>
      <c r="J469" s="38" t="s">
        <v>1404</v>
      </c>
    </row>
    <row r="470" spans="1:10" ht="57" x14ac:dyDescent="0.2">
      <c r="A470" s="87" t="s">
        <v>130</v>
      </c>
      <c r="B470" s="37">
        <v>2024</v>
      </c>
      <c r="C470" s="38" t="s">
        <v>1709</v>
      </c>
      <c r="D470" s="38" t="s">
        <v>1710</v>
      </c>
      <c r="E470" s="38" t="s">
        <v>1656</v>
      </c>
      <c r="F470" s="38" t="s">
        <v>1403</v>
      </c>
      <c r="G470" s="37"/>
      <c r="H470" s="38" t="s">
        <v>483</v>
      </c>
      <c r="I470" s="37" t="s">
        <v>451</v>
      </c>
      <c r="J470" s="38" t="s">
        <v>1404</v>
      </c>
    </row>
    <row r="471" spans="1:10" ht="95" x14ac:dyDescent="0.2">
      <c r="A471" s="87" t="s">
        <v>139</v>
      </c>
      <c r="B471" s="37">
        <v>2023</v>
      </c>
      <c r="C471" s="38" t="s">
        <v>1711</v>
      </c>
      <c r="D471" s="38" t="s">
        <v>1712</v>
      </c>
      <c r="E471" s="38" t="s">
        <v>1656</v>
      </c>
      <c r="F471" s="38" t="s">
        <v>1403</v>
      </c>
      <c r="G471" s="37"/>
      <c r="H471" s="38" t="s">
        <v>1713</v>
      </c>
      <c r="I471" s="37" t="s">
        <v>451</v>
      </c>
      <c r="J471" s="38" t="s">
        <v>1404</v>
      </c>
    </row>
    <row r="472" spans="1:10" ht="76" x14ac:dyDescent="0.2">
      <c r="A472" s="87" t="s">
        <v>139</v>
      </c>
      <c r="B472" s="37">
        <v>2023</v>
      </c>
      <c r="C472" s="38" t="s">
        <v>1714</v>
      </c>
      <c r="D472" s="38" t="s">
        <v>1715</v>
      </c>
      <c r="E472" s="38" t="s">
        <v>1656</v>
      </c>
      <c r="F472" s="38" t="s">
        <v>1403</v>
      </c>
      <c r="G472" s="37"/>
      <c r="H472" s="38" t="s">
        <v>1716</v>
      </c>
      <c r="I472" s="37" t="s">
        <v>659</v>
      </c>
      <c r="J472" s="38" t="s">
        <v>1404</v>
      </c>
    </row>
    <row r="473" spans="1:10" ht="133" x14ac:dyDescent="0.2">
      <c r="A473" s="87" t="s">
        <v>149</v>
      </c>
      <c r="B473" s="37">
        <v>2020</v>
      </c>
      <c r="C473" s="38" t="s">
        <v>1717</v>
      </c>
      <c r="D473" s="38" t="s">
        <v>1718</v>
      </c>
      <c r="E473" s="38" t="s">
        <v>1656</v>
      </c>
      <c r="F473" s="38" t="s">
        <v>1403</v>
      </c>
      <c r="G473" s="37"/>
      <c r="H473" s="38" t="s">
        <v>1719</v>
      </c>
      <c r="I473" s="37" t="s">
        <v>451</v>
      </c>
      <c r="J473" s="38" t="s">
        <v>1404</v>
      </c>
    </row>
    <row r="474" spans="1:10" ht="133" x14ac:dyDescent="0.2">
      <c r="A474" s="87" t="s">
        <v>159</v>
      </c>
      <c r="B474" s="37">
        <v>2025</v>
      </c>
      <c r="C474" s="38" t="s">
        <v>1720</v>
      </c>
      <c r="D474" s="38" t="s">
        <v>1721</v>
      </c>
      <c r="E474" s="38" t="s">
        <v>1656</v>
      </c>
      <c r="F474" s="38" t="s">
        <v>1403</v>
      </c>
      <c r="G474" s="37"/>
      <c r="H474" s="38" t="s">
        <v>1722</v>
      </c>
      <c r="I474" s="37" t="s">
        <v>451</v>
      </c>
      <c r="J474" s="38" t="s">
        <v>1404</v>
      </c>
    </row>
    <row r="475" spans="1:10" ht="95" x14ac:dyDescent="0.2">
      <c r="A475" s="87" t="s">
        <v>169</v>
      </c>
      <c r="B475" s="37">
        <v>2026</v>
      </c>
      <c r="C475" s="38" t="s">
        <v>1723</v>
      </c>
      <c r="D475" s="38" t="s">
        <v>1724</v>
      </c>
      <c r="E475" s="38" t="s">
        <v>1656</v>
      </c>
      <c r="F475" s="38" t="s">
        <v>1403</v>
      </c>
      <c r="G475" s="37"/>
      <c r="H475" s="38" t="s">
        <v>472</v>
      </c>
      <c r="I475" s="37" t="s">
        <v>659</v>
      </c>
      <c r="J475" s="38" t="s">
        <v>1404</v>
      </c>
    </row>
    <row r="476" spans="1:10" ht="152" x14ac:dyDescent="0.2">
      <c r="A476" s="87" t="s">
        <v>179</v>
      </c>
      <c r="B476" s="37">
        <v>2025</v>
      </c>
      <c r="C476" s="38" t="s">
        <v>1725</v>
      </c>
      <c r="D476" s="38" t="s">
        <v>1726</v>
      </c>
      <c r="E476" s="38" t="s">
        <v>1656</v>
      </c>
      <c r="F476" s="38" t="s">
        <v>1403</v>
      </c>
      <c r="G476" s="37"/>
      <c r="H476" s="38" t="s">
        <v>566</v>
      </c>
      <c r="I476" s="37" t="s">
        <v>451</v>
      </c>
      <c r="J476" s="38" t="s">
        <v>1404</v>
      </c>
    </row>
    <row r="477" spans="1:10" ht="133" x14ac:dyDescent="0.2">
      <c r="A477" s="87" t="s">
        <v>179</v>
      </c>
      <c r="B477" s="37">
        <v>2025</v>
      </c>
      <c r="C477" s="38" t="s">
        <v>1727</v>
      </c>
      <c r="D477" s="38" t="s">
        <v>1728</v>
      </c>
      <c r="E477" s="38" t="s">
        <v>1656</v>
      </c>
      <c r="F477" s="38" t="s">
        <v>1403</v>
      </c>
      <c r="G477" s="37"/>
      <c r="H477" s="38" t="s">
        <v>1729</v>
      </c>
      <c r="I477" s="37" t="s">
        <v>659</v>
      </c>
      <c r="J477" s="38" t="s">
        <v>1404</v>
      </c>
    </row>
    <row r="478" spans="1:10" ht="171" x14ac:dyDescent="0.2">
      <c r="A478" s="87" t="s">
        <v>188</v>
      </c>
      <c r="B478" s="37">
        <v>2025</v>
      </c>
      <c r="C478" s="38" t="s">
        <v>1730</v>
      </c>
      <c r="D478" s="38" t="s">
        <v>1731</v>
      </c>
      <c r="E478" s="38" t="s">
        <v>1656</v>
      </c>
      <c r="F478" s="38" t="s">
        <v>1403</v>
      </c>
      <c r="G478" s="37"/>
      <c r="H478" s="38" t="s">
        <v>1732</v>
      </c>
      <c r="I478" s="37" t="s">
        <v>451</v>
      </c>
      <c r="J478" s="38" t="s">
        <v>1404</v>
      </c>
    </row>
    <row r="479" spans="1:10" ht="171" x14ac:dyDescent="0.2">
      <c r="A479" s="87" t="s">
        <v>198</v>
      </c>
      <c r="B479" s="37">
        <v>2026</v>
      </c>
      <c r="C479" s="38" t="s">
        <v>1733</v>
      </c>
      <c r="D479" s="38" t="s">
        <v>1734</v>
      </c>
      <c r="E479" s="38" t="s">
        <v>1656</v>
      </c>
      <c r="F479" s="38" t="s">
        <v>1403</v>
      </c>
      <c r="G479" s="37"/>
      <c r="H479" s="38" t="s">
        <v>1735</v>
      </c>
      <c r="I479" s="37" t="s">
        <v>451</v>
      </c>
      <c r="J479" s="38" t="s">
        <v>1404</v>
      </c>
    </row>
    <row r="480" spans="1:10" ht="133" x14ac:dyDescent="0.2">
      <c r="A480" s="87" t="s">
        <v>198</v>
      </c>
      <c r="B480" s="37">
        <v>2026</v>
      </c>
      <c r="C480" s="38" t="s">
        <v>1736</v>
      </c>
      <c r="D480" s="38" t="s">
        <v>1737</v>
      </c>
      <c r="E480" s="38" t="s">
        <v>1656</v>
      </c>
      <c r="F480" s="38" t="s">
        <v>1403</v>
      </c>
      <c r="G480" s="37"/>
      <c r="H480" s="38" t="s">
        <v>1738</v>
      </c>
      <c r="I480" s="37" t="s">
        <v>659</v>
      </c>
      <c r="J480" s="38" t="s">
        <v>1404</v>
      </c>
    </row>
    <row r="481" spans="1:10" ht="152" x14ac:dyDescent="0.2">
      <c r="A481" s="87" t="s">
        <v>208</v>
      </c>
      <c r="B481" s="37">
        <v>2026</v>
      </c>
      <c r="C481" s="38" t="s">
        <v>1739</v>
      </c>
      <c r="D481" s="38" t="s">
        <v>1740</v>
      </c>
      <c r="E481" s="38" t="s">
        <v>1656</v>
      </c>
      <c r="F481" s="38" t="s">
        <v>1403</v>
      </c>
      <c r="G481" s="37"/>
      <c r="H481" s="38" t="s">
        <v>1741</v>
      </c>
      <c r="I481" s="37" t="s">
        <v>451</v>
      </c>
      <c r="J481" s="38" t="s">
        <v>1404</v>
      </c>
    </row>
    <row r="482" spans="1:10" ht="228" x14ac:dyDescent="0.2">
      <c r="A482" s="87" t="s">
        <v>208</v>
      </c>
      <c r="B482" s="37">
        <v>2026</v>
      </c>
      <c r="C482" s="38" t="s">
        <v>1742</v>
      </c>
      <c r="D482" s="38" t="s">
        <v>1743</v>
      </c>
      <c r="E482" s="38" t="s">
        <v>1656</v>
      </c>
      <c r="F482" s="38" t="s">
        <v>1403</v>
      </c>
      <c r="G482" s="37"/>
      <c r="H482" s="38" t="s">
        <v>1744</v>
      </c>
      <c r="I482" s="37" t="s">
        <v>659</v>
      </c>
      <c r="J482" s="38" t="s">
        <v>1404</v>
      </c>
    </row>
    <row r="483" spans="1:10" ht="95" x14ac:dyDescent="0.2">
      <c r="A483" s="87" t="s">
        <v>218</v>
      </c>
      <c r="B483" s="37">
        <v>2026</v>
      </c>
      <c r="C483" s="38" t="s">
        <v>1745</v>
      </c>
      <c r="D483" s="38" t="s">
        <v>1746</v>
      </c>
      <c r="E483" s="38" t="s">
        <v>1656</v>
      </c>
      <c r="F483" s="38" t="s">
        <v>1403</v>
      </c>
      <c r="G483" s="37"/>
      <c r="H483" s="38" t="s">
        <v>997</v>
      </c>
      <c r="I483" s="37" t="s">
        <v>451</v>
      </c>
      <c r="J483" s="38" t="s">
        <v>1404</v>
      </c>
    </row>
    <row r="484" spans="1:10" ht="190" x14ac:dyDescent="0.2">
      <c r="A484" s="87" t="s">
        <v>218</v>
      </c>
      <c r="B484" s="37">
        <v>2026</v>
      </c>
      <c r="C484" s="38" t="s">
        <v>1747</v>
      </c>
      <c r="D484" s="38" t="s">
        <v>1748</v>
      </c>
      <c r="E484" s="38" t="s">
        <v>1656</v>
      </c>
      <c r="F484" s="38" t="s">
        <v>1403</v>
      </c>
      <c r="G484" s="37"/>
      <c r="H484" s="38" t="s">
        <v>1749</v>
      </c>
      <c r="I484" s="37" t="s">
        <v>451</v>
      </c>
      <c r="J484" s="38" t="s">
        <v>1404</v>
      </c>
    </row>
    <row r="485" spans="1:10" ht="114" x14ac:dyDescent="0.2">
      <c r="A485" s="87" t="s">
        <v>218</v>
      </c>
      <c r="B485" s="37">
        <v>2026</v>
      </c>
      <c r="C485" s="38" t="s">
        <v>1750</v>
      </c>
      <c r="D485" s="38" t="s">
        <v>1751</v>
      </c>
      <c r="E485" s="38" t="s">
        <v>1656</v>
      </c>
      <c r="F485" s="38" t="s">
        <v>1403</v>
      </c>
      <c r="G485" s="37"/>
      <c r="H485" s="38" t="s">
        <v>1375</v>
      </c>
      <c r="I485" s="37" t="s">
        <v>659</v>
      </c>
      <c r="J485" s="38" t="s">
        <v>1404</v>
      </c>
    </row>
    <row r="486" spans="1:10" ht="95" x14ac:dyDescent="0.2">
      <c r="A486" s="87" t="s">
        <v>227</v>
      </c>
      <c r="B486" s="37">
        <v>2026</v>
      </c>
      <c r="C486" s="38" t="s">
        <v>1752</v>
      </c>
      <c r="D486" s="38" t="s">
        <v>1753</v>
      </c>
      <c r="E486" s="38" t="s">
        <v>1656</v>
      </c>
      <c r="F486" s="38" t="s">
        <v>1403</v>
      </c>
      <c r="G486" s="37"/>
      <c r="H486" s="38" t="s">
        <v>1754</v>
      </c>
      <c r="I486" s="37" t="s">
        <v>451</v>
      </c>
      <c r="J486" s="38" t="s">
        <v>1404</v>
      </c>
    </row>
    <row r="487" spans="1:10" ht="114" x14ac:dyDescent="0.2">
      <c r="A487" s="87" t="s">
        <v>227</v>
      </c>
      <c r="B487" s="37">
        <v>2026</v>
      </c>
      <c r="C487" s="38" t="s">
        <v>1755</v>
      </c>
      <c r="D487" s="38" t="s">
        <v>1756</v>
      </c>
      <c r="E487" s="38" t="s">
        <v>1656</v>
      </c>
      <c r="F487" s="38" t="s">
        <v>1403</v>
      </c>
      <c r="G487" s="37"/>
      <c r="H487" s="38" t="s">
        <v>1178</v>
      </c>
      <c r="I487" s="37" t="s">
        <v>451</v>
      </c>
      <c r="J487" s="38" t="s">
        <v>1404</v>
      </c>
    </row>
    <row r="488" spans="1:10" ht="76" x14ac:dyDescent="0.2">
      <c r="A488" s="87" t="s">
        <v>227</v>
      </c>
      <c r="B488" s="37">
        <v>2026</v>
      </c>
      <c r="C488" s="38" t="s">
        <v>1757</v>
      </c>
      <c r="D488" s="38" t="s">
        <v>1758</v>
      </c>
      <c r="E488" s="38" t="s">
        <v>1656</v>
      </c>
      <c r="F488" s="38" t="s">
        <v>1403</v>
      </c>
      <c r="G488" s="37"/>
      <c r="H488" s="38" t="s">
        <v>492</v>
      </c>
      <c r="I488" s="37" t="s">
        <v>659</v>
      </c>
      <c r="J488" s="38" t="s">
        <v>1404</v>
      </c>
    </row>
    <row r="489" spans="1:10" ht="95" x14ac:dyDescent="0.2">
      <c r="A489" s="87" t="s">
        <v>237</v>
      </c>
      <c r="B489" s="37">
        <v>2025</v>
      </c>
      <c r="C489" s="38" t="s">
        <v>1759</v>
      </c>
      <c r="D489" s="38" t="s">
        <v>1760</v>
      </c>
      <c r="E489" s="38" t="s">
        <v>1656</v>
      </c>
      <c r="F489" s="38" t="s">
        <v>1403</v>
      </c>
      <c r="G489" s="37"/>
      <c r="H489" s="38" t="s">
        <v>1761</v>
      </c>
      <c r="I489" s="37" t="s">
        <v>451</v>
      </c>
      <c r="J489" s="38" t="s">
        <v>1404</v>
      </c>
    </row>
    <row r="490" spans="1:10" ht="190" x14ac:dyDescent="0.2">
      <c r="A490" s="87" t="s">
        <v>237</v>
      </c>
      <c r="B490" s="37">
        <v>2025</v>
      </c>
      <c r="C490" s="38" t="s">
        <v>1762</v>
      </c>
      <c r="D490" s="38" t="s">
        <v>1763</v>
      </c>
      <c r="E490" s="38" t="s">
        <v>1656</v>
      </c>
      <c r="F490" s="38" t="s">
        <v>1403</v>
      </c>
      <c r="G490" s="37"/>
      <c r="H490" s="38" t="s">
        <v>1764</v>
      </c>
      <c r="I490" s="38" t="s">
        <v>451</v>
      </c>
      <c r="J490" s="38" t="s">
        <v>1404</v>
      </c>
    </row>
    <row r="491" spans="1:10" ht="76" x14ac:dyDescent="0.2">
      <c r="A491" s="87" t="s">
        <v>247</v>
      </c>
      <c r="B491" s="37">
        <v>2026</v>
      </c>
      <c r="C491" s="38" t="s">
        <v>1765</v>
      </c>
      <c r="D491" s="38" t="s">
        <v>1766</v>
      </c>
      <c r="E491" s="38" t="s">
        <v>1656</v>
      </c>
      <c r="F491" s="38" t="s">
        <v>1403</v>
      </c>
      <c r="G491" s="37"/>
      <c r="H491" s="38" t="s">
        <v>1767</v>
      </c>
      <c r="I491" s="37" t="s">
        <v>451</v>
      </c>
      <c r="J491" s="38" t="s">
        <v>1404</v>
      </c>
    </row>
    <row r="492" spans="1:10" ht="209" x14ac:dyDescent="0.2">
      <c r="A492" s="87" t="s">
        <v>247</v>
      </c>
      <c r="B492" s="37">
        <v>2026</v>
      </c>
      <c r="C492" s="38" t="s">
        <v>1768</v>
      </c>
      <c r="D492" s="38" t="s">
        <v>1769</v>
      </c>
      <c r="E492" s="38" t="s">
        <v>1656</v>
      </c>
      <c r="F492" s="38" t="s">
        <v>1403</v>
      </c>
      <c r="G492" s="37"/>
      <c r="H492" s="38" t="s">
        <v>1770</v>
      </c>
      <c r="I492" s="37" t="s">
        <v>659</v>
      </c>
      <c r="J492" s="38" t="s">
        <v>1404</v>
      </c>
    </row>
    <row r="493" spans="1:10" ht="76" x14ac:dyDescent="0.2">
      <c r="A493" s="87" t="s">
        <v>257</v>
      </c>
      <c r="B493" s="37">
        <v>2025</v>
      </c>
      <c r="C493" s="38" t="s">
        <v>1771</v>
      </c>
      <c r="D493" s="38" t="s">
        <v>1772</v>
      </c>
      <c r="E493" s="38" t="s">
        <v>1656</v>
      </c>
      <c r="F493" s="38" t="s">
        <v>1403</v>
      </c>
      <c r="G493" s="37"/>
      <c r="H493" s="38" t="s">
        <v>1773</v>
      </c>
      <c r="I493" s="37" t="s">
        <v>451</v>
      </c>
      <c r="J493" s="38" t="s">
        <v>1404</v>
      </c>
    </row>
    <row r="494" spans="1:10" ht="76" x14ac:dyDescent="0.2">
      <c r="A494" s="87" t="s">
        <v>257</v>
      </c>
      <c r="B494" s="37">
        <v>2025</v>
      </c>
      <c r="C494" s="38" t="s">
        <v>1774</v>
      </c>
      <c r="D494" s="38" t="s">
        <v>1775</v>
      </c>
      <c r="E494" s="38" t="s">
        <v>1656</v>
      </c>
      <c r="F494" s="38" t="s">
        <v>1403</v>
      </c>
      <c r="G494" s="37"/>
      <c r="H494" s="38" t="s">
        <v>492</v>
      </c>
      <c r="I494" s="37" t="s">
        <v>659</v>
      </c>
      <c r="J494" s="38" t="s">
        <v>1404</v>
      </c>
    </row>
    <row r="495" spans="1:10" ht="190" x14ac:dyDescent="0.2">
      <c r="A495" s="87" t="s">
        <v>188</v>
      </c>
      <c r="B495" s="37">
        <v>2025</v>
      </c>
      <c r="C495" s="38" t="s">
        <v>1776</v>
      </c>
      <c r="D495" s="38" t="s">
        <v>1777</v>
      </c>
      <c r="E495" s="38" t="s">
        <v>1656</v>
      </c>
      <c r="F495" s="38" t="s">
        <v>1403</v>
      </c>
      <c r="G495" s="37"/>
      <c r="H495" s="38" t="s">
        <v>1778</v>
      </c>
      <c r="I495" s="37" t="s">
        <v>659</v>
      </c>
      <c r="J495" s="38" t="s">
        <v>1404</v>
      </c>
    </row>
    <row r="496" spans="1:10" x14ac:dyDescent="0.2">
      <c r="A496" s="39"/>
      <c r="B496" s="39"/>
      <c r="C496" s="39"/>
      <c r="E496" s="39"/>
      <c r="F496" s="39"/>
      <c r="G496" s="39"/>
      <c r="H496" s="39"/>
      <c r="I496" s="39"/>
      <c r="J496" s="39"/>
    </row>
    <row r="497" spans="1:10" ht="57" x14ac:dyDescent="0.2">
      <c r="A497" s="87" t="s">
        <v>44</v>
      </c>
      <c r="B497" s="37">
        <v>2024</v>
      </c>
      <c r="C497" s="38" t="s">
        <v>1779</v>
      </c>
      <c r="D497" s="38" t="s">
        <v>1780</v>
      </c>
      <c r="E497" s="38" t="s">
        <v>1781</v>
      </c>
      <c r="F497" s="38" t="s">
        <v>1782</v>
      </c>
      <c r="G497" s="37" t="s">
        <v>1783</v>
      </c>
      <c r="H497" s="38" t="s">
        <v>1784</v>
      </c>
      <c r="I497" s="37" t="s">
        <v>451</v>
      </c>
      <c r="J497" s="38" t="s">
        <v>1785</v>
      </c>
    </row>
    <row r="498" spans="1:10" ht="95" x14ac:dyDescent="0.2">
      <c r="A498" s="87" t="s">
        <v>54</v>
      </c>
      <c r="B498" s="37">
        <v>2025</v>
      </c>
      <c r="C498" s="38" t="s">
        <v>1786</v>
      </c>
      <c r="D498" s="38" t="s">
        <v>1787</v>
      </c>
      <c r="E498" s="38" t="s">
        <v>1781</v>
      </c>
      <c r="F498" s="38" t="s">
        <v>1782</v>
      </c>
      <c r="G498" s="37" t="s">
        <v>1788</v>
      </c>
      <c r="H498" s="38" t="s">
        <v>994</v>
      </c>
      <c r="I498" s="37" t="s">
        <v>451</v>
      </c>
      <c r="J498" s="38" t="s">
        <v>1785</v>
      </c>
    </row>
    <row r="499" spans="1:10" ht="114" x14ac:dyDescent="0.2">
      <c r="A499" s="87" t="s">
        <v>63</v>
      </c>
      <c r="B499" s="37">
        <v>2025</v>
      </c>
      <c r="C499" s="38" t="s">
        <v>1789</v>
      </c>
      <c r="D499" s="38" t="s">
        <v>1790</v>
      </c>
      <c r="E499" s="38" t="s">
        <v>1781</v>
      </c>
      <c r="F499" s="38" t="s">
        <v>1782</v>
      </c>
      <c r="G499" s="37" t="s">
        <v>1788</v>
      </c>
      <c r="H499" s="38" t="s">
        <v>1791</v>
      </c>
      <c r="I499" s="37" t="s">
        <v>451</v>
      </c>
      <c r="J499" s="38" t="s">
        <v>1785</v>
      </c>
    </row>
    <row r="500" spans="1:10" ht="57" x14ac:dyDescent="0.2">
      <c r="A500" s="87" t="s">
        <v>93</v>
      </c>
      <c r="B500" s="37">
        <v>2025</v>
      </c>
      <c r="C500" s="38" t="s">
        <v>1792</v>
      </c>
      <c r="D500" s="38" t="s">
        <v>1793</v>
      </c>
      <c r="E500" s="38" t="s">
        <v>1781</v>
      </c>
      <c r="F500" s="38" t="s">
        <v>1782</v>
      </c>
      <c r="G500" s="37" t="s">
        <v>1783</v>
      </c>
      <c r="H500" s="38" t="s">
        <v>492</v>
      </c>
      <c r="I500" s="37" t="s">
        <v>659</v>
      </c>
      <c r="J500" s="38" t="s">
        <v>1785</v>
      </c>
    </row>
    <row r="501" spans="1:10" ht="57" x14ac:dyDescent="0.2">
      <c r="A501" s="87" t="s">
        <v>83</v>
      </c>
      <c r="B501" s="37">
        <v>2025</v>
      </c>
      <c r="C501" s="38" t="s">
        <v>1794</v>
      </c>
      <c r="D501" s="38" t="s">
        <v>1795</v>
      </c>
      <c r="E501" s="38" t="s">
        <v>1781</v>
      </c>
      <c r="F501" s="38" t="s">
        <v>1782</v>
      </c>
      <c r="G501" s="37" t="s">
        <v>1783</v>
      </c>
      <c r="H501" s="38" t="s">
        <v>492</v>
      </c>
      <c r="I501" s="37" t="s">
        <v>659</v>
      </c>
      <c r="J501" s="38" t="s">
        <v>1785</v>
      </c>
    </row>
    <row r="502" spans="1:10" ht="76" x14ac:dyDescent="0.2">
      <c r="A502" s="87" t="s">
        <v>73</v>
      </c>
      <c r="B502" s="37">
        <v>2024</v>
      </c>
      <c r="C502" s="38" t="s">
        <v>1796</v>
      </c>
      <c r="D502" s="38" t="s">
        <v>1797</v>
      </c>
      <c r="E502" s="38" t="s">
        <v>1781</v>
      </c>
      <c r="F502" s="38" t="s">
        <v>1782</v>
      </c>
      <c r="G502" s="37" t="s">
        <v>1783</v>
      </c>
      <c r="H502" s="38" t="s">
        <v>492</v>
      </c>
      <c r="I502" s="37" t="s">
        <v>659</v>
      </c>
      <c r="J502" s="38" t="s">
        <v>1785</v>
      </c>
    </row>
    <row r="503" spans="1:10" ht="76" x14ac:dyDescent="0.2">
      <c r="A503" s="87" t="s">
        <v>103</v>
      </c>
      <c r="B503" s="37">
        <v>2024</v>
      </c>
      <c r="C503" s="38" t="s">
        <v>1798</v>
      </c>
      <c r="D503" s="38" t="s">
        <v>1799</v>
      </c>
      <c r="E503" s="38" t="s">
        <v>1781</v>
      </c>
      <c r="F503" s="38" t="s">
        <v>1782</v>
      </c>
      <c r="G503" s="37" t="s">
        <v>1788</v>
      </c>
      <c r="H503" s="38" t="s">
        <v>469</v>
      </c>
      <c r="I503" s="37" t="s">
        <v>451</v>
      </c>
      <c r="J503" s="38" t="s">
        <v>1785</v>
      </c>
    </row>
    <row r="504" spans="1:10" ht="133" x14ac:dyDescent="0.2">
      <c r="A504" s="87" t="s">
        <v>113</v>
      </c>
      <c r="B504" s="37">
        <v>2024</v>
      </c>
      <c r="C504" s="38" t="s">
        <v>1800</v>
      </c>
      <c r="D504" s="38" t="s">
        <v>1801</v>
      </c>
      <c r="E504" s="38" t="s">
        <v>1781</v>
      </c>
      <c r="F504" s="38" t="s">
        <v>1782</v>
      </c>
      <c r="G504" s="37" t="s">
        <v>1788</v>
      </c>
      <c r="H504" s="38" t="s">
        <v>1802</v>
      </c>
      <c r="I504" s="37" t="s">
        <v>443</v>
      </c>
      <c r="J504" s="38" t="s">
        <v>1785</v>
      </c>
    </row>
    <row r="505" spans="1:10" ht="95" x14ac:dyDescent="0.2">
      <c r="A505" s="87" t="s">
        <v>122</v>
      </c>
      <c r="B505" s="37">
        <v>2024</v>
      </c>
      <c r="C505" s="38" t="s">
        <v>1803</v>
      </c>
      <c r="D505" s="38" t="s">
        <v>1804</v>
      </c>
      <c r="E505" s="38" t="s">
        <v>1781</v>
      </c>
      <c r="F505" s="38" t="s">
        <v>1782</v>
      </c>
      <c r="G505" s="37" t="s">
        <v>1788</v>
      </c>
      <c r="H505" s="38" t="s">
        <v>1805</v>
      </c>
      <c r="I505" s="37" t="s">
        <v>451</v>
      </c>
      <c r="J505" s="38" t="s">
        <v>1785</v>
      </c>
    </row>
    <row r="506" spans="1:10" ht="95" x14ac:dyDescent="0.2">
      <c r="A506" s="87" t="s">
        <v>130</v>
      </c>
      <c r="B506" s="37">
        <v>2024</v>
      </c>
      <c r="C506" s="38" t="s">
        <v>1806</v>
      </c>
      <c r="D506" s="38" t="s">
        <v>1807</v>
      </c>
      <c r="E506" s="38" t="s">
        <v>1781</v>
      </c>
      <c r="F506" s="38" t="s">
        <v>1782</v>
      </c>
      <c r="G506" s="37" t="s">
        <v>1783</v>
      </c>
      <c r="H506" s="38" t="s">
        <v>492</v>
      </c>
      <c r="I506" s="37" t="s">
        <v>659</v>
      </c>
      <c r="J506" s="38" t="s">
        <v>1785</v>
      </c>
    </row>
    <row r="507" spans="1:10" ht="114" x14ac:dyDescent="0.2">
      <c r="A507" s="87" t="s">
        <v>139</v>
      </c>
      <c r="B507" s="37">
        <v>2023</v>
      </c>
      <c r="C507" s="38" t="s">
        <v>1808</v>
      </c>
      <c r="D507" s="38" t="s">
        <v>1809</v>
      </c>
      <c r="E507" s="38" t="s">
        <v>1781</v>
      </c>
      <c r="F507" s="38" t="s">
        <v>1782</v>
      </c>
      <c r="G507" s="37" t="s">
        <v>1788</v>
      </c>
      <c r="H507" s="38" t="s">
        <v>1810</v>
      </c>
      <c r="I507" s="37" t="s">
        <v>451</v>
      </c>
      <c r="J507" s="38" t="s">
        <v>1785</v>
      </c>
    </row>
    <row r="508" spans="1:10" ht="133" x14ac:dyDescent="0.2">
      <c r="A508" s="87" t="s">
        <v>139</v>
      </c>
      <c r="B508" s="37">
        <v>2023</v>
      </c>
      <c r="C508" s="38" t="s">
        <v>1811</v>
      </c>
      <c r="D508" s="38" t="s">
        <v>1812</v>
      </c>
      <c r="E508" s="38" t="s">
        <v>1781</v>
      </c>
      <c r="F508" s="38" t="s">
        <v>1782</v>
      </c>
      <c r="G508" s="37" t="s">
        <v>1788</v>
      </c>
      <c r="H508" s="38" t="s">
        <v>910</v>
      </c>
      <c r="I508" s="37" t="s">
        <v>451</v>
      </c>
      <c r="J508" s="38" t="s">
        <v>1785</v>
      </c>
    </row>
    <row r="509" spans="1:10" ht="114" x14ac:dyDescent="0.2">
      <c r="A509" s="87" t="s">
        <v>149</v>
      </c>
      <c r="B509" s="37">
        <v>2020</v>
      </c>
      <c r="C509" s="38" t="s">
        <v>1813</v>
      </c>
      <c r="D509" s="38" t="s">
        <v>1814</v>
      </c>
      <c r="E509" s="38" t="s">
        <v>1781</v>
      </c>
      <c r="F509" s="38" t="s">
        <v>1782</v>
      </c>
      <c r="G509" s="37" t="s">
        <v>1783</v>
      </c>
      <c r="H509" s="38" t="s">
        <v>1125</v>
      </c>
      <c r="I509" s="37" t="s">
        <v>659</v>
      </c>
      <c r="J509" s="38" t="s">
        <v>1785</v>
      </c>
    </row>
    <row r="510" spans="1:10" ht="76" x14ac:dyDescent="0.2">
      <c r="A510" s="87" t="s">
        <v>159</v>
      </c>
      <c r="B510" s="37">
        <v>2025</v>
      </c>
      <c r="C510" s="38" t="s">
        <v>1815</v>
      </c>
      <c r="D510" s="38" t="s">
        <v>1816</v>
      </c>
      <c r="E510" s="38" t="s">
        <v>1781</v>
      </c>
      <c r="F510" s="38" t="s">
        <v>1782</v>
      </c>
      <c r="G510" s="37" t="s">
        <v>1783</v>
      </c>
      <c r="H510" s="38" t="s">
        <v>1817</v>
      </c>
      <c r="I510" s="37" t="s">
        <v>659</v>
      </c>
      <c r="J510" s="38" t="s">
        <v>1785</v>
      </c>
    </row>
    <row r="511" spans="1:10" ht="114" x14ac:dyDescent="0.2">
      <c r="A511" s="87" t="s">
        <v>169</v>
      </c>
      <c r="B511" s="37">
        <v>2026</v>
      </c>
      <c r="C511" s="38" t="s">
        <v>1818</v>
      </c>
      <c r="D511" s="38" t="s">
        <v>1819</v>
      </c>
      <c r="E511" s="38" t="s">
        <v>1781</v>
      </c>
      <c r="F511" s="38" t="s">
        <v>1782</v>
      </c>
      <c r="G511" s="37" t="s">
        <v>1788</v>
      </c>
      <c r="H511" s="38" t="s">
        <v>1820</v>
      </c>
      <c r="I511" s="37" t="s">
        <v>451</v>
      </c>
      <c r="J511" s="38" t="s">
        <v>1785</v>
      </c>
    </row>
    <row r="512" spans="1:10" ht="114" x14ac:dyDescent="0.2">
      <c r="A512" s="87" t="s">
        <v>179</v>
      </c>
      <c r="B512" s="37">
        <v>2025</v>
      </c>
      <c r="C512" s="38" t="s">
        <v>1821</v>
      </c>
      <c r="D512" s="38" t="s">
        <v>1822</v>
      </c>
      <c r="E512" s="38" t="s">
        <v>1781</v>
      </c>
      <c r="F512" s="38" t="s">
        <v>1782</v>
      </c>
      <c r="G512" s="37" t="s">
        <v>1788</v>
      </c>
      <c r="H512" s="38" t="s">
        <v>1021</v>
      </c>
      <c r="I512" s="37" t="s">
        <v>451</v>
      </c>
      <c r="J512" s="38" t="s">
        <v>1785</v>
      </c>
    </row>
    <row r="513" spans="1:10" ht="266" x14ac:dyDescent="0.2">
      <c r="A513" s="87" t="s">
        <v>188</v>
      </c>
      <c r="B513" s="37">
        <v>2025</v>
      </c>
      <c r="C513" s="38" t="s">
        <v>1823</v>
      </c>
      <c r="D513" s="38" t="s">
        <v>1824</v>
      </c>
      <c r="E513" s="38" t="s">
        <v>1781</v>
      </c>
      <c r="F513" s="38" t="s">
        <v>1782</v>
      </c>
      <c r="G513" s="37" t="s">
        <v>1788</v>
      </c>
      <c r="H513" s="38" t="s">
        <v>1825</v>
      </c>
      <c r="I513" s="37" t="s">
        <v>451</v>
      </c>
      <c r="J513" s="38" t="s">
        <v>1785</v>
      </c>
    </row>
    <row r="514" spans="1:10" ht="114" x14ac:dyDescent="0.2">
      <c r="A514" s="87" t="s">
        <v>198</v>
      </c>
      <c r="B514" s="37">
        <v>2026</v>
      </c>
      <c r="C514" s="38" t="s">
        <v>1826</v>
      </c>
      <c r="D514" s="38" t="s">
        <v>1827</v>
      </c>
      <c r="E514" s="38" t="s">
        <v>1781</v>
      </c>
      <c r="F514" s="38" t="s">
        <v>1782</v>
      </c>
      <c r="G514" s="37" t="s">
        <v>1788</v>
      </c>
      <c r="H514" s="38" t="s">
        <v>1828</v>
      </c>
      <c r="I514" s="37" t="s">
        <v>451</v>
      </c>
      <c r="J514" s="38" t="s">
        <v>1785</v>
      </c>
    </row>
    <row r="515" spans="1:10" ht="190" x14ac:dyDescent="0.2">
      <c r="A515" s="87" t="s">
        <v>198</v>
      </c>
      <c r="B515" s="37">
        <v>2026</v>
      </c>
      <c r="C515" s="38" t="s">
        <v>1829</v>
      </c>
      <c r="D515" s="38" t="s">
        <v>1830</v>
      </c>
      <c r="E515" s="38" t="s">
        <v>1781</v>
      </c>
      <c r="F515" s="38" t="s">
        <v>1782</v>
      </c>
      <c r="G515" s="37" t="s">
        <v>1788</v>
      </c>
      <c r="H515" s="38" t="s">
        <v>1831</v>
      </c>
      <c r="I515" s="37" t="s">
        <v>451</v>
      </c>
      <c r="J515" s="38" t="s">
        <v>1785</v>
      </c>
    </row>
    <row r="516" spans="1:10" ht="171" x14ac:dyDescent="0.2">
      <c r="A516" s="87" t="s">
        <v>208</v>
      </c>
      <c r="B516" s="37">
        <v>2026</v>
      </c>
      <c r="C516" s="38" t="s">
        <v>1832</v>
      </c>
      <c r="D516" s="38" t="s">
        <v>1833</v>
      </c>
      <c r="E516" s="38" t="s">
        <v>1781</v>
      </c>
      <c r="F516" s="38" t="s">
        <v>1782</v>
      </c>
      <c r="G516" s="37" t="s">
        <v>1788</v>
      </c>
      <c r="H516" s="38" t="s">
        <v>1834</v>
      </c>
      <c r="I516" s="37" t="s">
        <v>451</v>
      </c>
      <c r="J516" s="38" t="s">
        <v>1785</v>
      </c>
    </row>
    <row r="517" spans="1:10" ht="95" x14ac:dyDescent="0.2">
      <c r="A517" s="87" t="s">
        <v>218</v>
      </c>
      <c r="B517" s="37">
        <v>2026</v>
      </c>
      <c r="C517" s="38" t="s">
        <v>1835</v>
      </c>
      <c r="D517" s="38" t="s">
        <v>1836</v>
      </c>
      <c r="E517" s="38" t="s">
        <v>1781</v>
      </c>
      <c r="F517" s="38" t="s">
        <v>1782</v>
      </c>
      <c r="G517" s="37" t="s">
        <v>1788</v>
      </c>
      <c r="H517" s="38" t="s">
        <v>662</v>
      </c>
      <c r="I517" s="37" t="s">
        <v>451</v>
      </c>
      <c r="J517" s="38" t="s">
        <v>1785</v>
      </c>
    </row>
    <row r="518" spans="1:10" ht="76" x14ac:dyDescent="0.2">
      <c r="A518" s="87" t="s">
        <v>218</v>
      </c>
      <c r="B518" s="37">
        <v>2026</v>
      </c>
      <c r="C518" s="38" t="s">
        <v>1837</v>
      </c>
      <c r="D518" s="38" t="s">
        <v>1838</v>
      </c>
      <c r="E518" s="38" t="s">
        <v>1781</v>
      </c>
      <c r="F518" s="38" t="s">
        <v>1782</v>
      </c>
      <c r="G518" s="37" t="s">
        <v>1788</v>
      </c>
      <c r="H518" s="38" t="s">
        <v>1839</v>
      </c>
      <c r="I518" s="37" t="s">
        <v>451</v>
      </c>
      <c r="J518" s="38" t="s">
        <v>1785</v>
      </c>
    </row>
    <row r="519" spans="1:10" ht="95" x14ac:dyDescent="0.2">
      <c r="A519" s="87" t="s">
        <v>227</v>
      </c>
      <c r="B519" s="37">
        <v>2026</v>
      </c>
      <c r="C519" s="38" t="s">
        <v>1840</v>
      </c>
      <c r="D519" s="38" t="s">
        <v>1841</v>
      </c>
      <c r="E519" s="38" t="s">
        <v>1781</v>
      </c>
      <c r="F519" s="38" t="s">
        <v>1782</v>
      </c>
      <c r="G519" s="37" t="s">
        <v>1788</v>
      </c>
      <c r="H519" s="38" t="s">
        <v>1842</v>
      </c>
      <c r="I519" s="37" t="s">
        <v>451</v>
      </c>
      <c r="J519" s="38" t="s">
        <v>1785</v>
      </c>
    </row>
    <row r="520" spans="1:10" ht="76" x14ac:dyDescent="0.2">
      <c r="A520" s="87" t="s">
        <v>227</v>
      </c>
      <c r="B520" s="37">
        <v>2026</v>
      </c>
      <c r="C520" s="38" t="s">
        <v>1843</v>
      </c>
      <c r="D520" s="38" t="s">
        <v>1844</v>
      </c>
      <c r="E520" s="38" t="s">
        <v>1781</v>
      </c>
      <c r="F520" s="38" t="s">
        <v>1782</v>
      </c>
      <c r="G520" s="37" t="s">
        <v>1783</v>
      </c>
      <c r="H520" s="38" t="s">
        <v>627</v>
      </c>
      <c r="I520" s="37" t="s">
        <v>659</v>
      </c>
      <c r="J520" s="38" t="s">
        <v>1785</v>
      </c>
    </row>
    <row r="521" spans="1:10" ht="114" x14ac:dyDescent="0.2">
      <c r="A521" s="87" t="s">
        <v>237</v>
      </c>
      <c r="B521" s="37">
        <v>2025</v>
      </c>
      <c r="C521" s="38" t="s">
        <v>1845</v>
      </c>
      <c r="D521" s="38" t="s">
        <v>1846</v>
      </c>
      <c r="E521" s="38" t="s">
        <v>1781</v>
      </c>
      <c r="F521" s="38" t="s">
        <v>1782</v>
      </c>
      <c r="G521" s="37" t="s">
        <v>1788</v>
      </c>
      <c r="H521" s="38" t="s">
        <v>1847</v>
      </c>
      <c r="I521" s="37" t="s">
        <v>451</v>
      </c>
      <c r="J521" s="38" t="s">
        <v>1785</v>
      </c>
    </row>
    <row r="522" spans="1:10" ht="114" x14ac:dyDescent="0.2">
      <c r="A522" s="87" t="s">
        <v>237</v>
      </c>
      <c r="B522" s="37">
        <v>2025</v>
      </c>
      <c r="C522" s="38" t="s">
        <v>1848</v>
      </c>
      <c r="D522" s="38" t="s">
        <v>1849</v>
      </c>
      <c r="E522" s="38" t="s">
        <v>1781</v>
      </c>
      <c r="F522" s="38" t="s">
        <v>1782</v>
      </c>
      <c r="G522" s="37" t="s">
        <v>1788</v>
      </c>
      <c r="H522" s="38" t="s">
        <v>1850</v>
      </c>
      <c r="I522" s="37" t="s">
        <v>451</v>
      </c>
      <c r="J522" s="38" t="s">
        <v>1785</v>
      </c>
    </row>
    <row r="523" spans="1:10" ht="95" x14ac:dyDescent="0.2">
      <c r="A523" s="87" t="s">
        <v>237</v>
      </c>
      <c r="B523" s="37">
        <v>2025</v>
      </c>
      <c r="C523" s="38" t="s">
        <v>1851</v>
      </c>
      <c r="D523" s="38" t="s">
        <v>1852</v>
      </c>
      <c r="E523" s="38" t="s">
        <v>1781</v>
      </c>
      <c r="F523" s="38" t="s">
        <v>1782</v>
      </c>
      <c r="G523" s="37" t="s">
        <v>1788</v>
      </c>
      <c r="H523" s="38" t="s">
        <v>1853</v>
      </c>
      <c r="I523" s="37" t="s">
        <v>451</v>
      </c>
      <c r="J523" s="38" t="s">
        <v>1785</v>
      </c>
    </row>
    <row r="524" spans="1:10" ht="209" x14ac:dyDescent="0.2">
      <c r="A524" s="87" t="s">
        <v>247</v>
      </c>
      <c r="B524" s="37">
        <v>2026</v>
      </c>
      <c r="C524" s="38" t="s">
        <v>1854</v>
      </c>
      <c r="D524" s="38" t="s">
        <v>1855</v>
      </c>
      <c r="E524" s="38" t="s">
        <v>1781</v>
      </c>
      <c r="F524" s="38" t="s">
        <v>1782</v>
      </c>
      <c r="G524" s="37" t="s">
        <v>1783</v>
      </c>
      <c r="H524" s="38" t="s">
        <v>1770</v>
      </c>
      <c r="I524" s="37" t="s">
        <v>659</v>
      </c>
      <c r="J524" s="38" t="s">
        <v>1785</v>
      </c>
    </row>
    <row r="525" spans="1:10" ht="57" x14ac:dyDescent="0.2">
      <c r="A525" s="87" t="s">
        <v>257</v>
      </c>
      <c r="B525" s="37">
        <v>2025</v>
      </c>
      <c r="C525" s="38" t="s">
        <v>1856</v>
      </c>
      <c r="D525" s="38" t="s">
        <v>1857</v>
      </c>
      <c r="E525" s="38" t="s">
        <v>1781</v>
      </c>
      <c r="F525" s="38" t="s">
        <v>1782</v>
      </c>
      <c r="G525" s="37" t="s">
        <v>1783</v>
      </c>
      <c r="H525" s="38" t="s">
        <v>492</v>
      </c>
      <c r="I525" s="37" t="s">
        <v>659</v>
      </c>
      <c r="J525" s="38" t="s">
        <v>1785</v>
      </c>
    </row>
    <row r="526" spans="1:10" x14ac:dyDescent="0.2">
      <c r="A526" s="39"/>
      <c r="B526" s="39"/>
      <c r="C526" s="39"/>
      <c r="E526" s="39"/>
      <c r="F526" s="39"/>
      <c r="G526" s="39"/>
      <c r="H526" s="39"/>
      <c r="I526" s="39"/>
      <c r="J526" s="39"/>
    </row>
    <row r="527" spans="1:10" ht="76" x14ac:dyDescent="0.2">
      <c r="A527" s="87" t="s">
        <v>54</v>
      </c>
      <c r="B527" s="37">
        <v>2025</v>
      </c>
      <c r="C527" s="38" t="s">
        <v>1858</v>
      </c>
      <c r="D527" s="38" t="s">
        <v>1859</v>
      </c>
      <c r="E527" s="38" t="s">
        <v>1860</v>
      </c>
      <c r="F527" s="38" t="s">
        <v>1782</v>
      </c>
      <c r="G527" s="37" t="s">
        <v>1783</v>
      </c>
      <c r="H527" s="38" t="s">
        <v>1861</v>
      </c>
      <c r="I527" s="37" t="s">
        <v>659</v>
      </c>
      <c r="J527" s="38" t="s">
        <v>1785</v>
      </c>
    </row>
    <row r="528" spans="1:10" ht="76" x14ac:dyDescent="0.2">
      <c r="A528" s="87" t="s">
        <v>44</v>
      </c>
      <c r="B528" s="37">
        <v>2024</v>
      </c>
      <c r="C528" s="38" t="s">
        <v>1862</v>
      </c>
      <c r="D528" s="38" t="s">
        <v>1863</v>
      </c>
      <c r="E528" s="38" t="s">
        <v>1860</v>
      </c>
      <c r="F528" s="38" t="s">
        <v>1782</v>
      </c>
      <c r="G528" s="37" t="s">
        <v>1783</v>
      </c>
      <c r="H528" s="38" t="s">
        <v>492</v>
      </c>
      <c r="I528" s="37" t="s">
        <v>659</v>
      </c>
      <c r="J528" s="38" t="s">
        <v>1785</v>
      </c>
    </row>
    <row r="529" spans="1:10" ht="95" x14ac:dyDescent="0.2">
      <c r="A529" s="87" t="s">
        <v>63</v>
      </c>
      <c r="B529" s="37">
        <v>2025</v>
      </c>
      <c r="C529" s="38" t="s">
        <v>1864</v>
      </c>
      <c r="D529" s="38" t="s">
        <v>1865</v>
      </c>
      <c r="E529" s="38" t="s">
        <v>1860</v>
      </c>
      <c r="F529" s="38" t="s">
        <v>1782</v>
      </c>
      <c r="G529" s="37" t="s">
        <v>1788</v>
      </c>
      <c r="H529" s="38" t="s">
        <v>951</v>
      </c>
      <c r="I529" s="37" t="s">
        <v>451</v>
      </c>
      <c r="J529" s="38" t="s">
        <v>1785</v>
      </c>
    </row>
    <row r="530" spans="1:10" ht="95" x14ac:dyDescent="0.2">
      <c r="A530" s="87" t="s">
        <v>73</v>
      </c>
      <c r="B530" s="37">
        <v>2024</v>
      </c>
      <c r="C530" s="38" t="s">
        <v>1866</v>
      </c>
      <c r="D530" s="38" t="s">
        <v>1867</v>
      </c>
      <c r="E530" s="38" t="s">
        <v>1860</v>
      </c>
      <c r="F530" s="38" t="s">
        <v>1782</v>
      </c>
      <c r="G530" s="37" t="s">
        <v>1788</v>
      </c>
      <c r="H530" s="38" t="s">
        <v>1202</v>
      </c>
      <c r="I530" s="37" t="s">
        <v>443</v>
      </c>
      <c r="J530" s="38" t="s">
        <v>1785</v>
      </c>
    </row>
    <row r="531" spans="1:10" ht="133" x14ac:dyDescent="0.2">
      <c r="A531" s="87" t="s">
        <v>83</v>
      </c>
      <c r="B531" s="37">
        <v>2025</v>
      </c>
      <c r="C531" s="38" t="s">
        <v>1868</v>
      </c>
      <c r="D531" s="38" t="s">
        <v>1869</v>
      </c>
      <c r="E531" s="38" t="s">
        <v>1860</v>
      </c>
      <c r="F531" s="38" t="s">
        <v>1782</v>
      </c>
      <c r="G531" s="37" t="s">
        <v>1788</v>
      </c>
      <c r="H531" s="38" t="s">
        <v>769</v>
      </c>
      <c r="I531" s="37" t="s">
        <v>451</v>
      </c>
      <c r="J531" s="38" t="s">
        <v>1785</v>
      </c>
    </row>
    <row r="532" spans="1:10" ht="57" x14ac:dyDescent="0.2">
      <c r="A532" s="87" t="s">
        <v>93</v>
      </c>
      <c r="B532" s="37">
        <v>2025</v>
      </c>
      <c r="C532" s="38" t="s">
        <v>1870</v>
      </c>
      <c r="D532" s="38" t="s">
        <v>1871</v>
      </c>
      <c r="E532" s="38" t="s">
        <v>1860</v>
      </c>
      <c r="F532" s="38" t="s">
        <v>1782</v>
      </c>
      <c r="G532" s="37" t="s">
        <v>1788</v>
      </c>
      <c r="H532" s="38" t="s">
        <v>1872</v>
      </c>
      <c r="I532" s="37" t="s">
        <v>451</v>
      </c>
      <c r="J532" s="38" t="s">
        <v>1785</v>
      </c>
    </row>
    <row r="533" spans="1:10" ht="95" x14ac:dyDescent="0.2">
      <c r="A533" s="87" t="s">
        <v>103</v>
      </c>
      <c r="B533" s="37">
        <v>2024</v>
      </c>
      <c r="C533" s="38" t="s">
        <v>1873</v>
      </c>
      <c r="D533" s="38" t="s">
        <v>1874</v>
      </c>
      <c r="E533" s="38" t="s">
        <v>1860</v>
      </c>
      <c r="F533" s="38" t="s">
        <v>1782</v>
      </c>
      <c r="G533" s="37" t="s">
        <v>1788</v>
      </c>
      <c r="H533" s="38" t="s">
        <v>578</v>
      </c>
      <c r="I533" s="37" t="s">
        <v>451</v>
      </c>
      <c r="J533" s="38" t="s">
        <v>1785</v>
      </c>
    </row>
    <row r="534" spans="1:10" ht="57" x14ac:dyDescent="0.2">
      <c r="A534" s="87" t="s">
        <v>113</v>
      </c>
      <c r="B534" s="37">
        <v>2024</v>
      </c>
      <c r="C534" s="38" t="s">
        <v>1875</v>
      </c>
      <c r="D534" s="38" t="s">
        <v>1876</v>
      </c>
      <c r="E534" s="38" t="s">
        <v>1860</v>
      </c>
      <c r="F534" s="38" t="s">
        <v>1782</v>
      </c>
      <c r="G534" s="37" t="s">
        <v>1788</v>
      </c>
      <c r="H534" s="38" t="s">
        <v>679</v>
      </c>
      <c r="I534" s="37" t="s">
        <v>451</v>
      </c>
      <c r="J534" s="38" t="s">
        <v>1785</v>
      </c>
    </row>
    <row r="535" spans="1:10" ht="95" x14ac:dyDescent="0.2">
      <c r="A535" s="87" t="s">
        <v>122</v>
      </c>
      <c r="B535" s="37">
        <v>2024</v>
      </c>
      <c r="C535" s="38" t="s">
        <v>1877</v>
      </c>
      <c r="D535" s="38" t="s">
        <v>1878</v>
      </c>
      <c r="E535" s="38" t="s">
        <v>1860</v>
      </c>
      <c r="F535" s="38" t="s">
        <v>1782</v>
      </c>
      <c r="G535" s="37" t="s">
        <v>1788</v>
      </c>
      <c r="H535" s="38" t="s">
        <v>483</v>
      </c>
      <c r="I535" s="37" t="s">
        <v>451</v>
      </c>
      <c r="J535" s="38" t="s">
        <v>1785</v>
      </c>
    </row>
    <row r="536" spans="1:10" ht="76" x14ac:dyDescent="0.2">
      <c r="A536" s="87" t="s">
        <v>130</v>
      </c>
      <c r="B536" s="37">
        <v>2024</v>
      </c>
      <c r="C536" s="38" t="s">
        <v>1879</v>
      </c>
      <c r="D536" s="38" t="s">
        <v>1880</v>
      </c>
      <c r="E536" s="38" t="s">
        <v>1860</v>
      </c>
      <c r="F536" s="38" t="s">
        <v>1782</v>
      </c>
      <c r="G536" s="37" t="s">
        <v>1788</v>
      </c>
      <c r="H536" s="38" t="s">
        <v>1881</v>
      </c>
      <c r="I536" s="37" t="s">
        <v>451</v>
      </c>
      <c r="J536" s="38" t="s">
        <v>1785</v>
      </c>
    </row>
    <row r="537" spans="1:10" ht="171" x14ac:dyDescent="0.2">
      <c r="A537" s="87" t="s">
        <v>139</v>
      </c>
      <c r="B537" s="37">
        <v>2023</v>
      </c>
      <c r="C537" s="38" t="s">
        <v>1882</v>
      </c>
      <c r="D537" s="38" t="s">
        <v>1883</v>
      </c>
      <c r="E537" s="38" t="s">
        <v>1860</v>
      </c>
      <c r="F537" s="38" t="s">
        <v>1782</v>
      </c>
      <c r="G537" s="37" t="s">
        <v>1788</v>
      </c>
      <c r="H537" s="38" t="s">
        <v>1884</v>
      </c>
      <c r="I537" s="37" t="s">
        <v>451</v>
      </c>
      <c r="J537" s="38" t="s">
        <v>1785</v>
      </c>
    </row>
    <row r="538" spans="1:10" ht="152" x14ac:dyDescent="0.2">
      <c r="A538" s="87" t="s">
        <v>149</v>
      </c>
      <c r="B538" s="37">
        <v>2020</v>
      </c>
      <c r="C538" s="38" t="s">
        <v>1885</v>
      </c>
      <c r="D538" s="38" t="s">
        <v>1886</v>
      </c>
      <c r="E538" s="38" t="s">
        <v>1860</v>
      </c>
      <c r="F538" s="38" t="s">
        <v>1782</v>
      </c>
      <c r="G538" s="37" t="s">
        <v>1788</v>
      </c>
      <c r="H538" s="38" t="s">
        <v>1887</v>
      </c>
      <c r="I538" s="37" t="s">
        <v>443</v>
      </c>
      <c r="J538" s="38" t="s">
        <v>1785</v>
      </c>
    </row>
    <row r="539" spans="1:10" ht="95" x14ac:dyDescent="0.2">
      <c r="A539" s="87" t="s">
        <v>159</v>
      </c>
      <c r="B539" s="37">
        <v>2025</v>
      </c>
      <c r="C539" s="38" t="s">
        <v>1888</v>
      </c>
      <c r="D539" s="38" t="s">
        <v>1889</v>
      </c>
      <c r="E539" s="38" t="s">
        <v>1860</v>
      </c>
      <c r="F539" s="38" t="s">
        <v>1782</v>
      </c>
      <c r="G539" s="37" t="s">
        <v>1783</v>
      </c>
      <c r="H539" s="38" t="s">
        <v>1890</v>
      </c>
      <c r="I539" s="37" t="s">
        <v>659</v>
      </c>
      <c r="J539" s="38" t="s">
        <v>1785</v>
      </c>
    </row>
    <row r="540" spans="1:10" ht="76" x14ac:dyDescent="0.2">
      <c r="A540" s="87" t="s">
        <v>169</v>
      </c>
      <c r="B540" s="37">
        <v>2026</v>
      </c>
      <c r="C540" s="38" t="s">
        <v>1891</v>
      </c>
      <c r="D540" s="38" t="s">
        <v>1892</v>
      </c>
      <c r="E540" s="38" t="s">
        <v>1860</v>
      </c>
      <c r="F540" s="38" t="s">
        <v>1782</v>
      </c>
      <c r="G540" s="37" t="s">
        <v>1788</v>
      </c>
      <c r="H540" s="38" t="s">
        <v>469</v>
      </c>
      <c r="I540" s="37" t="s">
        <v>451</v>
      </c>
      <c r="J540" s="38" t="s">
        <v>1785</v>
      </c>
    </row>
    <row r="541" spans="1:10" ht="133" x14ac:dyDescent="0.2">
      <c r="A541" s="87" t="s">
        <v>179</v>
      </c>
      <c r="B541" s="37">
        <v>2025</v>
      </c>
      <c r="C541" s="38" t="s">
        <v>1893</v>
      </c>
      <c r="D541" s="38" t="s">
        <v>1894</v>
      </c>
      <c r="E541" s="38" t="s">
        <v>1860</v>
      </c>
      <c r="F541" s="38" t="s">
        <v>1782</v>
      </c>
      <c r="G541" s="37" t="s">
        <v>1788</v>
      </c>
      <c r="H541" s="38" t="s">
        <v>1137</v>
      </c>
      <c r="I541" s="37" t="s">
        <v>451</v>
      </c>
      <c r="J541" s="38" t="s">
        <v>1785</v>
      </c>
    </row>
    <row r="542" spans="1:10" ht="133" x14ac:dyDescent="0.2">
      <c r="A542" s="87" t="s">
        <v>188</v>
      </c>
      <c r="B542" s="37">
        <v>2025</v>
      </c>
      <c r="C542" s="38" t="s">
        <v>1895</v>
      </c>
      <c r="D542" s="38" t="s">
        <v>1896</v>
      </c>
      <c r="E542" s="38" t="s">
        <v>1860</v>
      </c>
      <c r="F542" s="38" t="s">
        <v>1782</v>
      </c>
      <c r="G542" s="37" t="s">
        <v>1788</v>
      </c>
      <c r="H542" s="38" t="s">
        <v>1897</v>
      </c>
      <c r="I542" s="37" t="s">
        <v>451</v>
      </c>
      <c r="J542" s="38" t="s">
        <v>1785</v>
      </c>
    </row>
    <row r="543" spans="1:10" ht="228" x14ac:dyDescent="0.2">
      <c r="A543" s="87" t="s">
        <v>198</v>
      </c>
      <c r="B543" s="37">
        <v>2026</v>
      </c>
      <c r="C543" s="38" t="s">
        <v>1898</v>
      </c>
      <c r="D543" s="38" t="s">
        <v>1899</v>
      </c>
      <c r="E543" s="38" t="s">
        <v>1860</v>
      </c>
      <c r="F543" s="38" t="s">
        <v>1782</v>
      </c>
      <c r="G543" s="37" t="s">
        <v>1788</v>
      </c>
      <c r="H543" s="38" t="s">
        <v>1900</v>
      </c>
      <c r="I543" s="37" t="s">
        <v>451</v>
      </c>
      <c r="J543" s="38" t="s">
        <v>1785</v>
      </c>
    </row>
    <row r="544" spans="1:10" ht="190" x14ac:dyDescent="0.2">
      <c r="A544" s="87" t="s">
        <v>208</v>
      </c>
      <c r="B544" s="37">
        <v>2026</v>
      </c>
      <c r="C544" s="38" t="s">
        <v>1901</v>
      </c>
      <c r="D544" s="38" t="s">
        <v>1902</v>
      </c>
      <c r="E544" s="38" t="s">
        <v>1860</v>
      </c>
      <c r="F544" s="38" t="s">
        <v>1782</v>
      </c>
      <c r="G544" s="37" t="s">
        <v>1788</v>
      </c>
      <c r="H544" s="38" t="s">
        <v>1258</v>
      </c>
      <c r="I544" s="37" t="s">
        <v>451</v>
      </c>
      <c r="J544" s="38" t="s">
        <v>1785</v>
      </c>
    </row>
    <row r="545" spans="1:10" ht="228" x14ac:dyDescent="0.2">
      <c r="A545" s="87" t="s">
        <v>208</v>
      </c>
      <c r="B545" s="37">
        <v>2026</v>
      </c>
      <c r="C545" s="38" t="s">
        <v>1903</v>
      </c>
      <c r="D545" s="38" t="s">
        <v>1904</v>
      </c>
      <c r="E545" s="38" t="s">
        <v>1860</v>
      </c>
      <c r="F545" s="38" t="s">
        <v>1782</v>
      </c>
      <c r="G545" s="37" t="s">
        <v>1788</v>
      </c>
      <c r="H545" s="38" t="s">
        <v>1905</v>
      </c>
      <c r="I545" s="37" t="s">
        <v>451</v>
      </c>
      <c r="J545" s="38" t="s">
        <v>1785</v>
      </c>
    </row>
    <row r="546" spans="1:10" ht="209" x14ac:dyDescent="0.2">
      <c r="A546" s="87" t="s">
        <v>208</v>
      </c>
      <c r="B546" s="37">
        <v>2026</v>
      </c>
      <c r="C546" s="38" t="s">
        <v>1906</v>
      </c>
      <c r="D546" s="38" t="s">
        <v>1907</v>
      </c>
      <c r="E546" s="38" t="s">
        <v>1860</v>
      </c>
      <c r="F546" s="38" t="s">
        <v>1782</v>
      </c>
      <c r="G546" s="37" t="s">
        <v>1788</v>
      </c>
      <c r="H546" s="38" t="s">
        <v>1908</v>
      </c>
      <c r="I546" s="37" t="s">
        <v>451</v>
      </c>
      <c r="J546" s="38" t="s">
        <v>1785</v>
      </c>
    </row>
    <row r="547" spans="1:10" ht="95" x14ac:dyDescent="0.2">
      <c r="A547" s="87" t="s">
        <v>218</v>
      </c>
      <c r="B547" s="37">
        <v>2026</v>
      </c>
      <c r="C547" s="38" t="s">
        <v>1909</v>
      </c>
      <c r="D547" s="38" t="s">
        <v>1910</v>
      </c>
      <c r="E547" s="38" t="s">
        <v>1860</v>
      </c>
      <c r="F547" s="38" t="s">
        <v>1782</v>
      </c>
      <c r="G547" s="37" t="s">
        <v>1788</v>
      </c>
      <c r="H547" s="38" t="s">
        <v>1911</v>
      </c>
      <c r="I547" s="37" t="s">
        <v>451</v>
      </c>
      <c r="J547" s="38" t="s">
        <v>1785</v>
      </c>
    </row>
    <row r="548" spans="1:10" ht="95" x14ac:dyDescent="0.2">
      <c r="A548" s="87" t="s">
        <v>218</v>
      </c>
      <c r="B548" s="37">
        <v>2026</v>
      </c>
      <c r="C548" s="38" t="s">
        <v>1912</v>
      </c>
      <c r="D548" s="38" t="s">
        <v>1913</v>
      </c>
      <c r="E548" s="38" t="s">
        <v>1860</v>
      </c>
      <c r="F548" s="38" t="s">
        <v>1782</v>
      </c>
      <c r="G548" s="37" t="s">
        <v>1783</v>
      </c>
      <c r="H548" s="38" t="s">
        <v>997</v>
      </c>
      <c r="I548" s="37" t="s">
        <v>659</v>
      </c>
      <c r="J548" s="38" t="s">
        <v>1785</v>
      </c>
    </row>
    <row r="549" spans="1:10" ht="76" x14ac:dyDescent="0.2">
      <c r="A549" s="87" t="s">
        <v>227</v>
      </c>
      <c r="B549" s="37">
        <v>2026</v>
      </c>
      <c r="C549" s="38" t="s">
        <v>1914</v>
      </c>
      <c r="D549" s="38" t="s">
        <v>1915</v>
      </c>
      <c r="E549" s="38" t="s">
        <v>1860</v>
      </c>
      <c r="F549" s="38" t="s">
        <v>1782</v>
      </c>
      <c r="G549" s="37" t="s">
        <v>1788</v>
      </c>
      <c r="H549" s="38" t="s">
        <v>1916</v>
      </c>
      <c r="I549" s="37" t="s">
        <v>451</v>
      </c>
      <c r="J549" s="38" t="s">
        <v>1785</v>
      </c>
    </row>
    <row r="550" spans="1:10" ht="114" x14ac:dyDescent="0.2">
      <c r="A550" s="87" t="s">
        <v>227</v>
      </c>
      <c r="B550" s="37">
        <v>2026</v>
      </c>
      <c r="C550" s="38" t="s">
        <v>1917</v>
      </c>
      <c r="D550" s="38" t="s">
        <v>1918</v>
      </c>
      <c r="E550" s="38" t="s">
        <v>1860</v>
      </c>
      <c r="F550" s="38" t="s">
        <v>1782</v>
      </c>
      <c r="G550" s="37" t="s">
        <v>1788</v>
      </c>
      <c r="H550" s="38" t="s">
        <v>1048</v>
      </c>
      <c r="I550" s="37" t="s">
        <v>451</v>
      </c>
      <c r="J550" s="38" t="s">
        <v>1785</v>
      </c>
    </row>
    <row r="551" spans="1:10" ht="114" x14ac:dyDescent="0.2">
      <c r="A551" s="87" t="s">
        <v>237</v>
      </c>
      <c r="B551" s="37">
        <v>2025</v>
      </c>
      <c r="C551" s="38" t="s">
        <v>1919</v>
      </c>
      <c r="D551" s="38" t="s">
        <v>1920</v>
      </c>
      <c r="E551" s="38" t="s">
        <v>1860</v>
      </c>
      <c r="F551" s="38" t="s">
        <v>1782</v>
      </c>
      <c r="G551" s="37" t="s">
        <v>1788</v>
      </c>
      <c r="H551" s="38" t="s">
        <v>1921</v>
      </c>
      <c r="I551" s="37" t="s">
        <v>451</v>
      </c>
      <c r="J551" s="38" t="s">
        <v>1785</v>
      </c>
    </row>
    <row r="552" spans="1:10" ht="95" x14ac:dyDescent="0.2">
      <c r="A552" s="87" t="s">
        <v>237</v>
      </c>
      <c r="B552" s="37">
        <v>2025</v>
      </c>
      <c r="C552" s="38" t="s">
        <v>1922</v>
      </c>
      <c r="D552" s="38" t="s">
        <v>1923</v>
      </c>
      <c r="E552" s="38" t="s">
        <v>1860</v>
      </c>
      <c r="F552" s="38" t="s">
        <v>1782</v>
      </c>
      <c r="G552" s="37" t="s">
        <v>1783</v>
      </c>
      <c r="H552" s="38" t="s">
        <v>744</v>
      </c>
      <c r="I552" s="37" t="s">
        <v>659</v>
      </c>
      <c r="J552" s="38" t="s">
        <v>1785</v>
      </c>
    </row>
    <row r="553" spans="1:10" ht="76" x14ac:dyDescent="0.2">
      <c r="A553" s="87" t="s">
        <v>247</v>
      </c>
      <c r="B553" s="37">
        <v>2026</v>
      </c>
      <c r="C553" s="38" t="s">
        <v>1924</v>
      </c>
      <c r="D553" s="38" t="s">
        <v>1925</v>
      </c>
      <c r="E553" s="38" t="s">
        <v>1860</v>
      </c>
      <c r="F553" s="38" t="s">
        <v>1782</v>
      </c>
      <c r="G553" s="37" t="s">
        <v>1788</v>
      </c>
      <c r="H553" s="38" t="s">
        <v>536</v>
      </c>
      <c r="I553" s="37" t="s">
        <v>451</v>
      </c>
      <c r="J553" s="38" t="s">
        <v>1785</v>
      </c>
    </row>
    <row r="554" spans="1:10" ht="152" x14ac:dyDescent="0.2">
      <c r="A554" s="87" t="s">
        <v>247</v>
      </c>
      <c r="B554" s="37">
        <v>2026</v>
      </c>
      <c r="C554" s="38" t="s">
        <v>1926</v>
      </c>
      <c r="D554" s="38" t="s">
        <v>1927</v>
      </c>
      <c r="E554" s="38" t="s">
        <v>1860</v>
      </c>
      <c r="F554" s="38" t="s">
        <v>1782</v>
      </c>
      <c r="G554" s="37" t="s">
        <v>1783</v>
      </c>
      <c r="H554" s="38" t="s">
        <v>853</v>
      </c>
      <c r="I554" s="37" t="s">
        <v>659</v>
      </c>
      <c r="J554" s="38" t="s">
        <v>1785</v>
      </c>
    </row>
    <row r="555" spans="1:10" ht="76" x14ac:dyDescent="0.2">
      <c r="A555" s="87" t="s">
        <v>257</v>
      </c>
      <c r="B555" s="37">
        <v>2025</v>
      </c>
      <c r="C555" s="38" t="s">
        <v>1928</v>
      </c>
      <c r="D555" s="38" t="s">
        <v>1929</v>
      </c>
      <c r="E555" s="38" t="s">
        <v>1860</v>
      </c>
      <c r="F555" s="38" t="s">
        <v>1782</v>
      </c>
      <c r="G555" s="37" t="s">
        <v>1788</v>
      </c>
      <c r="H555" s="38" t="s">
        <v>662</v>
      </c>
      <c r="I555" s="37" t="s">
        <v>451</v>
      </c>
      <c r="J555" s="38" t="s">
        <v>1785</v>
      </c>
    </row>
    <row r="556" spans="1:10" ht="57" x14ac:dyDescent="0.2">
      <c r="A556" s="87" t="s">
        <v>257</v>
      </c>
      <c r="B556" s="37">
        <v>2025</v>
      </c>
      <c r="C556" s="38" t="s">
        <v>1930</v>
      </c>
      <c r="D556" s="38" t="s">
        <v>1931</v>
      </c>
      <c r="E556" s="38" t="s">
        <v>1860</v>
      </c>
      <c r="F556" s="38" t="s">
        <v>1782</v>
      </c>
      <c r="G556" s="37" t="s">
        <v>1788</v>
      </c>
      <c r="H556" s="38" t="s">
        <v>1932</v>
      </c>
      <c r="I556" s="37" t="s">
        <v>451</v>
      </c>
      <c r="J556" s="38" t="s">
        <v>1785</v>
      </c>
    </row>
    <row r="557" spans="1:10" x14ac:dyDescent="0.2">
      <c r="A557" s="39"/>
      <c r="B557" s="39"/>
      <c r="C557" s="39"/>
      <c r="E557" s="39"/>
      <c r="F557" s="39"/>
      <c r="G557" s="39"/>
      <c r="H557" s="39"/>
      <c r="I557" s="39"/>
      <c r="J557" s="39"/>
    </row>
    <row r="558" spans="1:10" ht="57" x14ac:dyDescent="0.2">
      <c r="A558" s="87" t="s">
        <v>44</v>
      </c>
      <c r="B558" s="37">
        <v>2024</v>
      </c>
      <c r="C558" s="38" t="s">
        <v>1933</v>
      </c>
      <c r="D558" s="38" t="s">
        <v>1934</v>
      </c>
      <c r="E558" s="38" t="s">
        <v>1935</v>
      </c>
      <c r="F558" s="38" t="s">
        <v>1782</v>
      </c>
      <c r="G558" s="37" t="s">
        <v>1788</v>
      </c>
      <c r="H558" s="38" t="s">
        <v>868</v>
      </c>
      <c r="I558" s="37" t="s">
        <v>451</v>
      </c>
      <c r="J558" s="38" t="s">
        <v>1785</v>
      </c>
    </row>
    <row r="559" spans="1:10" ht="57" x14ac:dyDescent="0.2">
      <c r="A559" s="87" t="s">
        <v>44</v>
      </c>
      <c r="B559" s="37">
        <v>2024</v>
      </c>
      <c r="C559" s="38" t="s">
        <v>1936</v>
      </c>
      <c r="D559" s="38" t="s">
        <v>1937</v>
      </c>
      <c r="E559" s="38" t="s">
        <v>1935</v>
      </c>
      <c r="F559" s="38" t="s">
        <v>1782</v>
      </c>
      <c r="G559" s="37" t="s">
        <v>1788</v>
      </c>
      <c r="H559" s="38" t="s">
        <v>546</v>
      </c>
      <c r="I559" s="37" t="s">
        <v>451</v>
      </c>
      <c r="J559" s="38" t="s">
        <v>1785</v>
      </c>
    </row>
    <row r="560" spans="1:10" ht="76" x14ac:dyDescent="0.2">
      <c r="A560" s="87" t="s">
        <v>54</v>
      </c>
      <c r="B560" s="37">
        <v>2025</v>
      </c>
      <c r="C560" s="38" t="s">
        <v>1938</v>
      </c>
      <c r="D560" s="38" t="s">
        <v>1939</v>
      </c>
      <c r="E560" s="38" t="s">
        <v>1935</v>
      </c>
      <c r="F560" s="38" t="s">
        <v>1782</v>
      </c>
      <c r="G560" s="37" t="s">
        <v>1788</v>
      </c>
      <c r="H560" s="38" t="s">
        <v>1940</v>
      </c>
      <c r="I560" s="37" t="s">
        <v>451</v>
      </c>
      <c r="J560" s="38" t="s">
        <v>1785</v>
      </c>
    </row>
    <row r="561" spans="1:10" ht="76" x14ac:dyDescent="0.2">
      <c r="A561" s="87" t="s">
        <v>63</v>
      </c>
      <c r="B561" s="37">
        <v>2025</v>
      </c>
      <c r="C561" s="38" t="s">
        <v>1941</v>
      </c>
      <c r="D561" s="38" t="s">
        <v>1942</v>
      </c>
      <c r="E561" s="38" t="s">
        <v>1935</v>
      </c>
      <c r="F561" s="38" t="s">
        <v>1782</v>
      </c>
      <c r="G561" s="37" t="s">
        <v>1788</v>
      </c>
      <c r="H561" s="38" t="s">
        <v>1943</v>
      </c>
      <c r="I561" s="37" t="s">
        <v>451</v>
      </c>
      <c r="J561" s="38" t="s">
        <v>1785</v>
      </c>
    </row>
    <row r="562" spans="1:10" ht="57" x14ac:dyDescent="0.2">
      <c r="A562" s="87" t="s">
        <v>73</v>
      </c>
      <c r="B562" s="37">
        <v>2024</v>
      </c>
      <c r="C562" s="38" t="s">
        <v>1944</v>
      </c>
      <c r="D562" s="38" t="s">
        <v>1945</v>
      </c>
      <c r="E562" s="38" t="s">
        <v>1935</v>
      </c>
      <c r="F562" s="38" t="s">
        <v>1782</v>
      </c>
      <c r="G562" s="37" t="s">
        <v>1788</v>
      </c>
      <c r="H562" s="38" t="s">
        <v>1946</v>
      </c>
      <c r="I562" s="37" t="s">
        <v>451</v>
      </c>
      <c r="J562" s="38" t="s">
        <v>1785</v>
      </c>
    </row>
    <row r="563" spans="1:10" ht="57" x14ac:dyDescent="0.2">
      <c r="A563" s="87" t="s">
        <v>73</v>
      </c>
      <c r="B563" s="37">
        <v>2024</v>
      </c>
      <c r="C563" s="38" t="s">
        <v>1947</v>
      </c>
      <c r="D563" s="38" t="s">
        <v>1948</v>
      </c>
      <c r="E563" s="38" t="s">
        <v>1935</v>
      </c>
      <c r="F563" s="38" t="s">
        <v>1782</v>
      </c>
      <c r="G563" s="37" t="s">
        <v>1788</v>
      </c>
      <c r="H563" s="38" t="s">
        <v>1202</v>
      </c>
      <c r="I563" s="37" t="s">
        <v>451</v>
      </c>
      <c r="J563" s="38" t="s">
        <v>1785</v>
      </c>
    </row>
    <row r="564" spans="1:10" ht="76" x14ac:dyDescent="0.2">
      <c r="A564" s="87" t="s">
        <v>83</v>
      </c>
      <c r="B564" s="37">
        <v>2025</v>
      </c>
      <c r="C564" s="38" t="s">
        <v>1949</v>
      </c>
      <c r="D564" s="38" t="s">
        <v>1950</v>
      </c>
      <c r="E564" s="38" t="s">
        <v>1935</v>
      </c>
      <c r="F564" s="38" t="s">
        <v>1782</v>
      </c>
      <c r="G564" s="37" t="s">
        <v>1788</v>
      </c>
      <c r="H564" s="38" t="s">
        <v>1951</v>
      </c>
      <c r="I564" s="37" t="s">
        <v>451</v>
      </c>
      <c r="J564" s="38" t="s">
        <v>1785</v>
      </c>
    </row>
    <row r="565" spans="1:10" ht="133" x14ac:dyDescent="0.2">
      <c r="A565" s="87" t="s">
        <v>93</v>
      </c>
      <c r="B565" s="37">
        <v>2025</v>
      </c>
      <c r="C565" s="38" t="s">
        <v>1952</v>
      </c>
      <c r="D565" s="38" t="s">
        <v>1953</v>
      </c>
      <c r="E565" s="38" t="s">
        <v>1935</v>
      </c>
      <c r="F565" s="38" t="s">
        <v>1782</v>
      </c>
      <c r="G565" s="37" t="s">
        <v>1788</v>
      </c>
      <c r="H565" s="38" t="s">
        <v>1202</v>
      </c>
      <c r="I565" s="37" t="s">
        <v>451</v>
      </c>
      <c r="J565" s="38" t="s">
        <v>1785</v>
      </c>
    </row>
    <row r="566" spans="1:10" ht="76" x14ac:dyDescent="0.2">
      <c r="A566" s="87" t="s">
        <v>103</v>
      </c>
      <c r="B566" s="37">
        <v>2024</v>
      </c>
      <c r="C566" s="38" t="s">
        <v>1954</v>
      </c>
      <c r="D566" s="38" t="s">
        <v>1955</v>
      </c>
      <c r="E566" s="38" t="s">
        <v>1935</v>
      </c>
      <c r="F566" s="38" t="s">
        <v>1782</v>
      </c>
      <c r="G566" s="37" t="s">
        <v>1788</v>
      </c>
      <c r="H566" s="38" t="s">
        <v>1956</v>
      </c>
      <c r="I566" s="37" t="s">
        <v>451</v>
      </c>
      <c r="J566" s="38" t="s">
        <v>1785</v>
      </c>
    </row>
    <row r="567" spans="1:10" ht="95" x14ac:dyDescent="0.2">
      <c r="A567" s="87" t="s">
        <v>113</v>
      </c>
      <c r="B567" s="37">
        <v>2024</v>
      </c>
      <c r="C567" s="38" t="s">
        <v>1957</v>
      </c>
      <c r="D567" s="38" t="s">
        <v>1958</v>
      </c>
      <c r="E567" s="38" t="s">
        <v>1935</v>
      </c>
      <c r="F567" s="38" t="s">
        <v>1782</v>
      </c>
      <c r="G567" s="37" t="s">
        <v>1788</v>
      </c>
      <c r="H567" s="38" t="s">
        <v>892</v>
      </c>
      <c r="I567" s="37" t="s">
        <v>451</v>
      </c>
      <c r="J567" s="38" t="s">
        <v>1785</v>
      </c>
    </row>
    <row r="568" spans="1:10" ht="95" x14ac:dyDescent="0.2">
      <c r="A568" s="87" t="s">
        <v>113</v>
      </c>
      <c r="B568" s="37">
        <v>2024</v>
      </c>
      <c r="C568" s="38" t="s">
        <v>1959</v>
      </c>
      <c r="D568" s="38" t="s">
        <v>1960</v>
      </c>
      <c r="E568" s="38" t="s">
        <v>1935</v>
      </c>
      <c r="F568" s="38" t="s">
        <v>1782</v>
      </c>
      <c r="G568" s="37" t="s">
        <v>1788</v>
      </c>
      <c r="H568" s="38" t="s">
        <v>546</v>
      </c>
      <c r="I568" s="37" t="s">
        <v>451</v>
      </c>
      <c r="J568" s="38" t="s">
        <v>1785</v>
      </c>
    </row>
    <row r="569" spans="1:10" ht="76" x14ac:dyDescent="0.2">
      <c r="A569" s="87" t="s">
        <v>122</v>
      </c>
      <c r="B569" s="37">
        <v>2024</v>
      </c>
      <c r="C569" s="38" t="s">
        <v>1961</v>
      </c>
      <c r="D569" s="38" t="s">
        <v>1962</v>
      </c>
      <c r="E569" s="38" t="s">
        <v>1935</v>
      </c>
      <c r="F569" s="38" t="s">
        <v>1782</v>
      </c>
      <c r="G569" s="37" t="s">
        <v>1788</v>
      </c>
      <c r="H569" s="38" t="s">
        <v>566</v>
      </c>
      <c r="I569" s="37" t="s">
        <v>451</v>
      </c>
      <c r="J569" s="38" t="s">
        <v>1785</v>
      </c>
    </row>
    <row r="570" spans="1:10" ht="95" x14ac:dyDescent="0.2">
      <c r="A570" s="87" t="s">
        <v>122</v>
      </c>
      <c r="B570" s="37">
        <v>2024</v>
      </c>
      <c r="C570" s="38" t="s">
        <v>1963</v>
      </c>
      <c r="D570" s="38" t="s">
        <v>1964</v>
      </c>
      <c r="E570" s="38" t="s">
        <v>1935</v>
      </c>
      <c r="F570" s="38" t="s">
        <v>1782</v>
      </c>
      <c r="G570" s="37" t="s">
        <v>1788</v>
      </c>
      <c r="H570" s="38" t="s">
        <v>478</v>
      </c>
      <c r="I570" s="37" t="s">
        <v>451</v>
      </c>
      <c r="J570" s="38" t="s">
        <v>1785</v>
      </c>
    </row>
    <row r="571" spans="1:10" ht="114" x14ac:dyDescent="0.2">
      <c r="A571" s="87" t="s">
        <v>130</v>
      </c>
      <c r="B571" s="37">
        <v>2024</v>
      </c>
      <c r="C571" s="38" t="s">
        <v>1965</v>
      </c>
      <c r="D571" s="38" t="s">
        <v>1966</v>
      </c>
      <c r="E571" s="38" t="s">
        <v>1935</v>
      </c>
      <c r="F571" s="38" t="s">
        <v>1782</v>
      </c>
      <c r="G571" s="37" t="s">
        <v>1788</v>
      </c>
      <c r="H571" s="38" t="s">
        <v>903</v>
      </c>
      <c r="I571" s="37" t="s">
        <v>451</v>
      </c>
      <c r="J571" s="38" t="s">
        <v>1785</v>
      </c>
    </row>
    <row r="572" spans="1:10" ht="114" x14ac:dyDescent="0.2">
      <c r="A572" s="87" t="s">
        <v>130</v>
      </c>
      <c r="B572" s="37">
        <v>2024</v>
      </c>
      <c r="C572" s="38" t="s">
        <v>1967</v>
      </c>
      <c r="D572" s="38" t="s">
        <v>1968</v>
      </c>
      <c r="E572" s="38" t="s">
        <v>1935</v>
      </c>
      <c r="F572" s="38" t="s">
        <v>1782</v>
      </c>
      <c r="G572" s="37" t="s">
        <v>1788</v>
      </c>
      <c r="H572" s="38" t="s">
        <v>903</v>
      </c>
      <c r="I572" s="37" t="s">
        <v>451</v>
      </c>
      <c r="J572" s="38" t="s">
        <v>1785</v>
      </c>
    </row>
    <row r="573" spans="1:10" ht="114" x14ac:dyDescent="0.2">
      <c r="A573" s="87" t="s">
        <v>139</v>
      </c>
      <c r="B573" s="37">
        <v>2023</v>
      </c>
      <c r="C573" s="38" t="s">
        <v>1969</v>
      </c>
      <c r="D573" s="38" t="s">
        <v>1970</v>
      </c>
      <c r="E573" s="38" t="s">
        <v>1935</v>
      </c>
      <c r="F573" s="38" t="s">
        <v>1782</v>
      </c>
      <c r="G573" s="37" t="s">
        <v>1788</v>
      </c>
      <c r="H573" s="38" t="s">
        <v>555</v>
      </c>
      <c r="I573" s="37" t="s">
        <v>451</v>
      </c>
      <c r="J573" s="38" t="s">
        <v>1785</v>
      </c>
    </row>
    <row r="574" spans="1:10" ht="114" x14ac:dyDescent="0.2">
      <c r="A574" s="87" t="s">
        <v>139</v>
      </c>
      <c r="B574" s="37">
        <v>2023</v>
      </c>
      <c r="C574" s="38" t="s">
        <v>1971</v>
      </c>
      <c r="D574" s="38" t="s">
        <v>1972</v>
      </c>
      <c r="E574" s="38" t="s">
        <v>1935</v>
      </c>
      <c r="F574" s="38" t="s">
        <v>1782</v>
      </c>
      <c r="G574" s="37" t="s">
        <v>1788</v>
      </c>
      <c r="H574" s="38" t="s">
        <v>1853</v>
      </c>
      <c r="I574" s="37" t="s">
        <v>451</v>
      </c>
      <c r="J574" s="38" t="s">
        <v>1785</v>
      </c>
    </row>
    <row r="575" spans="1:10" ht="76" x14ac:dyDescent="0.2">
      <c r="A575" s="87" t="s">
        <v>149</v>
      </c>
      <c r="B575" s="37">
        <v>2020</v>
      </c>
      <c r="C575" s="38" t="s">
        <v>1973</v>
      </c>
      <c r="D575" s="38" t="s">
        <v>1974</v>
      </c>
      <c r="E575" s="38" t="s">
        <v>1935</v>
      </c>
      <c r="F575" s="38" t="s">
        <v>1782</v>
      </c>
      <c r="G575" s="37" t="s">
        <v>1783</v>
      </c>
      <c r="H575" s="38" t="s">
        <v>492</v>
      </c>
      <c r="I575" s="37" t="s">
        <v>659</v>
      </c>
      <c r="J575" s="38" t="s">
        <v>1785</v>
      </c>
    </row>
    <row r="576" spans="1:10" ht="152" x14ac:dyDescent="0.2">
      <c r="A576" s="87" t="s">
        <v>159</v>
      </c>
      <c r="B576" s="37">
        <v>2025</v>
      </c>
      <c r="C576" s="38" t="s">
        <v>1975</v>
      </c>
      <c r="D576" s="38" t="s">
        <v>1976</v>
      </c>
      <c r="E576" s="38" t="s">
        <v>1935</v>
      </c>
      <c r="F576" s="38" t="s">
        <v>1782</v>
      </c>
      <c r="G576" s="37" t="s">
        <v>1788</v>
      </c>
      <c r="H576" s="38" t="s">
        <v>1977</v>
      </c>
      <c r="I576" s="37" t="s">
        <v>451</v>
      </c>
      <c r="J576" s="38" t="s">
        <v>1785</v>
      </c>
    </row>
    <row r="577" spans="1:10" ht="133" x14ac:dyDescent="0.2">
      <c r="A577" s="87" t="s">
        <v>169</v>
      </c>
      <c r="B577" s="37">
        <v>2026</v>
      </c>
      <c r="C577" s="38" t="s">
        <v>1978</v>
      </c>
      <c r="D577" s="38" t="s">
        <v>1979</v>
      </c>
      <c r="E577" s="38" t="s">
        <v>1935</v>
      </c>
      <c r="F577" s="38" t="s">
        <v>1782</v>
      </c>
      <c r="G577" s="37" t="s">
        <v>1788</v>
      </c>
      <c r="H577" s="38" t="s">
        <v>555</v>
      </c>
      <c r="I577" s="37" t="s">
        <v>451</v>
      </c>
      <c r="J577" s="38" t="s">
        <v>1785</v>
      </c>
    </row>
    <row r="578" spans="1:10" ht="114" x14ac:dyDescent="0.2">
      <c r="A578" s="87" t="s">
        <v>179</v>
      </c>
      <c r="B578" s="37">
        <v>2025</v>
      </c>
      <c r="C578" s="38" t="s">
        <v>1980</v>
      </c>
      <c r="D578" s="38" t="s">
        <v>1981</v>
      </c>
      <c r="E578" s="38" t="s">
        <v>1935</v>
      </c>
      <c r="F578" s="38" t="s">
        <v>1782</v>
      </c>
      <c r="G578" s="37" t="s">
        <v>1788</v>
      </c>
      <c r="H578" s="38" t="s">
        <v>1982</v>
      </c>
      <c r="I578" s="37" t="s">
        <v>451</v>
      </c>
      <c r="J578" s="38" t="s">
        <v>1785</v>
      </c>
    </row>
    <row r="579" spans="1:10" ht="114" x14ac:dyDescent="0.2">
      <c r="A579" s="87" t="s">
        <v>179</v>
      </c>
      <c r="B579" s="37">
        <v>2025</v>
      </c>
      <c r="C579" s="38" t="s">
        <v>1983</v>
      </c>
      <c r="D579" s="38" t="s">
        <v>1984</v>
      </c>
      <c r="E579" s="38" t="s">
        <v>1935</v>
      </c>
      <c r="F579" s="38" t="s">
        <v>1782</v>
      </c>
      <c r="G579" s="37" t="s">
        <v>1788</v>
      </c>
      <c r="H579" s="38" t="s">
        <v>1985</v>
      </c>
      <c r="I579" s="37" t="s">
        <v>451</v>
      </c>
      <c r="J579" s="38" t="s">
        <v>1785</v>
      </c>
    </row>
    <row r="580" spans="1:10" ht="133" x14ac:dyDescent="0.2">
      <c r="A580" s="87" t="s">
        <v>188</v>
      </c>
      <c r="B580" s="37">
        <v>2025</v>
      </c>
      <c r="C580" s="38" t="s">
        <v>1986</v>
      </c>
      <c r="D580" s="38" t="s">
        <v>1987</v>
      </c>
      <c r="E580" s="38" t="s">
        <v>1935</v>
      </c>
      <c r="F580" s="38" t="s">
        <v>1782</v>
      </c>
      <c r="G580" s="37" t="s">
        <v>1788</v>
      </c>
      <c r="H580" s="38" t="s">
        <v>1988</v>
      </c>
      <c r="I580" s="37" t="s">
        <v>451</v>
      </c>
      <c r="J580" s="38" t="s">
        <v>1785</v>
      </c>
    </row>
    <row r="581" spans="1:10" ht="152" x14ac:dyDescent="0.2">
      <c r="A581" s="87" t="s">
        <v>198</v>
      </c>
      <c r="B581" s="37">
        <v>2026</v>
      </c>
      <c r="C581" s="38" t="s">
        <v>1989</v>
      </c>
      <c r="D581" s="38" t="s">
        <v>1990</v>
      </c>
      <c r="E581" s="38" t="s">
        <v>1935</v>
      </c>
      <c r="F581" s="38" t="s">
        <v>1782</v>
      </c>
      <c r="G581" s="37" t="s">
        <v>1788</v>
      </c>
      <c r="H581" s="38" t="s">
        <v>1991</v>
      </c>
      <c r="I581" s="37" t="s">
        <v>451</v>
      </c>
      <c r="J581" s="38" t="s">
        <v>1785</v>
      </c>
    </row>
    <row r="582" spans="1:10" ht="133" x14ac:dyDescent="0.2">
      <c r="A582" s="87" t="s">
        <v>198</v>
      </c>
      <c r="B582" s="37">
        <v>2026</v>
      </c>
      <c r="C582" s="38" t="s">
        <v>1992</v>
      </c>
      <c r="D582" s="38" t="s">
        <v>1993</v>
      </c>
      <c r="E582" s="38" t="s">
        <v>1935</v>
      </c>
      <c r="F582" s="38" t="s">
        <v>1782</v>
      </c>
      <c r="G582" s="37" t="s">
        <v>1788</v>
      </c>
      <c r="H582" s="38" t="s">
        <v>1354</v>
      </c>
      <c r="I582" s="37" t="s">
        <v>451</v>
      </c>
      <c r="J582" s="38" t="s">
        <v>1785</v>
      </c>
    </row>
    <row r="583" spans="1:10" ht="171" x14ac:dyDescent="0.2">
      <c r="A583" s="87" t="s">
        <v>208</v>
      </c>
      <c r="B583" s="37">
        <v>2026</v>
      </c>
      <c r="C583" s="38" t="s">
        <v>1994</v>
      </c>
      <c r="D583" s="38" t="s">
        <v>1995</v>
      </c>
      <c r="E583" s="38" t="s">
        <v>1935</v>
      </c>
      <c r="F583" s="38" t="s">
        <v>1782</v>
      </c>
      <c r="G583" s="37" t="s">
        <v>1788</v>
      </c>
      <c r="H583" s="38" t="s">
        <v>1996</v>
      </c>
      <c r="I583" s="37" t="s">
        <v>451</v>
      </c>
      <c r="J583" s="38" t="s">
        <v>1785</v>
      </c>
    </row>
    <row r="584" spans="1:10" ht="133" x14ac:dyDescent="0.2">
      <c r="A584" s="87" t="s">
        <v>208</v>
      </c>
      <c r="B584" s="37">
        <v>2026</v>
      </c>
      <c r="C584" s="38" t="s">
        <v>1997</v>
      </c>
      <c r="D584" s="38" t="s">
        <v>1998</v>
      </c>
      <c r="E584" s="38" t="s">
        <v>1935</v>
      </c>
      <c r="F584" s="38" t="s">
        <v>1782</v>
      </c>
      <c r="G584" s="37" t="s">
        <v>1788</v>
      </c>
      <c r="H584" s="38" t="s">
        <v>1999</v>
      </c>
      <c r="I584" s="37" t="s">
        <v>451</v>
      </c>
      <c r="J584" s="38" t="s">
        <v>1785</v>
      </c>
    </row>
    <row r="585" spans="1:10" ht="76" x14ac:dyDescent="0.2">
      <c r="A585" s="87" t="s">
        <v>218</v>
      </c>
      <c r="B585" s="37">
        <v>2026</v>
      </c>
      <c r="C585" s="38" t="s">
        <v>2000</v>
      </c>
      <c r="D585" s="38" t="s">
        <v>2001</v>
      </c>
      <c r="E585" s="38" t="s">
        <v>1935</v>
      </c>
      <c r="F585" s="38" t="s">
        <v>1782</v>
      </c>
      <c r="G585" s="37" t="s">
        <v>1788</v>
      </c>
      <c r="H585" s="38" t="s">
        <v>2002</v>
      </c>
      <c r="I585" s="37" t="s">
        <v>451</v>
      </c>
      <c r="J585" s="38" t="s">
        <v>1785</v>
      </c>
    </row>
    <row r="586" spans="1:10" ht="95" x14ac:dyDescent="0.2">
      <c r="A586" s="87" t="s">
        <v>218</v>
      </c>
      <c r="B586" s="37">
        <v>2026</v>
      </c>
      <c r="C586" s="38" t="s">
        <v>2003</v>
      </c>
      <c r="D586" s="38" t="s">
        <v>2004</v>
      </c>
      <c r="E586" s="38" t="s">
        <v>1935</v>
      </c>
      <c r="F586" s="38" t="s">
        <v>1782</v>
      </c>
      <c r="G586" s="37" t="s">
        <v>1788</v>
      </c>
      <c r="H586" s="38" t="s">
        <v>951</v>
      </c>
      <c r="I586" s="37" t="s">
        <v>451</v>
      </c>
      <c r="J586" s="38" t="s">
        <v>1785</v>
      </c>
    </row>
    <row r="587" spans="1:10" ht="95" x14ac:dyDescent="0.2">
      <c r="A587" s="87" t="s">
        <v>227</v>
      </c>
      <c r="B587" s="37">
        <v>2026</v>
      </c>
      <c r="C587" s="38" t="s">
        <v>2005</v>
      </c>
      <c r="D587" s="38" t="s">
        <v>2006</v>
      </c>
      <c r="E587" s="38" t="s">
        <v>1935</v>
      </c>
      <c r="F587" s="38" t="s">
        <v>1782</v>
      </c>
      <c r="G587" s="37" t="s">
        <v>1788</v>
      </c>
      <c r="H587" s="38" t="s">
        <v>2007</v>
      </c>
      <c r="I587" s="37" t="s">
        <v>451</v>
      </c>
      <c r="J587" s="38" t="s">
        <v>1785</v>
      </c>
    </row>
    <row r="588" spans="1:10" ht="190" x14ac:dyDescent="0.2">
      <c r="A588" s="87" t="s">
        <v>227</v>
      </c>
      <c r="B588" s="37">
        <v>2026</v>
      </c>
      <c r="C588" s="38" t="s">
        <v>2008</v>
      </c>
      <c r="D588" s="38" t="s">
        <v>2009</v>
      </c>
      <c r="E588" s="38" t="s">
        <v>1935</v>
      </c>
      <c r="F588" s="38" t="s">
        <v>1782</v>
      </c>
      <c r="G588" s="37" t="s">
        <v>1783</v>
      </c>
      <c r="H588" s="38" t="s">
        <v>2010</v>
      </c>
      <c r="I588" s="37" t="s">
        <v>659</v>
      </c>
      <c r="J588" s="38" t="s">
        <v>1785</v>
      </c>
    </row>
    <row r="589" spans="1:10" ht="95" x14ac:dyDescent="0.2">
      <c r="A589" s="87" t="s">
        <v>237</v>
      </c>
      <c r="B589" s="37">
        <v>2025</v>
      </c>
      <c r="C589" s="38" t="s">
        <v>2011</v>
      </c>
      <c r="D589" s="38" t="s">
        <v>2012</v>
      </c>
      <c r="E589" s="38" t="s">
        <v>1935</v>
      </c>
      <c r="F589" s="38" t="s">
        <v>1782</v>
      </c>
      <c r="G589" s="37" t="s">
        <v>1788</v>
      </c>
      <c r="H589" s="38" t="s">
        <v>738</v>
      </c>
      <c r="I589" s="37" t="s">
        <v>451</v>
      </c>
      <c r="J589" s="38" t="s">
        <v>1785</v>
      </c>
    </row>
    <row r="590" spans="1:10" ht="190" x14ac:dyDescent="0.2">
      <c r="A590" s="87" t="s">
        <v>237</v>
      </c>
      <c r="B590" s="37">
        <v>2025</v>
      </c>
      <c r="C590" s="38" t="s">
        <v>2013</v>
      </c>
      <c r="D590" s="38" t="s">
        <v>2014</v>
      </c>
      <c r="E590" s="38" t="s">
        <v>1935</v>
      </c>
      <c r="F590" s="38" t="s">
        <v>1782</v>
      </c>
      <c r="G590" s="37" t="s">
        <v>1783</v>
      </c>
      <c r="H590" s="38" t="s">
        <v>2015</v>
      </c>
      <c r="I590" s="37" t="s">
        <v>659</v>
      </c>
      <c r="J590" s="38" t="s">
        <v>1785</v>
      </c>
    </row>
    <row r="591" spans="1:10" ht="76" x14ac:dyDescent="0.2">
      <c r="A591" s="87" t="s">
        <v>247</v>
      </c>
      <c r="B591" s="37">
        <v>2026</v>
      </c>
      <c r="C591" s="38" t="s">
        <v>2016</v>
      </c>
      <c r="D591" s="38" t="s">
        <v>2017</v>
      </c>
      <c r="E591" s="38" t="s">
        <v>1935</v>
      </c>
      <c r="F591" s="38" t="s">
        <v>1782</v>
      </c>
      <c r="G591" s="37" t="s">
        <v>1788</v>
      </c>
      <c r="H591" s="38" t="s">
        <v>546</v>
      </c>
      <c r="I591" s="37" t="s">
        <v>451</v>
      </c>
      <c r="J591" s="38" t="s">
        <v>1785</v>
      </c>
    </row>
    <row r="592" spans="1:10" ht="57" x14ac:dyDescent="0.2">
      <c r="A592" s="87" t="s">
        <v>247</v>
      </c>
      <c r="B592" s="37">
        <v>2026</v>
      </c>
      <c r="C592" s="38" t="s">
        <v>2018</v>
      </c>
      <c r="D592" s="38" t="s">
        <v>2019</v>
      </c>
      <c r="E592" s="38" t="s">
        <v>1935</v>
      </c>
      <c r="F592" s="38" t="s">
        <v>1782</v>
      </c>
      <c r="G592" s="37" t="s">
        <v>1788</v>
      </c>
      <c r="H592" s="38" t="s">
        <v>2020</v>
      </c>
      <c r="I592" s="37" t="s">
        <v>451</v>
      </c>
      <c r="J592" s="38" t="s">
        <v>1785</v>
      </c>
    </row>
    <row r="593" spans="1:10" ht="95" x14ac:dyDescent="0.2">
      <c r="A593" s="87" t="s">
        <v>257</v>
      </c>
      <c r="B593" s="37">
        <v>2025</v>
      </c>
      <c r="C593" s="38" t="s">
        <v>2021</v>
      </c>
      <c r="D593" s="38" t="s">
        <v>2022</v>
      </c>
      <c r="E593" s="38" t="s">
        <v>1935</v>
      </c>
      <c r="F593" s="38" t="s">
        <v>1782</v>
      </c>
      <c r="G593" s="37" t="s">
        <v>1788</v>
      </c>
      <c r="H593" s="38" t="s">
        <v>2023</v>
      </c>
      <c r="I593" s="37" t="s">
        <v>451</v>
      </c>
      <c r="J593" s="38" t="s">
        <v>1785</v>
      </c>
    </row>
    <row r="594" spans="1:10" ht="76" x14ac:dyDescent="0.2">
      <c r="A594" s="87" t="s">
        <v>257</v>
      </c>
      <c r="B594" s="37">
        <v>2025</v>
      </c>
      <c r="C594" s="38" t="s">
        <v>2024</v>
      </c>
      <c r="D594" s="38" t="s">
        <v>2025</v>
      </c>
      <c r="E594" s="38" t="s">
        <v>1935</v>
      </c>
      <c r="F594" s="38" t="s">
        <v>1782</v>
      </c>
      <c r="G594" s="37" t="s">
        <v>1788</v>
      </c>
      <c r="H594" s="38" t="s">
        <v>2026</v>
      </c>
      <c r="I594" s="37" t="s">
        <v>451</v>
      </c>
      <c r="J594" s="38" t="s">
        <v>1785</v>
      </c>
    </row>
    <row r="595" spans="1:10" x14ac:dyDescent="0.2">
      <c r="A595" s="39"/>
      <c r="B595" s="39"/>
      <c r="C595" s="39"/>
      <c r="E595" s="39"/>
      <c r="F595" s="39"/>
      <c r="G595" s="39"/>
      <c r="H595" s="39"/>
      <c r="I595" s="39"/>
      <c r="J595" s="39"/>
    </row>
    <row r="596" spans="1:10" ht="76" x14ac:dyDescent="0.2">
      <c r="A596" s="87" t="s">
        <v>44</v>
      </c>
      <c r="B596" s="37">
        <v>2024</v>
      </c>
      <c r="C596" s="38" t="s">
        <v>2027</v>
      </c>
      <c r="D596" s="38" t="s">
        <v>2028</v>
      </c>
      <c r="E596" s="38" t="s">
        <v>2029</v>
      </c>
      <c r="F596" s="38" t="s">
        <v>1782</v>
      </c>
      <c r="G596" s="37" t="s">
        <v>1783</v>
      </c>
      <c r="H596" s="38" t="s">
        <v>492</v>
      </c>
      <c r="I596" s="37" t="s">
        <v>659</v>
      </c>
      <c r="J596" s="38" t="s">
        <v>1785</v>
      </c>
    </row>
    <row r="597" spans="1:10" ht="57" x14ac:dyDescent="0.2">
      <c r="A597" s="87" t="s">
        <v>54</v>
      </c>
      <c r="B597" s="37">
        <v>2025</v>
      </c>
      <c r="C597" s="38" t="s">
        <v>2030</v>
      </c>
      <c r="D597" s="38" t="s">
        <v>2031</v>
      </c>
      <c r="E597" s="38" t="s">
        <v>2029</v>
      </c>
      <c r="F597" s="38" t="s">
        <v>1782</v>
      </c>
      <c r="G597" s="37" t="s">
        <v>1783</v>
      </c>
      <c r="H597" s="38" t="s">
        <v>1125</v>
      </c>
      <c r="I597" s="37" t="s">
        <v>659</v>
      </c>
      <c r="J597" s="38" t="s">
        <v>1785</v>
      </c>
    </row>
    <row r="598" spans="1:10" ht="57" x14ac:dyDescent="0.2">
      <c r="A598" s="87" t="s">
        <v>63</v>
      </c>
      <c r="B598" s="37">
        <v>2025</v>
      </c>
      <c r="C598" s="38" t="s">
        <v>2032</v>
      </c>
      <c r="D598" s="38" t="s">
        <v>2033</v>
      </c>
      <c r="E598" s="38" t="s">
        <v>2029</v>
      </c>
      <c r="F598" s="38" t="s">
        <v>1782</v>
      </c>
      <c r="G598" s="37" t="s">
        <v>1783</v>
      </c>
      <c r="H598" s="38" t="s">
        <v>1672</v>
      </c>
      <c r="I598" s="37" t="s">
        <v>659</v>
      </c>
      <c r="J598" s="38" t="s">
        <v>1785</v>
      </c>
    </row>
    <row r="599" spans="1:10" ht="57" x14ac:dyDescent="0.2">
      <c r="A599" s="87" t="s">
        <v>63</v>
      </c>
      <c r="B599" s="37">
        <v>2025</v>
      </c>
      <c r="C599" s="38" t="s">
        <v>2034</v>
      </c>
      <c r="D599" s="38" t="s">
        <v>2035</v>
      </c>
      <c r="E599" s="38" t="s">
        <v>2029</v>
      </c>
      <c r="F599" s="38" t="s">
        <v>1782</v>
      </c>
      <c r="G599" s="37" t="s">
        <v>1788</v>
      </c>
      <c r="H599" s="38" t="s">
        <v>2036</v>
      </c>
      <c r="I599" s="37" t="s">
        <v>451</v>
      </c>
      <c r="J599" s="38" t="s">
        <v>1785</v>
      </c>
    </row>
    <row r="600" spans="1:10" ht="57" x14ac:dyDescent="0.2">
      <c r="A600" s="87" t="s">
        <v>73</v>
      </c>
      <c r="B600" s="37">
        <v>2024</v>
      </c>
      <c r="C600" s="38" t="s">
        <v>2037</v>
      </c>
      <c r="D600" s="38" t="s">
        <v>2038</v>
      </c>
      <c r="E600" s="38" t="s">
        <v>2029</v>
      </c>
      <c r="F600" s="38" t="s">
        <v>1782</v>
      </c>
      <c r="G600" s="37" t="s">
        <v>1783</v>
      </c>
      <c r="H600" s="38" t="s">
        <v>492</v>
      </c>
      <c r="I600" s="37" t="s">
        <v>659</v>
      </c>
      <c r="J600" s="38" t="s">
        <v>1785</v>
      </c>
    </row>
    <row r="601" spans="1:10" ht="57" x14ac:dyDescent="0.2">
      <c r="A601" s="87" t="s">
        <v>83</v>
      </c>
      <c r="B601" s="37">
        <v>2025</v>
      </c>
      <c r="C601" s="38" t="s">
        <v>2039</v>
      </c>
      <c r="D601" s="38" t="s">
        <v>2040</v>
      </c>
      <c r="E601" s="38" t="s">
        <v>2029</v>
      </c>
      <c r="F601" s="38" t="s">
        <v>1782</v>
      </c>
      <c r="G601" s="37" t="s">
        <v>1783</v>
      </c>
      <c r="H601" s="38" t="s">
        <v>492</v>
      </c>
      <c r="I601" s="37" t="s">
        <v>659</v>
      </c>
      <c r="J601" s="38" t="s">
        <v>1785</v>
      </c>
    </row>
    <row r="602" spans="1:10" ht="57" x14ac:dyDescent="0.2">
      <c r="A602" s="87" t="s">
        <v>93</v>
      </c>
      <c r="B602" s="37">
        <v>2025</v>
      </c>
      <c r="C602" s="38" t="s">
        <v>2041</v>
      </c>
      <c r="D602" s="38" t="s">
        <v>2042</v>
      </c>
      <c r="E602" s="38" t="s">
        <v>2029</v>
      </c>
      <c r="F602" s="38" t="s">
        <v>1782</v>
      </c>
      <c r="G602" s="37" t="s">
        <v>1783</v>
      </c>
      <c r="H602" s="38" t="s">
        <v>492</v>
      </c>
      <c r="I602" s="37" t="s">
        <v>659</v>
      </c>
      <c r="J602" s="38" t="s">
        <v>1785</v>
      </c>
    </row>
    <row r="603" spans="1:10" ht="76" x14ac:dyDescent="0.2">
      <c r="A603" s="87" t="s">
        <v>103</v>
      </c>
      <c r="B603" s="37">
        <v>2024</v>
      </c>
      <c r="C603" s="38" t="s">
        <v>2043</v>
      </c>
      <c r="D603" s="38" t="s">
        <v>2044</v>
      </c>
      <c r="E603" s="38" t="s">
        <v>2029</v>
      </c>
      <c r="F603" s="38" t="s">
        <v>1782</v>
      </c>
      <c r="G603" s="37" t="s">
        <v>1783</v>
      </c>
      <c r="H603" s="38" t="s">
        <v>2045</v>
      </c>
      <c r="I603" s="37" t="s">
        <v>659</v>
      </c>
      <c r="J603" s="38" t="s">
        <v>1785</v>
      </c>
    </row>
    <row r="604" spans="1:10" ht="76" x14ac:dyDescent="0.2">
      <c r="A604" s="87" t="s">
        <v>113</v>
      </c>
      <c r="B604" s="37">
        <v>2024</v>
      </c>
      <c r="C604" s="38" t="s">
        <v>2046</v>
      </c>
      <c r="D604" s="38" t="s">
        <v>2047</v>
      </c>
      <c r="E604" s="38" t="s">
        <v>2029</v>
      </c>
      <c r="F604" s="38" t="s">
        <v>1782</v>
      </c>
      <c r="G604" s="37" t="s">
        <v>1783</v>
      </c>
      <c r="H604" s="38" t="s">
        <v>492</v>
      </c>
      <c r="I604" s="37" t="s">
        <v>659</v>
      </c>
      <c r="J604" s="38" t="s">
        <v>1785</v>
      </c>
    </row>
    <row r="605" spans="1:10" ht="76" x14ac:dyDescent="0.2">
      <c r="A605" s="87" t="s">
        <v>122</v>
      </c>
      <c r="B605" s="37">
        <v>2024</v>
      </c>
      <c r="C605" s="38" t="s">
        <v>2048</v>
      </c>
      <c r="D605" s="38" t="s">
        <v>2049</v>
      </c>
      <c r="E605" s="38" t="s">
        <v>2029</v>
      </c>
      <c r="F605" s="38" t="s">
        <v>1782</v>
      </c>
      <c r="G605" s="37" t="s">
        <v>1783</v>
      </c>
      <c r="H605" s="38" t="s">
        <v>662</v>
      </c>
      <c r="I605" s="37" t="s">
        <v>659</v>
      </c>
      <c r="J605" s="38" t="s">
        <v>1785</v>
      </c>
    </row>
    <row r="606" spans="1:10" ht="76" x14ac:dyDescent="0.2">
      <c r="A606" s="87" t="s">
        <v>130</v>
      </c>
      <c r="B606" s="37">
        <v>2024</v>
      </c>
      <c r="C606" s="38" t="s">
        <v>2050</v>
      </c>
      <c r="D606" s="38" t="s">
        <v>2051</v>
      </c>
      <c r="E606" s="38" t="s">
        <v>2029</v>
      </c>
      <c r="F606" s="38" t="s">
        <v>1782</v>
      </c>
      <c r="G606" s="37" t="s">
        <v>1783</v>
      </c>
      <c r="H606" s="38" t="s">
        <v>2052</v>
      </c>
      <c r="I606" s="37" t="s">
        <v>659</v>
      </c>
      <c r="J606" s="38" t="s">
        <v>1785</v>
      </c>
    </row>
    <row r="607" spans="1:10" ht="57" x14ac:dyDescent="0.2">
      <c r="A607" s="87" t="s">
        <v>139</v>
      </c>
      <c r="B607" s="37">
        <v>2023</v>
      </c>
      <c r="C607" s="38" t="s">
        <v>2053</v>
      </c>
      <c r="D607" s="38" t="s">
        <v>2054</v>
      </c>
      <c r="E607" s="38" t="s">
        <v>2029</v>
      </c>
      <c r="F607" s="38" t="s">
        <v>1782</v>
      </c>
      <c r="G607" s="37" t="s">
        <v>1783</v>
      </c>
      <c r="H607" s="38" t="s">
        <v>2055</v>
      </c>
      <c r="I607" s="37" t="s">
        <v>659</v>
      </c>
      <c r="J607" s="38" t="s">
        <v>1785</v>
      </c>
    </row>
    <row r="608" spans="1:10" ht="76" x14ac:dyDescent="0.2">
      <c r="A608" s="87" t="s">
        <v>149</v>
      </c>
      <c r="B608" s="37">
        <v>2020</v>
      </c>
      <c r="C608" s="38" t="s">
        <v>2056</v>
      </c>
      <c r="D608" s="38" t="s">
        <v>2057</v>
      </c>
      <c r="E608" s="38" t="s">
        <v>2029</v>
      </c>
      <c r="F608" s="38" t="s">
        <v>1782</v>
      </c>
      <c r="G608" s="37" t="s">
        <v>1783</v>
      </c>
      <c r="H608" s="38" t="s">
        <v>492</v>
      </c>
      <c r="I608" s="37" t="s">
        <v>659</v>
      </c>
      <c r="J608" s="38" t="s">
        <v>1785</v>
      </c>
    </row>
    <row r="609" spans="1:10" ht="228" x14ac:dyDescent="0.2">
      <c r="A609" s="87" t="s">
        <v>159</v>
      </c>
      <c r="B609" s="37">
        <v>2025</v>
      </c>
      <c r="C609" s="38" t="s">
        <v>2058</v>
      </c>
      <c r="D609" s="38" t="s">
        <v>2059</v>
      </c>
      <c r="E609" s="38" t="s">
        <v>2029</v>
      </c>
      <c r="F609" s="38" t="s">
        <v>1782</v>
      </c>
      <c r="G609" s="37" t="s">
        <v>1788</v>
      </c>
      <c r="H609" s="38" t="s">
        <v>2060</v>
      </c>
      <c r="I609" s="37" t="s">
        <v>451</v>
      </c>
      <c r="J609" s="38" t="s">
        <v>1785</v>
      </c>
    </row>
    <row r="610" spans="1:10" ht="95" x14ac:dyDescent="0.2">
      <c r="A610" s="87" t="s">
        <v>159</v>
      </c>
      <c r="B610" s="37">
        <v>2025</v>
      </c>
      <c r="C610" s="38" t="s">
        <v>2061</v>
      </c>
      <c r="D610" s="38" t="s">
        <v>2062</v>
      </c>
      <c r="E610" s="38" t="s">
        <v>2029</v>
      </c>
      <c r="F610" s="38" t="s">
        <v>1782</v>
      </c>
      <c r="G610" s="37" t="s">
        <v>1788</v>
      </c>
      <c r="H610" s="38" t="s">
        <v>2063</v>
      </c>
      <c r="I610" s="37" t="s">
        <v>451</v>
      </c>
      <c r="J610" s="38" t="s">
        <v>1785</v>
      </c>
    </row>
    <row r="611" spans="1:10" ht="76" x14ac:dyDescent="0.2">
      <c r="A611" s="87" t="s">
        <v>169</v>
      </c>
      <c r="B611" s="37">
        <v>2026</v>
      </c>
      <c r="C611" s="38" t="s">
        <v>2064</v>
      </c>
      <c r="D611" s="38" t="s">
        <v>2065</v>
      </c>
      <c r="E611" s="38" t="s">
        <v>2029</v>
      </c>
      <c r="F611" s="38" t="s">
        <v>1782</v>
      </c>
      <c r="G611" s="37" t="s">
        <v>1783</v>
      </c>
      <c r="H611" s="38" t="s">
        <v>492</v>
      </c>
      <c r="I611" s="37" t="s">
        <v>659</v>
      </c>
      <c r="J611" s="38" t="s">
        <v>1785</v>
      </c>
    </row>
    <row r="612" spans="1:10" ht="133" x14ac:dyDescent="0.2">
      <c r="A612" s="87" t="s">
        <v>179</v>
      </c>
      <c r="B612" s="37">
        <v>2025</v>
      </c>
      <c r="C612" s="38" t="s">
        <v>2066</v>
      </c>
      <c r="D612" s="38" t="s">
        <v>2067</v>
      </c>
      <c r="E612" s="38" t="s">
        <v>2029</v>
      </c>
      <c r="F612" s="38" t="s">
        <v>1782</v>
      </c>
      <c r="G612" s="37" t="s">
        <v>1788</v>
      </c>
      <c r="H612" s="38" t="s">
        <v>2068</v>
      </c>
      <c r="I612" s="37" t="s">
        <v>451</v>
      </c>
      <c r="J612" s="38" t="s">
        <v>1785</v>
      </c>
    </row>
    <row r="613" spans="1:10" ht="114" x14ac:dyDescent="0.2">
      <c r="A613" s="87" t="s">
        <v>179</v>
      </c>
      <c r="B613" s="37">
        <v>2025</v>
      </c>
      <c r="C613" s="38" t="s">
        <v>2069</v>
      </c>
      <c r="D613" s="38" t="s">
        <v>2070</v>
      </c>
      <c r="E613" s="38" t="s">
        <v>2029</v>
      </c>
      <c r="F613" s="38" t="s">
        <v>1782</v>
      </c>
      <c r="G613" s="37" t="s">
        <v>1788</v>
      </c>
      <c r="H613" s="38" t="s">
        <v>2071</v>
      </c>
      <c r="I613" s="37" t="s">
        <v>451</v>
      </c>
      <c r="J613" s="38" t="s">
        <v>1785</v>
      </c>
    </row>
    <row r="614" spans="1:10" ht="152" x14ac:dyDescent="0.2">
      <c r="A614" s="87" t="s">
        <v>188</v>
      </c>
      <c r="B614" s="37">
        <v>2025</v>
      </c>
      <c r="C614" s="38" t="s">
        <v>2072</v>
      </c>
      <c r="D614" s="38" t="s">
        <v>2073</v>
      </c>
      <c r="E614" s="38" t="s">
        <v>2029</v>
      </c>
      <c r="F614" s="38" t="s">
        <v>1782</v>
      </c>
      <c r="G614" s="37" t="s">
        <v>1788</v>
      </c>
      <c r="H614" s="38" t="s">
        <v>2074</v>
      </c>
      <c r="I614" s="37" t="s">
        <v>451</v>
      </c>
      <c r="J614" s="38" t="s">
        <v>1785</v>
      </c>
    </row>
    <row r="615" spans="1:10" ht="133" x14ac:dyDescent="0.2">
      <c r="A615" s="87" t="s">
        <v>188</v>
      </c>
      <c r="B615" s="37">
        <v>2025</v>
      </c>
      <c r="C615" s="38" t="s">
        <v>2075</v>
      </c>
      <c r="D615" s="38" t="s">
        <v>2076</v>
      </c>
      <c r="E615" s="38" t="s">
        <v>2029</v>
      </c>
      <c r="F615" s="38" t="s">
        <v>1782</v>
      </c>
      <c r="G615" s="37" t="s">
        <v>1788</v>
      </c>
      <c r="H615" s="38" t="s">
        <v>1006</v>
      </c>
      <c r="I615" s="37" t="s">
        <v>451</v>
      </c>
      <c r="J615" s="38" t="s">
        <v>1785</v>
      </c>
    </row>
    <row r="616" spans="1:10" ht="152" x14ac:dyDescent="0.2">
      <c r="A616" s="87" t="s">
        <v>198</v>
      </c>
      <c r="B616" s="37">
        <v>2026</v>
      </c>
      <c r="C616" s="38" t="s">
        <v>2077</v>
      </c>
      <c r="D616" s="38" t="s">
        <v>2078</v>
      </c>
      <c r="E616" s="38" t="s">
        <v>2029</v>
      </c>
      <c r="F616" s="38" t="s">
        <v>1782</v>
      </c>
      <c r="G616" s="37" t="s">
        <v>1788</v>
      </c>
      <c r="H616" s="38" t="s">
        <v>2079</v>
      </c>
      <c r="I616" s="37" t="s">
        <v>451</v>
      </c>
      <c r="J616" s="38" t="s">
        <v>1785</v>
      </c>
    </row>
    <row r="617" spans="1:10" ht="152" x14ac:dyDescent="0.2">
      <c r="A617" s="87" t="s">
        <v>198</v>
      </c>
      <c r="B617" s="37">
        <v>2026</v>
      </c>
      <c r="C617" s="38" t="s">
        <v>2080</v>
      </c>
      <c r="D617" s="38" t="s">
        <v>2081</v>
      </c>
      <c r="E617" s="38" t="s">
        <v>2029</v>
      </c>
      <c r="F617" s="38" t="s">
        <v>1782</v>
      </c>
      <c r="G617" s="37" t="s">
        <v>1783</v>
      </c>
      <c r="H617" s="38" t="s">
        <v>2082</v>
      </c>
      <c r="I617" s="37" t="s">
        <v>659</v>
      </c>
      <c r="J617" s="38" t="s">
        <v>1785</v>
      </c>
    </row>
    <row r="618" spans="1:10" ht="171" x14ac:dyDescent="0.2">
      <c r="A618" s="87" t="s">
        <v>208</v>
      </c>
      <c r="B618" s="37">
        <v>2026</v>
      </c>
      <c r="C618" s="38" t="s">
        <v>2083</v>
      </c>
      <c r="D618" s="38" t="s">
        <v>2084</v>
      </c>
      <c r="E618" s="38" t="s">
        <v>2029</v>
      </c>
      <c r="F618" s="38" t="s">
        <v>1782</v>
      </c>
      <c r="G618" s="37" t="s">
        <v>1788</v>
      </c>
      <c r="H618" s="38" t="s">
        <v>2085</v>
      </c>
      <c r="I618" s="37" t="s">
        <v>451</v>
      </c>
      <c r="J618" s="38" t="s">
        <v>1785</v>
      </c>
    </row>
    <row r="619" spans="1:10" ht="152" x14ac:dyDescent="0.2">
      <c r="A619" s="87" t="s">
        <v>208</v>
      </c>
      <c r="B619" s="37">
        <v>2026</v>
      </c>
      <c r="C619" s="38" t="s">
        <v>2086</v>
      </c>
      <c r="D619" s="38" t="s">
        <v>2087</v>
      </c>
      <c r="E619" s="38" t="s">
        <v>2029</v>
      </c>
      <c r="F619" s="38" t="s">
        <v>1782</v>
      </c>
      <c r="G619" s="37" t="s">
        <v>1783</v>
      </c>
      <c r="H619" s="38" t="s">
        <v>2088</v>
      </c>
      <c r="I619" s="37" t="s">
        <v>659</v>
      </c>
      <c r="J619" s="38" t="s">
        <v>1785</v>
      </c>
    </row>
    <row r="620" spans="1:10" ht="76" x14ac:dyDescent="0.2">
      <c r="A620" s="87" t="s">
        <v>218</v>
      </c>
      <c r="B620" s="37">
        <v>2026</v>
      </c>
      <c r="C620" s="38" t="s">
        <v>2089</v>
      </c>
      <c r="D620" s="38" t="s">
        <v>2090</v>
      </c>
      <c r="E620" s="38" t="s">
        <v>2029</v>
      </c>
      <c r="F620" s="38" t="s">
        <v>1782</v>
      </c>
      <c r="G620" s="37" t="s">
        <v>1788</v>
      </c>
      <c r="H620" s="38" t="s">
        <v>2091</v>
      </c>
      <c r="I620" s="37" t="s">
        <v>451</v>
      </c>
      <c r="J620" s="38" t="s">
        <v>1785</v>
      </c>
    </row>
    <row r="621" spans="1:10" ht="190" x14ac:dyDescent="0.2">
      <c r="A621" s="87" t="s">
        <v>218</v>
      </c>
      <c r="B621" s="37">
        <v>2026</v>
      </c>
      <c r="C621" s="38" t="s">
        <v>2092</v>
      </c>
      <c r="D621" s="38" t="s">
        <v>2093</v>
      </c>
      <c r="E621" s="38" t="s">
        <v>2029</v>
      </c>
      <c r="F621" s="38" t="s">
        <v>1782</v>
      </c>
      <c r="G621" s="37" t="s">
        <v>1783</v>
      </c>
      <c r="H621" s="38" t="s">
        <v>2094</v>
      </c>
      <c r="I621" s="37" t="s">
        <v>659</v>
      </c>
      <c r="J621" s="38" t="s">
        <v>1785</v>
      </c>
    </row>
    <row r="622" spans="1:10" ht="95" x14ac:dyDescent="0.2">
      <c r="A622" s="87" t="s">
        <v>227</v>
      </c>
      <c r="B622" s="37">
        <v>2026</v>
      </c>
      <c r="C622" s="38" t="s">
        <v>2095</v>
      </c>
      <c r="D622" s="38" t="s">
        <v>2096</v>
      </c>
      <c r="E622" s="38" t="s">
        <v>2029</v>
      </c>
      <c r="F622" s="38" t="s">
        <v>1782</v>
      </c>
      <c r="G622" s="37" t="s">
        <v>1788</v>
      </c>
      <c r="H622" s="38" t="s">
        <v>738</v>
      </c>
      <c r="I622" s="37" t="s">
        <v>451</v>
      </c>
      <c r="J622" s="38" t="s">
        <v>1785</v>
      </c>
    </row>
    <row r="623" spans="1:10" ht="95" x14ac:dyDescent="0.2">
      <c r="A623" s="87" t="s">
        <v>227</v>
      </c>
      <c r="B623" s="37">
        <v>2026</v>
      </c>
      <c r="C623" s="38" t="s">
        <v>2097</v>
      </c>
      <c r="D623" s="38" t="s">
        <v>2098</v>
      </c>
      <c r="E623" s="38" t="s">
        <v>2029</v>
      </c>
      <c r="F623" s="38" t="s">
        <v>1782</v>
      </c>
      <c r="G623" s="37" t="s">
        <v>1783</v>
      </c>
      <c r="H623" s="38" t="s">
        <v>2099</v>
      </c>
      <c r="I623" s="37" t="s">
        <v>659</v>
      </c>
      <c r="J623" s="38" t="s">
        <v>1785</v>
      </c>
    </row>
    <row r="624" spans="1:10" ht="133" x14ac:dyDescent="0.2">
      <c r="A624" s="87" t="s">
        <v>237</v>
      </c>
      <c r="B624" s="37">
        <v>2025</v>
      </c>
      <c r="C624" s="38" t="s">
        <v>2100</v>
      </c>
      <c r="D624" s="38" t="s">
        <v>2101</v>
      </c>
      <c r="E624" s="38" t="s">
        <v>2029</v>
      </c>
      <c r="F624" s="38" t="s">
        <v>1782</v>
      </c>
      <c r="G624" s="37" t="s">
        <v>1788</v>
      </c>
      <c r="H624" s="38" t="s">
        <v>843</v>
      </c>
      <c r="I624" s="37" t="s">
        <v>451</v>
      </c>
      <c r="J624" s="38" t="s">
        <v>1785</v>
      </c>
    </row>
    <row r="625" spans="1:10" ht="152" x14ac:dyDescent="0.2">
      <c r="A625" s="87" t="s">
        <v>237</v>
      </c>
      <c r="B625" s="37">
        <v>2025</v>
      </c>
      <c r="C625" s="38" t="s">
        <v>2102</v>
      </c>
      <c r="D625" s="38" t="s">
        <v>2103</v>
      </c>
      <c r="E625" s="38" t="s">
        <v>2029</v>
      </c>
      <c r="F625" s="38" t="s">
        <v>1782</v>
      </c>
      <c r="G625" s="37" t="s">
        <v>1788</v>
      </c>
      <c r="H625" s="38" t="s">
        <v>530</v>
      </c>
      <c r="I625" s="37" t="s">
        <v>451</v>
      </c>
      <c r="J625" s="38" t="s">
        <v>1785</v>
      </c>
    </row>
    <row r="626" spans="1:10" ht="76" x14ac:dyDescent="0.2">
      <c r="A626" s="87" t="s">
        <v>237</v>
      </c>
      <c r="B626" s="37">
        <v>2025</v>
      </c>
      <c r="C626" s="38" t="s">
        <v>2104</v>
      </c>
      <c r="D626" s="38" t="s">
        <v>2105</v>
      </c>
      <c r="E626" s="38" t="s">
        <v>2029</v>
      </c>
      <c r="F626" s="38" t="s">
        <v>1782</v>
      </c>
      <c r="G626" s="37" t="s">
        <v>1788</v>
      </c>
      <c r="H626" s="38" t="s">
        <v>2106</v>
      </c>
      <c r="I626" s="37" t="s">
        <v>451</v>
      </c>
      <c r="J626" s="38" t="s">
        <v>1785</v>
      </c>
    </row>
    <row r="627" spans="1:10" ht="133" x14ac:dyDescent="0.2">
      <c r="A627" s="87" t="s">
        <v>237</v>
      </c>
      <c r="B627" s="37">
        <v>2025</v>
      </c>
      <c r="C627" s="38" t="s">
        <v>2107</v>
      </c>
      <c r="D627" s="38" t="s">
        <v>2108</v>
      </c>
      <c r="E627" s="38" t="s">
        <v>2029</v>
      </c>
      <c r="F627" s="38" t="s">
        <v>1782</v>
      </c>
      <c r="G627" s="37" t="s">
        <v>1783</v>
      </c>
      <c r="H627" s="38" t="s">
        <v>1536</v>
      </c>
      <c r="I627" s="37" t="s">
        <v>659</v>
      </c>
      <c r="J627" s="38" t="s">
        <v>1785</v>
      </c>
    </row>
    <row r="628" spans="1:10" ht="76" x14ac:dyDescent="0.2">
      <c r="A628" s="87" t="s">
        <v>247</v>
      </c>
      <c r="B628" s="37">
        <v>2026</v>
      </c>
      <c r="C628" s="38" t="s">
        <v>2109</v>
      </c>
      <c r="D628" s="38" t="s">
        <v>2110</v>
      </c>
      <c r="E628" s="38" t="s">
        <v>2029</v>
      </c>
      <c r="F628" s="38" t="s">
        <v>1782</v>
      </c>
      <c r="G628" s="37" t="s">
        <v>1788</v>
      </c>
      <c r="H628" s="38" t="s">
        <v>700</v>
      </c>
      <c r="I628" s="37" t="s">
        <v>451</v>
      </c>
      <c r="J628" s="38" t="s">
        <v>1785</v>
      </c>
    </row>
    <row r="629" spans="1:10" ht="171" x14ac:dyDescent="0.2">
      <c r="A629" s="87" t="s">
        <v>247</v>
      </c>
      <c r="B629" s="37">
        <v>2026</v>
      </c>
      <c r="C629" s="38" t="s">
        <v>2111</v>
      </c>
      <c r="D629" s="38" t="s">
        <v>2112</v>
      </c>
      <c r="E629" s="38" t="s">
        <v>2029</v>
      </c>
      <c r="F629" s="38" t="s">
        <v>1782</v>
      </c>
      <c r="G629" s="37" t="s">
        <v>1783</v>
      </c>
      <c r="H629" s="38" t="s">
        <v>1770</v>
      </c>
      <c r="I629" s="37" t="s">
        <v>659</v>
      </c>
      <c r="J629" s="38" t="s">
        <v>1785</v>
      </c>
    </row>
    <row r="630" spans="1:10" ht="76" x14ac:dyDescent="0.2">
      <c r="A630" s="87" t="s">
        <v>257</v>
      </c>
      <c r="B630" s="37">
        <v>2025</v>
      </c>
      <c r="C630" s="38" t="s">
        <v>2113</v>
      </c>
      <c r="D630" s="38" t="s">
        <v>2114</v>
      </c>
      <c r="E630" s="38" t="s">
        <v>2029</v>
      </c>
      <c r="F630" s="38" t="s">
        <v>1782</v>
      </c>
      <c r="G630" s="37" t="s">
        <v>1783</v>
      </c>
      <c r="H630" s="38" t="s">
        <v>2115</v>
      </c>
      <c r="I630" s="37" t="s">
        <v>659</v>
      </c>
      <c r="J630" s="38" t="s">
        <v>1785</v>
      </c>
    </row>
    <row r="631" spans="1:10" x14ac:dyDescent="0.2">
      <c r="A631" s="39"/>
      <c r="B631" s="39"/>
      <c r="C631" s="39"/>
      <c r="E631" s="39"/>
      <c r="F631" s="39"/>
      <c r="G631" s="39"/>
      <c r="H631" s="39"/>
      <c r="I631" s="39"/>
      <c r="J631" s="39"/>
    </row>
    <row r="632" spans="1:10" ht="95" x14ac:dyDescent="0.2">
      <c r="A632" s="87" t="s">
        <v>44</v>
      </c>
      <c r="B632" s="37">
        <v>2024</v>
      </c>
      <c r="C632" s="38" t="s">
        <v>2116</v>
      </c>
      <c r="D632" s="38" t="s">
        <v>2117</v>
      </c>
      <c r="E632" s="38" t="s">
        <v>2118</v>
      </c>
      <c r="F632" s="38" t="s">
        <v>1782</v>
      </c>
      <c r="G632" s="37" t="s">
        <v>1788</v>
      </c>
      <c r="H632" s="38" t="s">
        <v>651</v>
      </c>
      <c r="I632" s="37" t="s">
        <v>451</v>
      </c>
      <c r="J632" s="38" t="s">
        <v>1785</v>
      </c>
    </row>
    <row r="633" spans="1:10" ht="76" x14ac:dyDescent="0.2">
      <c r="A633" s="87" t="s">
        <v>54</v>
      </c>
      <c r="B633" s="37">
        <v>2025</v>
      </c>
      <c r="C633" s="38" t="s">
        <v>2119</v>
      </c>
      <c r="D633" s="38" t="s">
        <v>2120</v>
      </c>
      <c r="E633" s="38" t="s">
        <v>2118</v>
      </c>
      <c r="F633" s="38" t="s">
        <v>1782</v>
      </c>
      <c r="G633" s="37" t="s">
        <v>1788</v>
      </c>
      <c r="H633" s="38" t="s">
        <v>1081</v>
      </c>
      <c r="I633" s="37" t="s">
        <v>451</v>
      </c>
      <c r="J633" s="38" t="s">
        <v>1785</v>
      </c>
    </row>
    <row r="634" spans="1:10" ht="57" x14ac:dyDescent="0.2">
      <c r="A634" s="87" t="s">
        <v>63</v>
      </c>
      <c r="B634" s="37">
        <v>2025</v>
      </c>
      <c r="C634" s="38" t="s">
        <v>2121</v>
      </c>
      <c r="D634" s="38" t="s">
        <v>2122</v>
      </c>
      <c r="E634" s="38" t="s">
        <v>2118</v>
      </c>
      <c r="F634" s="38" t="s">
        <v>1782</v>
      </c>
      <c r="G634" s="37" t="s">
        <v>1788</v>
      </c>
      <c r="H634" s="38" t="s">
        <v>997</v>
      </c>
      <c r="I634" s="37" t="s">
        <v>451</v>
      </c>
      <c r="J634" s="38" t="s">
        <v>1785</v>
      </c>
    </row>
    <row r="635" spans="1:10" ht="95" x14ac:dyDescent="0.2">
      <c r="A635" s="87" t="s">
        <v>73</v>
      </c>
      <c r="B635" s="37">
        <v>2024</v>
      </c>
      <c r="C635" s="38" t="s">
        <v>2123</v>
      </c>
      <c r="D635" s="38" t="s">
        <v>2124</v>
      </c>
      <c r="E635" s="38" t="s">
        <v>2118</v>
      </c>
      <c r="F635" s="38" t="s">
        <v>1782</v>
      </c>
      <c r="G635" s="37" t="s">
        <v>1788</v>
      </c>
      <c r="H635" s="38" t="s">
        <v>2125</v>
      </c>
      <c r="I635" s="37" t="s">
        <v>451</v>
      </c>
      <c r="J635" s="38" t="s">
        <v>1785</v>
      </c>
    </row>
    <row r="636" spans="1:10" ht="38" x14ac:dyDescent="0.2">
      <c r="A636" s="87" t="s">
        <v>83</v>
      </c>
      <c r="B636" s="37">
        <v>2025</v>
      </c>
      <c r="C636" s="38" t="s">
        <v>2126</v>
      </c>
      <c r="D636" s="38" t="s">
        <v>2127</v>
      </c>
      <c r="E636" s="38" t="s">
        <v>2118</v>
      </c>
      <c r="F636" s="38" t="s">
        <v>1782</v>
      </c>
      <c r="G636" s="37" t="s">
        <v>1788</v>
      </c>
      <c r="H636" s="38" t="s">
        <v>2128</v>
      </c>
      <c r="I636" s="37" t="s">
        <v>451</v>
      </c>
      <c r="J636" s="38" t="s">
        <v>1785</v>
      </c>
    </row>
    <row r="637" spans="1:10" ht="76" x14ac:dyDescent="0.2">
      <c r="A637" s="87" t="s">
        <v>83</v>
      </c>
      <c r="B637" s="37">
        <v>2025</v>
      </c>
      <c r="C637" s="38" t="s">
        <v>2129</v>
      </c>
      <c r="D637" s="38" t="s">
        <v>2130</v>
      </c>
      <c r="E637" s="38" t="s">
        <v>2118</v>
      </c>
      <c r="F637" s="38" t="s">
        <v>1782</v>
      </c>
      <c r="G637" s="37" t="s">
        <v>1788</v>
      </c>
      <c r="H637" s="38" t="s">
        <v>2131</v>
      </c>
      <c r="I637" s="37" t="s">
        <v>451</v>
      </c>
      <c r="J637" s="38" t="s">
        <v>1785</v>
      </c>
    </row>
    <row r="638" spans="1:10" ht="76" x14ac:dyDescent="0.2">
      <c r="A638" s="87" t="s">
        <v>93</v>
      </c>
      <c r="B638" s="37">
        <v>2025</v>
      </c>
      <c r="C638" s="38" t="s">
        <v>2132</v>
      </c>
      <c r="D638" s="38" t="s">
        <v>2133</v>
      </c>
      <c r="E638" s="38" t="s">
        <v>2118</v>
      </c>
      <c r="F638" s="38" t="s">
        <v>1782</v>
      </c>
      <c r="G638" s="37" t="s">
        <v>1788</v>
      </c>
      <c r="H638" s="38" t="s">
        <v>1313</v>
      </c>
      <c r="I638" s="37" t="s">
        <v>451</v>
      </c>
      <c r="J638" s="38" t="s">
        <v>1785</v>
      </c>
    </row>
    <row r="639" spans="1:10" ht="57" x14ac:dyDescent="0.2">
      <c r="A639" s="87" t="s">
        <v>93</v>
      </c>
      <c r="B639" s="37">
        <v>2025</v>
      </c>
      <c r="C639" s="38" t="s">
        <v>2134</v>
      </c>
      <c r="D639" s="38" t="s">
        <v>2135</v>
      </c>
      <c r="E639" s="38" t="s">
        <v>2118</v>
      </c>
      <c r="F639" s="38" t="s">
        <v>1782</v>
      </c>
      <c r="G639" s="37" t="s">
        <v>1788</v>
      </c>
      <c r="H639" s="38" t="s">
        <v>884</v>
      </c>
      <c r="I639" s="37" t="s">
        <v>451</v>
      </c>
      <c r="J639" s="38" t="s">
        <v>1785</v>
      </c>
    </row>
    <row r="640" spans="1:10" ht="76" x14ac:dyDescent="0.2">
      <c r="A640" s="87" t="s">
        <v>103</v>
      </c>
      <c r="B640" s="37">
        <v>2024</v>
      </c>
      <c r="C640" s="38" t="s">
        <v>2136</v>
      </c>
      <c r="D640" s="38" t="s">
        <v>2137</v>
      </c>
      <c r="E640" s="38" t="s">
        <v>2118</v>
      </c>
      <c r="F640" s="38" t="s">
        <v>1782</v>
      </c>
      <c r="G640" s="37" t="s">
        <v>1788</v>
      </c>
      <c r="H640" s="38" t="s">
        <v>2138</v>
      </c>
      <c r="I640" s="37" t="s">
        <v>451</v>
      </c>
      <c r="J640" s="38" t="s">
        <v>1785</v>
      </c>
    </row>
    <row r="641" spans="1:10" ht="114" x14ac:dyDescent="0.2">
      <c r="A641" s="87" t="s">
        <v>113</v>
      </c>
      <c r="B641" s="37">
        <v>2024</v>
      </c>
      <c r="C641" s="38" t="s">
        <v>2139</v>
      </c>
      <c r="D641" s="38" t="s">
        <v>2140</v>
      </c>
      <c r="E641" s="38" t="s">
        <v>2118</v>
      </c>
      <c r="F641" s="38" t="s">
        <v>1782</v>
      </c>
      <c r="G641" s="37" t="s">
        <v>1788</v>
      </c>
      <c r="H641" s="38" t="s">
        <v>2141</v>
      </c>
      <c r="I641" s="37" t="s">
        <v>451</v>
      </c>
      <c r="J641" s="38" t="s">
        <v>1785</v>
      </c>
    </row>
    <row r="642" spans="1:10" ht="76" x14ac:dyDescent="0.2">
      <c r="A642" s="87" t="s">
        <v>122</v>
      </c>
      <c r="B642" s="37">
        <v>2024</v>
      </c>
      <c r="C642" s="38" t="s">
        <v>2142</v>
      </c>
      <c r="D642" s="38" t="s">
        <v>2143</v>
      </c>
      <c r="E642" s="38" t="s">
        <v>2118</v>
      </c>
      <c r="F642" s="38" t="s">
        <v>1782</v>
      </c>
      <c r="G642" s="37" t="s">
        <v>1788</v>
      </c>
      <c r="H642" s="38" t="s">
        <v>483</v>
      </c>
      <c r="I642" s="37" t="s">
        <v>451</v>
      </c>
      <c r="J642" s="38" t="s">
        <v>1785</v>
      </c>
    </row>
    <row r="643" spans="1:10" ht="76" x14ac:dyDescent="0.2">
      <c r="A643" s="87" t="s">
        <v>122</v>
      </c>
      <c r="B643" s="37">
        <v>2024</v>
      </c>
      <c r="C643" s="38" t="s">
        <v>2144</v>
      </c>
      <c r="D643" s="38" t="s">
        <v>2145</v>
      </c>
      <c r="E643" s="38" t="s">
        <v>2118</v>
      </c>
      <c r="F643" s="38" t="s">
        <v>1782</v>
      </c>
      <c r="G643" s="37" t="s">
        <v>1788</v>
      </c>
      <c r="H643" s="38" t="s">
        <v>457</v>
      </c>
      <c r="I643" s="37" t="s">
        <v>451</v>
      </c>
      <c r="J643" s="38" t="s">
        <v>1785</v>
      </c>
    </row>
    <row r="644" spans="1:10" ht="114" x14ac:dyDescent="0.2">
      <c r="A644" s="87" t="s">
        <v>130</v>
      </c>
      <c r="B644" s="37">
        <v>2024</v>
      </c>
      <c r="C644" s="38" t="s">
        <v>2146</v>
      </c>
      <c r="D644" s="38" t="s">
        <v>2147</v>
      </c>
      <c r="E644" s="38" t="s">
        <v>2118</v>
      </c>
      <c r="F644" s="38" t="s">
        <v>1782</v>
      </c>
      <c r="G644" s="37" t="s">
        <v>1788</v>
      </c>
      <c r="H644" s="38" t="s">
        <v>2148</v>
      </c>
      <c r="I644" s="37" t="s">
        <v>451</v>
      </c>
      <c r="J644" s="38" t="s">
        <v>1785</v>
      </c>
    </row>
    <row r="645" spans="1:10" ht="76" x14ac:dyDescent="0.2">
      <c r="A645" s="87" t="s">
        <v>130</v>
      </c>
      <c r="B645" s="37">
        <v>2024</v>
      </c>
      <c r="C645" s="38" t="s">
        <v>2149</v>
      </c>
      <c r="D645" s="38" t="s">
        <v>2150</v>
      </c>
      <c r="E645" s="38" t="s">
        <v>2118</v>
      </c>
      <c r="F645" s="38" t="s">
        <v>1782</v>
      </c>
      <c r="G645" s="37" t="s">
        <v>1788</v>
      </c>
      <c r="H645" s="38" t="s">
        <v>2151</v>
      </c>
      <c r="I645" s="37" t="s">
        <v>451</v>
      </c>
      <c r="J645" s="38" t="s">
        <v>1785</v>
      </c>
    </row>
    <row r="646" spans="1:10" ht="114" x14ac:dyDescent="0.2">
      <c r="A646" s="87" t="s">
        <v>130</v>
      </c>
      <c r="B646" s="37">
        <v>2024</v>
      </c>
      <c r="C646" s="38" t="s">
        <v>2152</v>
      </c>
      <c r="D646" s="38" t="s">
        <v>2153</v>
      </c>
      <c r="E646" s="38" t="s">
        <v>2118</v>
      </c>
      <c r="F646" s="38" t="s">
        <v>1782</v>
      </c>
      <c r="G646" s="37" t="s">
        <v>1788</v>
      </c>
      <c r="H646" s="38" t="s">
        <v>1006</v>
      </c>
      <c r="I646" s="37" t="s">
        <v>451</v>
      </c>
      <c r="J646" s="38" t="s">
        <v>1785</v>
      </c>
    </row>
    <row r="647" spans="1:10" ht="171" x14ac:dyDescent="0.2">
      <c r="A647" s="87" t="s">
        <v>139</v>
      </c>
      <c r="B647" s="37">
        <v>2023</v>
      </c>
      <c r="C647" s="38" t="s">
        <v>2154</v>
      </c>
      <c r="D647" s="38" t="s">
        <v>2155</v>
      </c>
      <c r="E647" s="38" t="s">
        <v>2118</v>
      </c>
      <c r="F647" s="38" t="s">
        <v>1782</v>
      </c>
      <c r="G647" s="37" t="s">
        <v>1788</v>
      </c>
      <c r="H647" s="38" t="s">
        <v>1122</v>
      </c>
      <c r="I647" s="37" t="s">
        <v>451</v>
      </c>
      <c r="J647" s="38" t="s">
        <v>1785</v>
      </c>
    </row>
    <row r="648" spans="1:10" ht="152" x14ac:dyDescent="0.2">
      <c r="A648" s="87" t="s">
        <v>139</v>
      </c>
      <c r="B648" s="37">
        <v>2023</v>
      </c>
      <c r="C648" s="38" t="s">
        <v>2156</v>
      </c>
      <c r="D648" s="38" t="s">
        <v>2157</v>
      </c>
      <c r="E648" s="38" t="s">
        <v>2118</v>
      </c>
      <c r="F648" s="38" t="s">
        <v>1782</v>
      </c>
      <c r="G648" s="37" t="s">
        <v>1788</v>
      </c>
      <c r="H648" s="38" t="s">
        <v>2158</v>
      </c>
      <c r="I648" s="37" t="s">
        <v>451</v>
      </c>
      <c r="J648" s="38" t="s">
        <v>1785</v>
      </c>
    </row>
    <row r="649" spans="1:10" ht="114" x14ac:dyDescent="0.2">
      <c r="A649" s="87" t="s">
        <v>149</v>
      </c>
      <c r="B649" s="37">
        <v>2020</v>
      </c>
      <c r="C649" s="38" t="s">
        <v>2159</v>
      </c>
      <c r="D649" s="38" t="s">
        <v>2160</v>
      </c>
      <c r="E649" s="38" t="s">
        <v>2118</v>
      </c>
      <c r="F649" s="38" t="s">
        <v>1782</v>
      </c>
      <c r="G649" s="37" t="s">
        <v>1783</v>
      </c>
      <c r="H649" s="38" t="s">
        <v>492</v>
      </c>
      <c r="I649" s="37" t="s">
        <v>659</v>
      </c>
      <c r="J649" s="38" t="s">
        <v>1785</v>
      </c>
    </row>
    <row r="650" spans="1:10" ht="95" x14ac:dyDescent="0.2">
      <c r="A650" s="87" t="s">
        <v>159</v>
      </c>
      <c r="B650" s="37">
        <v>2025</v>
      </c>
      <c r="C650" s="38" t="s">
        <v>2161</v>
      </c>
      <c r="D650" s="38" t="s">
        <v>2162</v>
      </c>
      <c r="E650" s="38" t="s">
        <v>2118</v>
      </c>
      <c r="F650" s="38" t="s">
        <v>1782</v>
      </c>
      <c r="G650" s="37" t="s">
        <v>1788</v>
      </c>
      <c r="H650" s="38" t="s">
        <v>1461</v>
      </c>
      <c r="I650" s="37" t="s">
        <v>451</v>
      </c>
      <c r="J650" s="38" t="s">
        <v>1785</v>
      </c>
    </row>
    <row r="651" spans="1:10" ht="76" x14ac:dyDescent="0.2">
      <c r="A651" s="87" t="s">
        <v>159</v>
      </c>
      <c r="B651" s="37">
        <v>2025</v>
      </c>
      <c r="C651" s="38" t="s">
        <v>2163</v>
      </c>
      <c r="D651" s="38" t="s">
        <v>2164</v>
      </c>
      <c r="E651" s="38" t="s">
        <v>2118</v>
      </c>
      <c r="F651" s="38" t="s">
        <v>1782</v>
      </c>
      <c r="G651" s="37" t="s">
        <v>1788</v>
      </c>
      <c r="H651" s="38" t="s">
        <v>1461</v>
      </c>
      <c r="I651" s="37" t="s">
        <v>451</v>
      </c>
      <c r="J651" s="38" t="s">
        <v>1785</v>
      </c>
    </row>
    <row r="652" spans="1:10" ht="114" x14ac:dyDescent="0.2">
      <c r="A652" s="87" t="s">
        <v>169</v>
      </c>
      <c r="B652" s="37">
        <v>2026</v>
      </c>
      <c r="C652" s="38" t="s">
        <v>2165</v>
      </c>
      <c r="D652" s="38" t="s">
        <v>2166</v>
      </c>
      <c r="E652" s="38" t="s">
        <v>2118</v>
      </c>
      <c r="F652" s="38" t="s">
        <v>1782</v>
      </c>
      <c r="G652" s="37" t="s">
        <v>1788</v>
      </c>
      <c r="H652" s="38" t="s">
        <v>641</v>
      </c>
      <c r="I652" s="37" t="s">
        <v>451</v>
      </c>
      <c r="J652" s="38" t="s">
        <v>1785</v>
      </c>
    </row>
    <row r="653" spans="1:10" ht="95" x14ac:dyDescent="0.2">
      <c r="A653" s="87" t="s">
        <v>179</v>
      </c>
      <c r="B653" s="37">
        <v>2025</v>
      </c>
      <c r="C653" s="38" t="s">
        <v>2167</v>
      </c>
      <c r="D653" s="38" t="s">
        <v>2168</v>
      </c>
      <c r="E653" s="38" t="s">
        <v>2118</v>
      </c>
      <c r="F653" s="38" t="s">
        <v>1782</v>
      </c>
      <c r="G653" s="37" t="s">
        <v>1788</v>
      </c>
      <c r="H653" s="38" t="s">
        <v>1672</v>
      </c>
      <c r="I653" s="37" t="s">
        <v>451</v>
      </c>
      <c r="J653" s="38" t="s">
        <v>1785</v>
      </c>
    </row>
    <row r="654" spans="1:10" ht="114" x14ac:dyDescent="0.2">
      <c r="A654" s="87" t="s">
        <v>179</v>
      </c>
      <c r="B654" s="37">
        <v>2025</v>
      </c>
      <c r="C654" s="38" t="s">
        <v>2169</v>
      </c>
      <c r="D654" s="38" t="s">
        <v>2170</v>
      </c>
      <c r="E654" s="38" t="s">
        <v>2118</v>
      </c>
      <c r="F654" s="38" t="s">
        <v>1782</v>
      </c>
      <c r="G654" s="37" t="s">
        <v>1788</v>
      </c>
      <c r="H654" s="38" t="s">
        <v>2171</v>
      </c>
      <c r="I654" s="37" t="s">
        <v>451</v>
      </c>
      <c r="J654" s="38" t="s">
        <v>1785</v>
      </c>
    </row>
    <row r="655" spans="1:10" ht="114" x14ac:dyDescent="0.2">
      <c r="A655" s="87" t="s">
        <v>188</v>
      </c>
      <c r="B655" s="37">
        <v>2025</v>
      </c>
      <c r="C655" s="38" t="s">
        <v>2172</v>
      </c>
      <c r="D655" s="38" t="s">
        <v>2173</v>
      </c>
      <c r="E655" s="38" t="s">
        <v>2118</v>
      </c>
      <c r="F655" s="38" t="s">
        <v>1782</v>
      </c>
      <c r="G655" s="37" t="s">
        <v>1788</v>
      </c>
      <c r="H655" s="38" t="s">
        <v>930</v>
      </c>
      <c r="I655" s="37" t="s">
        <v>451</v>
      </c>
      <c r="J655" s="38" t="s">
        <v>1785</v>
      </c>
    </row>
    <row r="656" spans="1:10" ht="114" x14ac:dyDescent="0.2">
      <c r="A656" s="87" t="s">
        <v>198</v>
      </c>
      <c r="B656" s="37">
        <v>2026</v>
      </c>
      <c r="C656" s="38" t="s">
        <v>2174</v>
      </c>
      <c r="D656" s="38" t="s">
        <v>2175</v>
      </c>
      <c r="E656" s="38" t="s">
        <v>2118</v>
      </c>
      <c r="F656" s="38" t="s">
        <v>1782</v>
      </c>
      <c r="G656" s="37" t="s">
        <v>1788</v>
      </c>
      <c r="H656" s="38" t="s">
        <v>2176</v>
      </c>
      <c r="I656" s="37" t="s">
        <v>451</v>
      </c>
      <c r="J656" s="38" t="s">
        <v>1785</v>
      </c>
    </row>
    <row r="657" spans="1:10" ht="152" x14ac:dyDescent="0.2">
      <c r="A657" s="87" t="s">
        <v>198</v>
      </c>
      <c r="B657" s="37">
        <v>2026</v>
      </c>
      <c r="C657" s="38" t="s">
        <v>2177</v>
      </c>
      <c r="D657" s="38" t="s">
        <v>2178</v>
      </c>
      <c r="E657" s="38" t="s">
        <v>2118</v>
      </c>
      <c r="F657" s="38" t="s">
        <v>1782</v>
      </c>
      <c r="G657" s="37" t="s">
        <v>1783</v>
      </c>
      <c r="H657" s="38" t="s">
        <v>2179</v>
      </c>
      <c r="I657" s="37" t="s">
        <v>659</v>
      </c>
      <c r="J657" s="38" t="s">
        <v>1785</v>
      </c>
    </row>
    <row r="658" spans="1:10" ht="190" x14ac:dyDescent="0.2">
      <c r="A658" s="87" t="s">
        <v>208</v>
      </c>
      <c r="B658" s="37">
        <v>2026</v>
      </c>
      <c r="C658" s="38" t="s">
        <v>2180</v>
      </c>
      <c r="D658" s="38" t="s">
        <v>2181</v>
      </c>
      <c r="E658" s="38" t="s">
        <v>2118</v>
      </c>
      <c r="F658" s="38" t="s">
        <v>1782</v>
      </c>
      <c r="G658" s="37" t="s">
        <v>1788</v>
      </c>
      <c r="H658" s="38" t="s">
        <v>2182</v>
      </c>
      <c r="I658" s="37" t="s">
        <v>451</v>
      </c>
      <c r="J658" s="38" t="s">
        <v>1785</v>
      </c>
    </row>
    <row r="659" spans="1:10" ht="152" x14ac:dyDescent="0.2">
      <c r="A659" s="87" t="s">
        <v>208</v>
      </c>
      <c r="B659" s="37">
        <v>2026</v>
      </c>
      <c r="C659" s="38" t="s">
        <v>2183</v>
      </c>
      <c r="D659" s="38" t="s">
        <v>2184</v>
      </c>
      <c r="E659" s="38" t="s">
        <v>2118</v>
      </c>
      <c r="F659" s="38" t="s">
        <v>1782</v>
      </c>
      <c r="G659" s="37" t="s">
        <v>1783</v>
      </c>
      <c r="H659" s="38" t="s">
        <v>2185</v>
      </c>
      <c r="I659" s="37" t="s">
        <v>659</v>
      </c>
      <c r="J659" s="38" t="s">
        <v>1785</v>
      </c>
    </row>
    <row r="660" spans="1:10" ht="95" x14ac:dyDescent="0.2">
      <c r="A660" s="87" t="s">
        <v>218</v>
      </c>
      <c r="B660" s="37">
        <v>2026</v>
      </c>
      <c r="C660" s="38" t="s">
        <v>2186</v>
      </c>
      <c r="D660" s="38" t="s">
        <v>2187</v>
      </c>
      <c r="E660" s="38" t="s">
        <v>2118</v>
      </c>
      <c r="F660" s="38" t="s">
        <v>1782</v>
      </c>
      <c r="G660" s="37" t="s">
        <v>1788</v>
      </c>
      <c r="H660" s="38" t="s">
        <v>2188</v>
      </c>
      <c r="I660" s="37" t="s">
        <v>451</v>
      </c>
      <c r="J660" s="38" t="s">
        <v>1785</v>
      </c>
    </row>
    <row r="661" spans="1:10" ht="114" x14ac:dyDescent="0.2">
      <c r="A661" s="87" t="s">
        <v>218</v>
      </c>
      <c r="B661" s="37">
        <v>2026</v>
      </c>
      <c r="C661" s="38" t="s">
        <v>2189</v>
      </c>
      <c r="D661" s="38" t="s">
        <v>2190</v>
      </c>
      <c r="E661" s="38" t="s">
        <v>2118</v>
      </c>
      <c r="F661" s="38" t="s">
        <v>1782</v>
      </c>
      <c r="G661" s="37" t="s">
        <v>1788</v>
      </c>
      <c r="H661" s="38" t="s">
        <v>2191</v>
      </c>
      <c r="I661" s="37" t="s">
        <v>451</v>
      </c>
      <c r="J661" s="38" t="s">
        <v>1785</v>
      </c>
    </row>
    <row r="662" spans="1:10" ht="76" x14ac:dyDescent="0.2">
      <c r="A662" s="87" t="s">
        <v>218</v>
      </c>
      <c r="B662" s="37">
        <v>2026</v>
      </c>
      <c r="C662" s="38" t="s">
        <v>2192</v>
      </c>
      <c r="D662" s="38" t="s">
        <v>2193</v>
      </c>
      <c r="E662" s="38" t="s">
        <v>2118</v>
      </c>
      <c r="F662" s="38" t="s">
        <v>1782</v>
      </c>
      <c r="G662" s="37" t="s">
        <v>1788</v>
      </c>
      <c r="H662" s="38" t="s">
        <v>951</v>
      </c>
      <c r="I662" s="37" t="s">
        <v>451</v>
      </c>
      <c r="J662" s="38" t="s">
        <v>1785</v>
      </c>
    </row>
    <row r="663" spans="1:10" ht="114" x14ac:dyDescent="0.2">
      <c r="A663" s="87" t="s">
        <v>227</v>
      </c>
      <c r="B663" s="37">
        <v>2026</v>
      </c>
      <c r="C663" s="38" t="s">
        <v>2194</v>
      </c>
      <c r="D663" s="38" t="s">
        <v>2195</v>
      </c>
      <c r="E663" s="38" t="s">
        <v>2118</v>
      </c>
      <c r="F663" s="38" t="s">
        <v>1782</v>
      </c>
      <c r="G663" s="37" t="s">
        <v>1788</v>
      </c>
      <c r="H663" s="38" t="s">
        <v>1178</v>
      </c>
      <c r="I663" s="37" t="s">
        <v>451</v>
      </c>
      <c r="J663" s="38" t="s">
        <v>1785</v>
      </c>
    </row>
    <row r="664" spans="1:10" ht="114" x14ac:dyDescent="0.2">
      <c r="A664" s="87" t="s">
        <v>227</v>
      </c>
      <c r="B664" s="37">
        <v>2026</v>
      </c>
      <c r="C664" s="38" t="s">
        <v>2196</v>
      </c>
      <c r="D664" s="38" t="s">
        <v>2197</v>
      </c>
      <c r="E664" s="38" t="s">
        <v>2118</v>
      </c>
      <c r="F664" s="38" t="s">
        <v>1782</v>
      </c>
      <c r="G664" s="37" t="s">
        <v>1783</v>
      </c>
      <c r="H664" s="38" t="s">
        <v>492</v>
      </c>
      <c r="I664" s="37" t="s">
        <v>659</v>
      </c>
      <c r="J664" s="38" t="s">
        <v>1785</v>
      </c>
    </row>
    <row r="665" spans="1:10" ht="133" x14ac:dyDescent="0.2">
      <c r="A665" s="87" t="s">
        <v>237</v>
      </c>
      <c r="B665" s="37">
        <v>2025</v>
      </c>
      <c r="C665" s="38" t="s">
        <v>2198</v>
      </c>
      <c r="D665" s="38" t="s">
        <v>2199</v>
      </c>
      <c r="E665" s="38" t="s">
        <v>2118</v>
      </c>
      <c r="F665" s="38" t="s">
        <v>1782</v>
      </c>
      <c r="G665" s="37" t="s">
        <v>1788</v>
      </c>
      <c r="H665" s="38" t="s">
        <v>741</v>
      </c>
      <c r="I665" s="37" t="s">
        <v>451</v>
      </c>
      <c r="J665" s="38" t="s">
        <v>1785</v>
      </c>
    </row>
    <row r="666" spans="1:10" ht="152" x14ac:dyDescent="0.2">
      <c r="A666" s="87" t="s">
        <v>237</v>
      </c>
      <c r="B666" s="37">
        <v>2025</v>
      </c>
      <c r="C666" s="38" t="s">
        <v>2200</v>
      </c>
      <c r="D666" s="38" t="s">
        <v>2201</v>
      </c>
      <c r="E666" s="38" t="s">
        <v>2118</v>
      </c>
      <c r="F666" s="38" t="s">
        <v>1782</v>
      </c>
      <c r="G666" s="37" t="s">
        <v>1783</v>
      </c>
      <c r="H666" s="38" t="s">
        <v>2202</v>
      </c>
      <c r="I666" s="37" t="s">
        <v>659</v>
      </c>
      <c r="J666" s="38" t="s">
        <v>1785</v>
      </c>
    </row>
    <row r="667" spans="1:10" ht="95" x14ac:dyDescent="0.2">
      <c r="A667" s="87" t="s">
        <v>247</v>
      </c>
      <c r="B667" s="37">
        <v>2026</v>
      </c>
      <c r="C667" s="38" t="s">
        <v>2203</v>
      </c>
      <c r="D667" s="38" t="s">
        <v>2204</v>
      </c>
      <c r="E667" s="38" t="s">
        <v>2118</v>
      </c>
      <c r="F667" s="38" t="s">
        <v>1782</v>
      </c>
      <c r="G667" s="37" t="s">
        <v>1788</v>
      </c>
      <c r="H667" s="38" t="s">
        <v>2205</v>
      </c>
      <c r="I667" s="37" t="s">
        <v>451</v>
      </c>
      <c r="J667" s="38" t="s">
        <v>1785</v>
      </c>
    </row>
    <row r="668" spans="1:10" ht="209" x14ac:dyDescent="0.2">
      <c r="A668" s="87" t="s">
        <v>247</v>
      </c>
      <c r="B668" s="37">
        <v>2026</v>
      </c>
      <c r="C668" s="38" t="s">
        <v>2206</v>
      </c>
      <c r="D668" s="38" t="s">
        <v>2207</v>
      </c>
      <c r="E668" s="38" t="s">
        <v>2118</v>
      </c>
      <c r="F668" s="38" t="s">
        <v>1782</v>
      </c>
      <c r="G668" s="37" t="s">
        <v>1783</v>
      </c>
      <c r="H668" s="38" t="s">
        <v>1770</v>
      </c>
      <c r="I668" s="37" t="s">
        <v>659</v>
      </c>
      <c r="J668" s="38" t="s">
        <v>1785</v>
      </c>
    </row>
    <row r="669" spans="1:10" ht="95" x14ac:dyDescent="0.2">
      <c r="A669" s="87" t="s">
        <v>257</v>
      </c>
      <c r="B669" s="37">
        <v>2025</v>
      </c>
      <c r="C669" s="38" t="s">
        <v>2208</v>
      </c>
      <c r="D669" s="38" t="s">
        <v>2209</v>
      </c>
      <c r="E669" s="38" t="s">
        <v>2118</v>
      </c>
      <c r="F669" s="38" t="s">
        <v>1782</v>
      </c>
      <c r="G669" s="37" t="s">
        <v>1788</v>
      </c>
      <c r="H669" s="38" t="s">
        <v>2210</v>
      </c>
      <c r="I669" s="37" t="s">
        <v>451</v>
      </c>
      <c r="J669" s="38" t="s">
        <v>1785</v>
      </c>
    </row>
    <row r="670" spans="1:10" ht="76" x14ac:dyDescent="0.2">
      <c r="A670" s="87" t="s">
        <v>257</v>
      </c>
      <c r="B670" s="37">
        <v>2025</v>
      </c>
      <c r="C670" s="38" t="s">
        <v>2211</v>
      </c>
      <c r="D670" s="38" t="s">
        <v>2212</v>
      </c>
      <c r="E670" s="38" t="s">
        <v>2118</v>
      </c>
      <c r="F670" s="38" t="s">
        <v>1782</v>
      </c>
      <c r="G670" s="37" t="s">
        <v>1783</v>
      </c>
      <c r="H670" s="38" t="s">
        <v>492</v>
      </c>
      <c r="I670" s="37" t="s">
        <v>659</v>
      </c>
      <c r="J670" s="38" t="s">
        <v>1785</v>
      </c>
    </row>
    <row r="671" spans="1:10" ht="266" x14ac:dyDescent="0.2">
      <c r="A671" s="87" t="s">
        <v>63</v>
      </c>
      <c r="B671" s="37">
        <v>2025</v>
      </c>
      <c r="C671" s="38" t="s">
        <v>2213</v>
      </c>
      <c r="D671" s="38" t="s">
        <v>2214</v>
      </c>
      <c r="E671" s="38" t="s">
        <v>2215</v>
      </c>
      <c r="F671" s="38" t="s">
        <v>2216</v>
      </c>
      <c r="G671" s="37"/>
      <c r="H671" s="38" t="s">
        <v>2217</v>
      </c>
      <c r="I671" s="38" t="s">
        <v>451</v>
      </c>
      <c r="J671" s="38" t="s">
        <v>2218</v>
      </c>
    </row>
    <row r="672" spans="1:10" ht="114" x14ac:dyDescent="0.2">
      <c r="A672" s="87" t="s">
        <v>169</v>
      </c>
      <c r="B672" s="37">
        <v>2026</v>
      </c>
      <c r="C672" s="38" t="s">
        <v>2219</v>
      </c>
      <c r="D672" s="38" t="s">
        <v>2220</v>
      </c>
      <c r="E672" s="38" t="s">
        <v>2215</v>
      </c>
      <c r="F672" s="38" t="s">
        <v>2216</v>
      </c>
      <c r="G672" s="37"/>
      <c r="H672" s="38" t="s">
        <v>492</v>
      </c>
      <c r="I672" s="37" t="s">
        <v>659</v>
      </c>
      <c r="J672" s="38" t="s">
        <v>2218</v>
      </c>
    </row>
    <row r="673" spans="1:10" ht="76" x14ac:dyDescent="0.2">
      <c r="A673" s="87" t="s">
        <v>44</v>
      </c>
      <c r="B673" s="37">
        <v>2024</v>
      </c>
      <c r="C673" s="38" t="s">
        <v>2221</v>
      </c>
      <c r="D673" s="38" t="s">
        <v>2222</v>
      </c>
      <c r="E673" s="38" t="s">
        <v>2215</v>
      </c>
      <c r="F673" s="38" t="s">
        <v>2216</v>
      </c>
      <c r="G673" s="37"/>
      <c r="H673" s="38" t="s">
        <v>2223</v>
      </c>
      <c r="I673" s="37" t="s">
        <v>451</v>
      </c>
      <c r="J673" s="38" t="s">
        <v>2218</v>
      </c>
    </row>
    <row r="674" spans="1:10" ht="57" x14ac:dyDescent="0.2">
      <c r="A674" s="87" t="s">
        <v>44</v>
      </c>
      <c r="B674" s="37">
        <v>2024</v>
      </c>
      <c r="C674" s="38" t="s">
        <v>2224</v>
      </c>
      <c r="D674" s="38" t="s">
        <v>2225</v>
      </c>
      <c r="E674" s="38" t="s">
        <v>2215</v>
      </c>
      <c r="F674" s="38" t="s">
        <v>2216</v>
      </c>
      <c r="G674" s="37"/>
      <c r="H674" s="38" t="s">
        <v>598</v>
      </c>
      <c r="I674" s="37" t="s">
        <v>451</v>
      </c>
      <c r="J674" s="38" t="s">
        <v>2218</v>
      </c>
    </row>
    <row r="675" spans="1:10" ht="76" x14ac:dyDescent="0.2">
      <c r="A675" s="87" t="s">
        <v>44</v>
      </c>
      <c r="B675" s="37">
        <v>2024</v>
      </c>
      <c r="C675" s="38" t="s">
        <v>2226</v>
      </c>
      <c r="D675" s="38" t="s">
        <v>2227</v>
      </c>
      <c r="E675" s="38" t="s">
        <v>2215</v>
      </c>
      <c r="F675" s="38" t="s">
        <v>2216</v>
      </c>
      <c r="G675" s="37"/>
      <c r="H675" s="38" t="s">
        <v>2228</v>
      </c>
      <c r="I675" s="37" t="s">
        <v>451</v>
      </c>
      <c r="J675" s="38" t="s">
        <v>2218</v>
      </c>
    </row>
    <row r="676" spans="1:10" ht="133" x14ac:dyDescent="0.2">
      <c r="A676" s="87" t="s">
        <v>54</v>
      </c>
      <c r="B676" s="37">
        <v>2025</v>
      </c>
      <c r="C676" s="38" t="s">
        <v>2229</v>
      </c>
      <c r="D676" s="38" t="s">
        <v>2230</v>
      </c>
      <c r="E676" s="38" t="s">
        <v>2215</v>
      </c>
      <c r="F676" s="38" t="s">
        <v>2216</v>
      </c>
      <c r="G676" s="37"/>
      <c r="H676" s="38" t="s">
        <v>1081</v>
      </c>
      <c r="I676" s="37" t="s">
        <v>451</v>
      </c>
      <c r="J676" s="38" t="s">
        <v>2218</v>
      </c>
    </row>
    <row r="677" spans="1:10" ht="95" x14ac:dyDescent="0.2">
      <c r="A677" s="87" t="s">
        <v>54</v>
      </c>
      <c r="B677" s="37">
        <v>2025</v>
      </c>
      <c r="C677" s="38" t="s">
        <v>2231</v>
      </c>
      <c r="D677" s="38" t="s">
        <v>2232</v>
      </c>
      <c r="E677" s="38" t="s">
        <v>2215</v>
      </c>
      <c r="F677" s="38" t="s">
        <v>2216</v>
      </c>
      <c r="G677" s="37"/>
      <c r="H677" s="38" t="s">
        <v>555</v>
      </c>
      <c r="I677" s="37" t="s">
        <v>451</v>
      </c>
      <c r="J677" s="38" t="s">
        <v>2218</v>
      </c>
    </row>
    <row r="678" spans="1:10" ht="76" x14ac:dyDescent="0.2">
      <c r="A678" s="87" t="s">
        <v>54</v>
      </c>
      <c r="B678" s="37">
        <v>2025</v>
      </c>
      <c r="C678" s="38" t="s">
        <v>2233</v>
      </c>
      <c r="D678" s="38" t="s">
        <v>2234</v>
      </c>
      <c r="E678" s="38" t="s">
        <v>2215</v>
      </c>
      <c r="F678" s="38" t="s">
        <v>2216</v>
      </c>
      <c r="G678" s="37"/>
      <c r="H678" s="38" t="s">
        <v>1417</v>
      </c>
      <c r="I678" s="37" t="s">
        <v>451</v>
      </c>
      <c r="J678" s="38" t="s">
        <v>2218</v>
      </c>
    </row>
    <row r="679" spans="1:10" ht="57" x14ac:dyDescent="0.2">
      <c r="A679" s="87" t="s">
        <v>73</v>
      </c>
      <c r="B679" s="37">
        <v>2024</v>
      </c>
      <c r="C679" s="38" t="s">
        <v>2235</v>
      </c>
      <c r="D679" s="38" t="s">
        <v>2236</v>
      </c>
      <c r="E679" s="38" t="s">
        <v>2215</v>
      </c>
      <c r="F679" s="38" t="s">
        <v>2216</v>
      </c>
      <c r="G679" s="37"/>
      <c r="H679" s="38" t="s">
        <v>2237</v>
      </c>
      <c r="I679" s="37" t="s">
        <v>451</v>
      </c>
      <c r="J679" s="38" t="s">
        <v>2218</v>
      </c>
    </row>
    <row r="680" spans="1:10" ht="95" x14ac:dyDescent="0.2">
      <c r="A680" s="87" t="s">
        <v>73</v>
      </c>
      <c r="B680" s="37">
        <v>2024</v>
      </c>
      <c r="C680" s="38" t="s">
        <v>2238</v>
      </c>
      <c r="D680" s="38" t="s">
        <v>2239</v>
      </c>
      <c r="E680" s="38" t="s">
        <v>2215</v>
      </c>
      <c r="F680" s="38" t="s">
        <v>2216</v>
      </c>
      <c r="G680" s="37"/>
      <c r="H680" s="38" t="s">
        <v>1946</v>
      </c>
      <c r="I680" s="37" t="s">
        <v>451</v>
      </c>
      <c r="J680" s="38" t="s">
        <v>2218</v>
      </c>
    </row>
    <row r="681" spans="1:10" ht="76" x14ac:dyDescent="0.2">
      <c r="A681" s="87" t="s">
        <v>83</v>
      </c>
      <c r="B681" s="37">
        <v>2025</v>
      </c>
      <c r="C681" s="38" t="s">
        <v>2240</v>
      </c>
      <c r="D681" s="38" t="s">
        <v>2241</v>
      </c>
      <c r="E681" s="38" t="s">
        <v>2215</v>
      </c>
      <c r="F681" s="38" t="s">
        <v>2216</v>
      </c>
      <c r="G681" s="37"/>
      <c r="H681" s="38" t="s">
        <v>2242</v>
      </c>
      <c r="I681" s="37" t="s">
        <v>451</v>
      </c>
      <c r="J681" s="38" t="s">
        <v>2218</v>
      </c>
    </row>
    <row r="682" spans="1:10" ht="114" x14ac:dyDescent="0.2">
      <c r="A682" s="87" t="s">
        <v>83</v>
      </c>
      <c r="B682" s="37">
        <v>2025</v>
      </c>
      <c r="C682" s="38" t="s">
        <v>2243</v>
      </c>
      <c r="D682" s="38" t="s">
        <v>2244</v>
      </c>
      <c r="E682" s="38" t="s">
        <v>2215</v>
      </c>
      <c r="F682" s="38" t="s">
        <v>2216</v>
      </c>
      <c r="G682" s="37"/>
      <c r="H682" s="38" t="s">
        <v>2245</v>
      </c>
      <c r="I682" s="37" t="s">
        <v>451</v>
      </c>
      <c r="J682" s="38" t="s">
        <v>2218</v>
      </c>
    </row>
    <row r="683" spans="1:10" ht="95" x14ac:dyDescent="0.2">
      <c r="A683" s="87" t="s">
        <v>93</v>
      </c>
      <c r="B683" s="37">
        <v>2025</v>
      </c>
      <c r="C683" s="38" t="s">
        <v>2246</v>
      </c>
      <c r="D683" s="38" t="s">
        <v>2247</v>
      </c>
      <c r="E683" s="38" t="s">
        <v>2215</v>
      </c>
      <c r="F683" s="38" t="s">
        <v>2216</v>
      </c>
      <c r="G683" s="37"/>
      <c r="H683" s="38" t="s">
        <v>466</v>
      </c>
      <c r="I683" s="37" t="s">
        <v>451</v>
      </c>
      <c r="J683" s="38" t="s">
        <v>2218</v>
      </c>
    </row>
    <row r="684" spans="1:10" ht="95" x14ac:dyDescent="0.2">
      <c r="A684" s="87" t="s">
        <v>103</v>
      </c>
      <c r="B684" s="37">
        <v>2024</v>
      </c>
      <c r="C684" s="38" t="s">
        <v>2248</v>
      </c>
      <c r="D684" s="38" t="s">
        <v>2249</v>
      </c>
      <c r="E684" s="38" t="s">
        <v>2215</v>
      </c>
      <c r="F684" s="38" t="s">
        <v>2216</v>
      </c>
      <c r="G684" s="37"/>
      <c r="H684" s="38" t="s">
        <v>1011</v>
      </c>
      <c r="I684" s="37" t="s">
        <v>451</v>
      </c>
      <c r="J684" s="38" t="s">
        <v>2218</v>
      </c>
    </row>
    <row r="685" spans="1:10" ht="95" x14ac:dyDescent="0.2">
      <c r="A685" s="87" t="s">
        <v>113</v>
      </c>
      <c r="B685" s="37">
        <v>2024</v>
      </c>
      <c r="C685" s="38" t="s">
        <v>2250</v>
      </c>
      <c r="D685" s="38" t="s">
        <v>2251</v>
      </c>
      <c r="E685" s="38" t="s">
        <v>2215</v>
      </c>
      <c r="F685" s="38" t="s">
        <v>2216</v>
      </c>
      <c r="G685" s="37"/>
      <c r="H685" s="38" t="s">
        <v>1011</v>
      </c>
      <c r="I685" s="37" t="s">
        <v>451</v>
      </c>
      <c r="J685" s="38" t="s">
        <v>2218</v>
      </c>
    </row>
    <row r="686" spans="1:10" ht="133" x14ac:dyDescent="0.2">
      <c r="A686" s="87" t="s">
        <v>113</v>
      </c>
      <c r="B686" s="37">
        <v>2024</v>
      </c>
      <c r="C686" s="38" t="s">
        <v>2252</v>
      </c>
      <c r="D686" s="38" t="s">
        <v>2253</v>
      </c>
      <c r="E686" s="38" t="s">
        <v>2215</v>
      </c>
      <c r="F686" s="38" t="s">
        <v>2216</v>
      </c>
      <c r="G686" s="37"/>
      <c r="H686" s="38" t="s">
        <v>1011</v>
      </c>
      <c r="I686" s="37" t="s">
        <v>451</v>
      </c>
      <c r="J686" s="38" t="s">
        <v>2218</v>
      </c>
    </row>
    <row r="687" spans="1:10" ht="190" x14ac:dyDescent="0.2">
      <c r="A687" s="87" t="s">
        <v>122</v>
      </c>
      <c r="B687" s="37">
        <v>2024</v>
      </c>
      <c r="C687" s="38" t="s">
        <v>2254</v>
      </c>
      <c r="D687" s="38" t="s">
        <v>2255</v>
      </c>
      <c r="E687" s="38" t="s">
        <v>2215</v>
      </c>
      <c r="F687" s="38" t="s">
        <v>2216</v>
      </c>
      <c r="G687" s="37"/>
      <c r="H687" s="38" t="s">
        <v>566</v>
      </c>
      <c r="I687" s="37" t="s">
        <v>451</v>
      </c>
      <c r="J687" s="38" t="s">
        <v>2218</v>
      </c>
    </row>
    <row r="688" spans="1:10" ht="95" x14ac:dyDescent="0.2">
      <c r="A688" s="87" t="s">
        <v>130</v>
      </c>
      <c r="B688" s="37">
        <v>2024</v>
      </c>
      <c r="C688" s="38" t="s">
        <v>2256</v>
      </c>
      <c r="D688" s="38" t="s">
        <v>2257</v>
      </c>
      <c r="E688" s="38" t="s">
        <v>2215</v>
      </c>
      <c r="F688" s="38" t="s">
        <v>2216</v>
      </c>
      <c r="G688" s="37"/>
      <c r="H688" s="38" t="s">
        <v>1016</v>
      </c>
      <c r="I688" s="37" t="s">
        <v>451</v>
      </c>
      <c r="J688" s="38" t="s">
        <v>2218</v>
      </c>
    </row>
    <row r="689" spans="1:10" ht="95" x14ac:dyDescent="0.2">
      <c r="A689" s="87" t="s">
        <v>139</v>
      </c>
      <c r="B689" s="37">
        <v>2023</v>
      </c>
      <c r="C689" s="38" t="s">
        <v>2258</v>
      </c>
      <c r="D689" s="38" t="s">
        <v>2259</v>
      </c>
      <c r="E689" s="38" t="s">
        <v>2215</v>
      </c>
      <c r="F689" s="38" t="s">
        <v>2216</v>
      </c>
      <c r="G689" s="37"/>
      <c r="H689" s="38" t="s">
        <v>2260</v>
      </c>
      <c r="I689" s="37" t="s">
        <v>451</v>
      </c>
      <c r="J689" s="38" t="s">
        <v>2218</v>
      </c>
    </row>
    <row r="690" spans="1:10" ht="171" x14ac:dyDescent="0.2">
      <c r="A690" s="87" t="s">
        <v>149</v>
      </c>
      <c r="B690" s="37">
        <v>2020</v>
      </c>
      <c r="C690" s="38" t="s">
        <v>2261</v>
      </c>
      <c r="D690" s="38" t="s">
        <v>2262</v>
      </c>
      <c r="E690" s="38" t="s">
        <v>2215</v>
      </c>
      <c r="F690" s="38" t="s">
        <v>2216</v>
      </c>
      <c r="G690" s="37"/>
      <c r="H690" s="38" t="s">
        <v>2263</v>
      </c>
      <c r="I690" s="37" t="s">
        <v>451</v>
      </c>
      <c r="J690" s="38" t="s">
        <v>2218</v>
      </c>
    </row>
    <row r="691" spans="1:10" ht="114" x14ac:dyDescent="0.2">
      <c r="A691" s="87" t="s">
        <v>149</v>
      </c>
      <c r="B691" s="37">
        <v>2020</v>
      </c>
      <c r="C691" s="38" t="s">
        <v>2264</v>
      </c>
      <c r="D691" s="38" t="s">
        <v>2265</v>
      </c>
      <c r="E691" s="38" t="s">
        <v>2215</v>
      </c>
      <c r="F691" s="38" t="s">
        <v>2216</v>
      </c>
      <c r="G691" s="37"/>
      <c r="H691" s="38" t="s">
        <v>2266</v>
      </c>
      <c r="I691" s="37" t="s">
        <v>451</v>
      </c>
      <c r="J691" s="38" t="s">
        <v>2218</v>
      </c>
    </row>
    <row r="692" spans="1:10" ht="114" x14ac:dyDescent="0.2">
      <c r="A692" s="87" t="s">
        <v>149</v>
      </c>
      <c r="B692" s="37">
        <v>2020</v>
      </c>
      <c r="C692" s="38" t="s">
        <v>2267</v>
      </c>
      <c r="D692" s="38" t="s">
        <v>2268</v>
      </c>
      <c r="E692" s="38" t="s">
        <v>2215</v>
      </c>
      <c r="F692" s="38" t="s">
        <v>2216</v>
      </c>
      <c r="G692" s="37"/>
      <c r="H692" s="38" t="s">
        <v>738</v>
      </c>
      <c r="I692" s="37" t="s">
        <v>451</v>
      </c>
      <c r="J692" s="38" t="s">
        <v>2218</v>
      </c>
    </row>
    <row r="693" spans="1:10" ht="76" x14ac:dyDescent="0.2">
      <c r="A693" s="87" t="s">
        <v>159</v>
      </c>
      <c r="B693" s="37">
        <v>2025</v>
      </c>
      <c r="C693" s="38" t="s">
        <v>2269</v>
      </c>
      <c r="D693" s="38" t="s">
        <v>2270</v>
      </c>
      <c r="E693" s="38" t="s">
        <v>2215</v>
      </c>
      <c r="F693" s="38" t="s">
        <v>2216</v>
      </c>
      <c r="G693" s="37"/>
      <c r="H693" s="38" t="s">
        <v>1016</v>
      </c>
      <c r="I693" s="37" t="s">
        <v>451</v>
      </c>
      <c r="J693" s="38" t="s">
        <v>2218</v>
      </c>
    </row>
    <row r="694" spans="1:10" ht="95" x14ac:dyDescent="0.2">
      <c r="A694" s="87" t="s">
        <v>179</v>
      </c>
      <c r="B694" s="37">
        <v>2025</v>
      </c>
      <c r="C694" s="38" t="s">
        <v>2271</v>
      </c>
      <c r="D694" s="38" t="s">
        <v>2272</v>
      </c>
      <c r="E694" s="38" t="s">
        <v>2215</v>
      </c>
      <c r="F694" s="38" t="s">
        <v>2216</v>
      </c>
      <c r="G694" s="37"/>
      <c r="H694" s="38" t="s">
        <v>997</v>
      </c>
      <c r="I694" s="37" t="s">
        <v>451</v>
      </c>
      <c r="J694" s="38" t="s">
        <v>2218</v>
      </c>
    </row>
    <row r="695" spans="1:10" ht="114" x14ac:dyDescent="0.2">
      <c r="A695" s="87" t="s">
        <v>179</v>
      </c>
      <c r="B695" s="37">
        <v>2025</v>
      </c>
      <c r="C695" s="38" t="s">
        <v>2273</v>
      </c>
      <c r="D695" s="38" t="s">
        <v>2274</v>
      </c>
      <c r="E695" s="38" t="s">
        <v>2215</v>
      </c>
      <c r="F695" s="38" t="s">
        <v>2216</v>
      </c>
      <c r="G695" s="37"/>
      <c r="H695" s="38" t="s">
        <v>997</v>
      </c>
      <c r="I695" s="37" t="s">
        <v>451</v>
      </c>
      <c r="J695" s="38" t="s">
        <v>2218</v>
      </c>
    </row>
    <row r="696" spans="1:10" ht="133" x14ac:dyDescent="0.2">
      <c r="A696" s="87" t="s">
        <v>188</v>
      </c>
      <c r="B696" s="37">
        <v>2025</v>
      </c>
      <c r="C696" s="62" t="s">
        <v>2275</v>
      </c>
      <c r="D696" s="38" t="s">
        <v>2276</v>
      </c>
      <c r="E696" s="38" t="s">
        <v>2215</v>
      </c>
      <c r="F696" s="38" t="s">
        <v>2216</v>
      </c>
      <c r="G696" s="37"/>
      <c r="H696" s="38" t="s">
        <v>2277</v>
      </c>
      <c r="I696" s="37" t="s">
        <v>451</v>
      </c>
      <c r="J696" s="38" t="s">
        <v>2218</v>
      </c>
    </row>
    <row r="697" spans="1:10" ht="285" x14ac:dyDescent="0.2">
      <c r="A697" s="87" t="s">
        <v>198</v>
      </c>
      <c r="B697" s="37">
        <v>2026</v>
      </c>
      <c r="C697" s="38" t="s">
        <v>2278</v>
      </c>
      <c r="D697" s="38" t="s">
        <v>2279</v>
      </c>
      <c r="E697" s="38" t="s">
        <v>2215</v>
      </c>
      <c r="F697" s="38" t="s">
        <v>2216</v>
      </c>
      <c r="G697" s="37"/>
      <c r="H697" s="38" t="s">
        <v>2280</v>
      </c>
      <c r="I697" s="37" t="s">
        <v>451</v>
      </c>
      <c r="J697" s="38" t="s">
        <v>2218</v>
      </c>
    </row>
    <row r="698" spans="1:10" ht="209" x14ac:dyDescent="0.2">
      <c r="A698" s="87" t="s">
        <v>208</v>
      </c>
      <c r="B698" s="37">
        <v>2026</v>
      </c>
      <c r="C698" s="38" t="s">
        <v>2281</v>
      </c>
      <c r="D698" s="38" t="s">
        <v>2282</v>
      </c>
      <c r="E698" s="38" t="s">
        <v>2215</v>
      </c>
      <c r="F698" s="38" t="s">
        <v>2216</v>
      </c>
      <c r="G698" s="37"/>
      <c r="H698" s="38" t="s">
        <v>1999</v>
      </c>
      <c r="I698" s="37" t="s">
        <v>451</v>
      </c>
      <c r="J698" s="38" t="s">
        <v>2218</v>
      </c>
    </row>
    <row r="699" spans="1:10" ht="95" x14ac:dyDescent="0.2">
      <c r="A699" s="87" t="s">
        <v>218</v>
      </c>
      <c r="B699" s="37">
        <v>2026</v>
      </c>
      <c r="C699" s="38" t="s">
        <v>2283</v>
      </c>
      <c r="D699" s="38" t="s">
        <v>2284</v>
      </c>
      <c r="E699" s="38" t="s">
        <v>2215</v>
      </c>
      <c r="F699" s="38" t="s">
        <v>2216</v>
      </c>
      <c r="G699" s="37"/>
      <c r="H699" s="38" t="s">
        <v>2285</v>
      </c>
      <c r="I699" s="37" t="s">
        <v>451</v>
      </c>
      <c r="J699" s="38" t="s">
        <v>2218</v>
      </c>
    </row>
    <row r="700" spans="1:10" ht="76" x14ac:dyDescent="0.2">
      <c r="A700" s="87" t="s">
        <v>218</v>
      </c>
      <c r="B700" s="37">
        <v>2026</v>
      </c>
      <c r="C700" s="38" t="s">
        <v>2286</v>
      </c>
      <c r="D700" s="38" t="s">
        <v>2287</v>
      </c>
      <c r="E700" s="38" t="s">
        <v>2215</v>
      </c>
      <c r="F700" s="38" t="s">
        <v>2216</v>
      </c>
      <c r="G700" s="37"/>
      <c r="H700" s="38" t="s">
        <v>2288</v>
      </c>
      <c r="I700" s="37" t="s">
        <v>451</v>
      </c>
      <c r="J700" s="38" t="s">
        <v>2218</v>
      </c>
    </row>
    <row r="701" spans="1:10" ht="114" x14ac:dyDescent="0.2">
      <c r="A701" s="87" t="s">
        <v>227</v>
      </c>
      <c r="B701" s="37">
        <v>2026</v>
      </c>
      <c r="C701" s="38" t="s">
        <v>2289</v>
      </c>
      <c r="D701" s="38" t="s">
        <v>2290</v>
      </c>
      <c r="E701" s="38" t="s">
        <v>2215</v>
      </c>
      <c r="F701" s="38" t="s">
        <v>2216</v>
      </c>
      <c r="G701" s="37"/>
      <c r="H701" s="38" t="s">
        <v>2291</v>
      </c>
      <c r="I701" s="37" t="s">
        <v>451</v>
      </c>
      <c r="J701" s="38" t="s">
        <v>2218</v>
      </c>
    </row>
    <row r="702" spans="1:10" ht="95" x14ac:dyDescent="0.2">
      <c r="A702" s="87" t="s">
        <v>237</v>
      </c>
      <c r="B702" s="37">
        <v>2025</v>
      </c>
      <c r="C702" s="38" t="s">
        <v>2292</v>
      </c>
      <c r="D702" s="38" t="s">
        <v>2293</v>
      </c>
      <c r="E702" s="38" t="s">
        <v>2215</v>
      </c>
      <c r="F702" s="38" t="s">
        <v>2216</v>
      </c>
      <c r="G702" s="37"/>
      <c r="H702" s="38" t="s">
        <v>1761</v>
      </c>
      <c r="I702" s="37" t="s">
        <v>451</v>
      </c>
      <c r="J702" s="38" t="s">
        <v>2218</v>
      </c>
    </row>
    <row r="703" spans="1:10" ht="133" x14ac:dyDescent="0.2">
      <c r="A703" s="87" t="s">
        <v>247</v>
      </c>
      <c r="B703" s="37">
        <v>2026</v>
      </c>
      <c r="C703" s="38" t="s">
        <v>2294</v>
      </c>
      <c r="D703" s="38" t="s">
        <v>2295</v>
      </c>
      <c r="E703" s="38" t="s">
        <v>2215</v>
      </c>
      <c r="F703" s="38" t="s">
        <v>2216</v>
      </c>
      <c r="G703" s="37"/>
      <c r="H703" s="38" t="s">
        <v>2296</v>
      </c>
      <c r="I703" s="37" t="s">
        <v>451</v>
      </c>
      <c r="J703" s="38" t="s">
        <v>2218</v>
      </c>
    </row>
    <row r="704" spans="1:10" ht="76" x14ac:dyDescent="0.2">
      <c r="A704" s="87" t="s">
        <v>247</v>
      </c>
      <c r="B704" s="37">
        <v>2026</v>
      </c>
      <c r="C704" s="38" t="s">
        <v>2297</v>
      </c>
      <c r="D704" s="38" t="s">
        <v>2298</v>
      </c>
      <c r="E704" s="38" t="s">
        <v>2215</v>
      </c>
      <c r="F704" s="38" t="s">
        <v>2216</v>
      </c>
      <c r="G704" s="37"/>
      <c r="H704" s="38" t="s">
        <v>2205</v>
      </c>
      <c r="I704" s="37" t="s">
        <v>451</v>
      </c>
      <c r="J704" s="38" t="s">
        <v>2218</v>
      </c>
    </row>
    <row r="705" spans="1:10" ht="57" x14ac:dyDescent="0.2">
      <c r="A705" s="87" t="s">
        <v>257</v>
      </c>
      <c r="B705" s="37">
        <v>2025</v>
      </c>
      <c r="C705" s="38" t="s">
        <v>2299</v>
      </c>
      <c r="D705" s="38" t="s">
        <v>2300</v>
      </c>
      <c r="E705" s="38" t="s">
        <v>2215</v>
      </c>
      <c r="F705" s="38" t="s">
        <v>2216</v>
      </c>
      <c r="G705" s="37"/>
      <c r="H705" s="38" t="s">
        <v>492</v>
      </c>
      <c r="I705" s="37" t="s">
        <v>659</v>
      </c>
      <c r="J705" s="38" t="s">
        <v>2218</v>
      </c>
    </row>
    <row r="706" spans="1:10" x14ac:dyDescent="0.2">
      <c r="A706" s="39"/>
      <c r="B706" s="39"/>
      <c r="C706" s="39"/>
      <c r="E706" s="39"/>
      <c r="F706" s="39"/>
      <c r="G706" s="39"/>
      <c r="H706" s="39"/>
      <c r="I706" s="39"/>
      <c r="J706" s="39"/>
    </row>
    <row r="707" spans="1:10" ht="76" x14ac:dyDescent="0.2">
      <c r="A707" s="87" t="s">
        <v>44</v>
      </c>
      <c r="B707" s="37">
        <v>2024</v>
      </c>
      <c r="C707" s="38" t="s">
        <v>2301</v>
      </c>
      <c r="D707" s="38" t="s">
        <v>2302</v>
      </c>
      <c r="E707" s="38" t="s">
        <v>2303</v>
      </c>
      <c r="F707" s="38" t="s">
        <v>2216</v>
      </c>
      <c r="G707" s="37"/>
      <c r="H707" s="38" t="s">
        <v>2304</v>
      </c>
      <c r="I707" s="37" t="s">
        <v>451</v>
      </c>
      <c r="J707" s="38" t="s">
        <v>2218</v>
      </c>
    </row>
    <row r="708" spans="1:10" ht="76" x14ac:dyDescent="0.2">
      <c r="A708" s="87" t="s">
        <v>44</v>
      </c>
      <c r="B708" s="37">
        <v>2024</v>
      </c>
      <c r="C708" s="38" t="s">
        <v>2305</v>
      </c>
      <c r="D708" s="38" t="s">
        <v>2306</v>
      </c>
      <c r="E708" s="38" t="s">
        <v>2303</v>
      </c>
      <c r="F708" s="38" t="s">
        <v>2216</v>
      </c>
      <c r="G708" s="37"/>
      <c r="H708" s="38" t="s">
        <v>2307</v>
      </c>
      <c r="I708" s="37" t="s">
        <v>451</v>
      </c>
      <c r="J708" s="38" t="s">
        <v>2218</v>
      </c>
    </row>
    <row r="709" spans="1:10" ht="57" x14ac:dyDescent="0.2">
      <c r="A709" s="87" t="s">
        <v>44</v>
      </c>
      <c r="B709" s="37">
        <v>2024</v>
      </c>
      <c r="C709" s="38" t="s">
        <v>2308</v>
      </c>
      <c r="D709" s="38" t="s">
        <v>2309</v>
      </c>
      <c r="E709" s="38" t="s">
        <v>2303</v>
      </c>
      <c r="F709" s="38" t="s">
        <v>2216</v>
      </c>
      <c r="G709" s="37"/>
      <c r="H709" s="38" t="s">
        <v>2307</v>
      </c>
      <c r="I709" s="37" t="s">
        <v>451</v>
      </c>
      <c r="J709" s="38" t="s">
        <v>2218</v>
      </c>
    </row>
    <row r="710" spans="1:10" ht="76" x14ac:dyDescent="0.2">
      <c r="A710" s="87" t="s">
        <v>54</v>
      </c>
      <c r="B710" s="37">
        <v>2025</v>
      </c>
      <c r="C710" s="38" t="s">
        <v>2310</v>
      </c>
      <c r="D710" s="38" t="s">
        <v>2311</v>
      </c>
      <c r="E710" s="38" t="s">
        <v>2303</v>
      </c>
      <c r="F710" s="38" t="s">
        <v>2216</v>
      </c>
      <c r="G710" s="37"/>
      <c r="H710" s="38" t="s">
        <v>700</v>
      </c>
      <c r="I710" s="37" t="s">
        <v>451</v>
      </c>
      <c r="J710" s="38" t="s">
        <v>2218</v>
      </c>
    </row>
    <row r="711" spans="1:10" ht="57" x14ac:dyDescent="0.2">
      <c r="A711" s="87" t="s">
        <v>54</v>
      </c>
      <c r="B711" s="37">
        <v>2025</v>
      </c>
      <c r="C711" s="38" t="s">
        <v>2312</v>
      </c>
      <c r="D711" s="38" t="s">
        <v>2313</v>
      </c>
      <c r="E711" s="38" t="s">
        <v>2303</v>
      </c>
      <c r="F711" s="38" t="s">
        <v>2216</v>
      </c>
      <c r="G711" s="37"/>
      <c r="H711" s="38" t="s">
        <v>1081</v>
      </c>
      <c r="I711" s="37" t="s">
        <v>451</v>
      </c>
      <c r="J711" s="38" t="s">
        <v>2218</v>
      </c>
    </row>
    <row r="712" spans="1:10" ht="76" x14ac:dyDescent="0.2">
      <c r="A712" s="87" t="s">
        <v>63</v>
      </c>
      <c r="B712" s="37">
        <v>2025</v>
      </c>
      <c r="C712" s="38" t="s">
        <v>2314</v>
      </c>
      <c r="D712" s="38" t="s">
        <v>2315</v>
      </c>
      <c r="E712" s="38" t="s">
        <v>2303</v>
      </c>
      <c r="F712" s="38" t="s">
        <v>2216</v>
      </c>
      <c r="G712" s="37"/>
      <c r="H712" s="38" t="s">
        <v>997</v>
      </c>
      <c r="I712" s="37" t="s">
        <v>451</v>
      </c>
      <c r="J712" s="38" t="s">
        <v>2218</v>
      </c>
    </row>
    <row r="713" spans="1:10" ht="152" x14ac:dyDescent="0.2">
      <c r="A713" s="87" t="s">
        <v>63</v>
      </c>
      <c r="B713" s="37">
        <v>2025</v>
      </c>
      <c r="C713" s="38" t="s">
        <v>2316</v>
      </c>
      <c r="D713" s="38" t="s">
        <v>2317</v>
      </c>
      <c r="E713" s="38" t="s">
        <v>2303</v>
      </c>
      <c r="F713" s="38" t="s">
        <v>2216</v>
      </c>
      <c r="G713" s="37"/>
      <c r="H713" s="38" t="s">
        <v>2318</v>
      </c>
      <c r="I713" s="37" t="s">
        <v>451</v>
      </c>
      <c r="J713" s="38" t="s">
        <v>2218</v>
      </c>
    </row>
    <row r="714" spans="1:10" ht="76" x14ac:dyDescent="0.2">
      <c r="A714" s="87" t="s">
        <v>63</v>
      </c>
      <c r="B714" s="37">
        <v>2025</v>
      </c>
      <c r="C714" s="38" t="s">
        <v>2319</v>
      </c>
      <c r="D714" s="38" t="s">
        <v>2320</v>
      </c>
      <c r="E714" s="38" t="s">
        <v>2303</v>
      </c>
      <c r="F714" s="38" t="s">
        <v>2216</v>
      </c>
      <c r="G714" s="37"/>
      <c r="H714" s="38" t="s">
        <v>997</v>
      </c>
      <c r="I714" s="37" t="s">
        <v>451</v>
      </c>
      <c r="J714" s="38" t="s">
        <v>2218</v>
      </c>
    </row>
    <row r="715" spans="1:10" ht="95" x14ac:dyDescent="0.2">
      <c r="A715" s="87" t="s">
        <v>73</v>
      </c>
      <c r="B715" s="37">
        <v>2024</v>
      </c>
      <c r="C715" s="38" t="s">
        <v>2321</v>
      </c>
      <c r="D715" s="38" t="s">
        <v>2322</v>
      </c>
      <c r="E715" s="38" t="s">
        <v>2303</v>
      </c>
      <c r="F715" s="38" t="s">
        <v>2216</v>
      </c>
      <c r="G715" s="37"/>
      <c r="H715" s="38" t="s">
        <v>933</v>
      </c>
      <c r="I715" s="37" t="s">
        <v>451</v>
      </c>
      <c r="J715" s="38" t="s">
        <v>2218</v>
      </c>
    </row>
    <row r="716" spans="1:10" ht="209" x14ac:dyDescent="0.2">
      <c r="A716" s="87" t="s">
        <v>83</v>
      </c>
      <c r="B716" s="37">
        <v>2025</v>
      </c>
      <c r="C716" s="38" t="s">
        <v>2323</v>
      </c>
      <c r="D716" s="38" t="s">
        <v>2324</v>
      </c>
      <c r="E716" s="38" t="s">
        <v>2303</v>
      </c>
      <c r="F716" s="38" t="s">
        <v>2216</v>
      </c>
      <c r="G716" s="37"/>
      <c r="H716" s="38" t="s">
        <v>2325</v>
      </c>
      <c r="I716" s="37" t="s">
        <v>451</v>
      </c>
      <c r="J716" s="38" t="s">
        <v>2218</v>
      </c>
    </row>
    <row r="717" spans="1:10" ht="76" x14ac:dyDescent="0.2">
      <c r="A717" s="87" t="s">
        <v>83</v>
      </c>
      <c r="B717" s="37">
        <v>2025</v>
      </c>
      <c r="C717" s="38" t="s">
        <v>2326</v>
      </c>
      <c r="D717" s="38" t="s">
        <v>2327</v>
      </c>
      <c r="E717" s="38" t="s">
        <v>2303</v>
      </c>
      <c r="F717" s="38" t="s">
        <v>2216</v>
      </c>
      <c r="G717" s="37"/>
      <c r="H717" s="38" t="s">
        <v>997</v>
      </c>
      <c r="I717" s="37" t="s">
        <v>451</v>
      </c>
      <c r="J717" s="38" t="s">
        <v>2218</v>
      </c>
    </row>
    <row r="718" spans="1:10" ht="57" x14ac:dyDescent="0.2">
      <c r="A718" s="87" t="s">
        <v>83</v>
      </c>
      <c r="B718" s="37">
        <v>2025</v>
      </c>
      <c r="C718" s="38" t="s">
        <v>2328</v>
      </c>
      <c r="D718" s="38" t="s">
        <v>2329</v>
      </c>
      <c r="E718" s="38" t="s">
        <v>2303</v>
      </c>
      <c r="F718" s="38" t="s">
        <v>2216</v>
      </c>
      <c r="G718" s="37"/>
      <c r="H718" s="38" t="s">
        <v>997</v>
      </c>
      <c r="I718" s="37" t="s">
        <v>451</v>
      </c>
      <c r="J718" s="38" t="s">
        <v>2218</v>
      </c>
    </row>
    <row r="719" spans="1:10" ht="76" x14ac:dyDescent="0.2">
      <c r="A719" s="87" t="s">
        <v>83</v>
      </c>
      <c r="B719" s="37">
        <v>2025</v>
      </c>
      <c r="C719" s="38" t="s">
        <v>2330</v>
      </c>
      <c r="D719" s="38" t="s">
        <v>2331</v>
      </c>
      <c r="E719" s="38" t="s">
        <v>2303</v>
      </c>
      <c r="F719" s="38" t="s">
        <v>2216</v>
      </c>
      <c r="G719" s="37"/>
      <c r="H719" s="38" t="s">
        <v>2332</v>
      </c>
      <c r="I719" s="37" t="s">
        <v>451</v>
      </c>
      <c r="J719" s="38" t="s">
        <v>2218</v>
      </c>
    </row>
    <row r="720" spans="1:10" ht="95" x14ac:dyDescent="0.2">
      <c r="A720" s="87" t="s">
        <v>83</v>
      </c>
      <c r="B720" s="37">
        <v>2025</v>
      </c>
      <c r="C720" s="38" t="s">
        <v>2333</v>
      </c>
      <c r="D720" s="38" t="s">
        <v>2334</v>
      </c>
      <c r="E720" s="38" t="s">
        <v>2303</v>
      </c>
      <c r="F720" s="38" t="s">
        <v>2216</v>
      </c>
      <c r="G720" s="37"/>
      <c r="H720" s="38" t="s">
        <v>2335</v>
      </c>
      <c r="I720" s="37" t="s">
        <v>451</v>
      </c>
      <c r="J720" s="38" t="s">
        <v>2218</v>
      </c>
    </row>
    <row r="721" spans="1:10" ht="95" x14ac:dyDescent="0.2">
      <c r="A721" s="87" t="s">
        <v>93</v>
      </c>
      <c r="B721" s="37">
        <v>2025</v>
      </c>
      <c r="C721" s="38" t="s">
        <v>2336</v>
      </c>
      <c r="D721" s="38" t="s">
        <v>2337</v>
      </c>
      <c r="E721" s="38" t="s">
        <v>2303</v>
      </c>
      <c r="F721" s="38" t="s">
        <v>2216</v>
      </c>
      <c r="G721" s="37"/>
      <c r="H721" s="38" t="s">
        <v>466</v>
      </c>
      <c r="I721" s="37" t="s">
        <v>451</v>
      </c>
      <c r="J721" s="38" t="s">
        <v>2218</v>
      </c>
    </row>
    <row r="722" spans="1:10" ht="57" x14ac:dyDescent="0.2">
      <c r="A722" s="87" t="s">
        <v>93</v>
      </c>
      <c r="B722" s="37">
        <v>2025</v>
      </c>
      <c r="C722" s="38" t="s">
        <v>2338</v>
      </c>
      <c r="D722" s="38" t="s">
        <v>2339</v>
      </c>
      <c r="E722" s="38" t="s">
        <v>2303</v>
      </c>
      <c r="F722" s="38" t="s">
        <v>2216</v>
      </c>
      <c r="G722" s="37"/>
      <c r="H722" s="38" t="s">
        <v>1102</v>
      </c>
      <c r="I722" s="37" t="s">
        <v>659</v>
      </c>
      <c r="J722" s="38" t="s">
        <v>2218</v>
      </c>
    </row>
    <row r="723" spans="1:10" ht="114" x14ac:dyDescent="0.2">
      <c r="A723" s="87" t="s">
        <v>103</v>
      </c>
      <c r="B723" s="37">
        <v>2024</v>
      </c>
      <c r="C723" s="38" t="s">
        <v>2340</v>
      </c>
      <c r="D723" s="38" t="s">
        <v>2341</v>
      </c>
      <c r="E723" s="38" t="s">
        <v>2303</v>
      </c>
      <c r="F723" s="38" t="s">
        <v>2216</v>
      </c>
      <c r="G723" s="37"/>
      <c r="H723" s="38" t="s">
        <v>1122</v>
      </c>
      <c r="I723" s="37" t="s">
        <v>451</v>
      </c>
      <c r="J723" s="38" t="s">
        <v>2218</v>
      </c>
    </row>
    <row r="724" spans="1:10" ht="76" x14ac:dyDescent="0.2">
      <c r="A724" s="87" t="s">
        <v>103</v>
      </c>
      <c r="B724" s="37">
        <v>2024</v>
      </c>
      <c r="C724" s="38" t="s">
        <v>2342</v>
      </c>
      <c r="D724" s="38" t="s">
        <v>2343</v>
      </c>
      <c r="E724" s="38" t="s">
        <v>2303</v>
      </c>
      <c r="F724" s="38" t="s">
        <v>2216</v>
      </c>
      <c r="G724" s="37"/>
      <c r="H724" s="38" t="s">
        <v>578</v>
      </c>
      <c r="I724" s="37" t="s">
        <v>451</v>
      </c>
      <c r="J724" s="38" t="s">
        <v>2218</v>
      </c>
    </row>
    <row r="725" spans="1:10" ht="114" x14ac:dyDescent="0.2">
      <c r="A725" s="87" t="s">
        <v>113</v>
      </c>
      <c r="B725" s="37">
        <v>2024</v>
      </c>
      <c r="C725" s="38" t="s">
        <v>2344</v>
      </c>
      <c r="D725" s="38" t="s">
        <v>2345</v>
      </c>
      <c r="E725" s="38" t="s">
        <v>2303</v>
      </c>
      <c r="F725" s="38" t="s">
        <v>2216</v>
      </c>
      <c r="G725" s="37"/>
      <c r="H725" s="38" t="s">
        <v>741</v>
      </c>
      <c r="I725" s="37" t="s">
        <v>451</v>
      </c>
      <c r="J725" s="38" t="s">
        <v>2218</v>
      </c>
    </row>
    <row r="726" spans="1:10" ht="76" x14ac:dyDescent="0.2">
      <c r="A726" s="87" t="s">
        <v>113</v>
      </c>
      <c r="B726" s="37">
        <v>2024</v>
      </c>
      <c r="C726" s="38" t="s">
        <v>2346</v>
      </c>
      <c r="D726" s="38" t="s">
        <v>2347</v>
      </c>
      <c r="E726" s="38" t="s">
        <v>2303</v>
      </c>
      <c r="F726" s="38" t="s">
        <v>2216</v>
      </c>
      <c r="G726" s="37"/>
      <c r="H726" s="38" t="s">
        <v>1011</v>
      </c>
      <c r="I726" s="37" t="s">
        <v>451</v>
      </c>
      <c r="J726" s="38" t="s">
        <v>2218</v>
      </c>
    </row>
    <row r="727" spans="1:10" ht="95" x14ac:dyDescent="0.2">
      <c r="A727" s="87" t="s">
        <v>122</v>
      </c>
      <c r="B727" s="37">
        <v>2024</v>
      </c>
      <c r="C727" s="38" t="s">
        <v>2348</v>
      </c>
      <c r="D727" s="38" t="s">
        <v>2349</v>
      </c>
      <c r="E727" s="38" t="s">
        <v>2303</v>
      </c>
      <c r="F727" s="38" t="s">
        <v>2216</v>
      </c>
      <c r="G727" s="37"/>
      <c r="H727" s="38" t="s">
        <v>483</v>
      </c>
      <c r="I727" s="37" t="s">
        <v>451</v>
      </c>
      <c r="J727" s="38" t="s">
        <v>2218</v>
      </c>
    </row>
    <row r="728" spans="1:10" ht="76" x14ac:dyDescent="0.2">
      <c r="A728" s="87" t="s">
        <v>122</v>
      </c>
      <c r="B728" s="37">
        <v>2024</v>
      </c>
      <c r="C728" s="38" t="s">
        <v>2350</v>
      </c>
      <c r="D728" s="38" t="s">
        <v>2351</v>
      </c>
      <c r="E728" s="38" t="s">
        <v>2303</v>
      </c>
      <c r="F728" s="38" t="s">
        <v>2216</v>
      </c>
      <c r="G728" s="37"/>
      <c r="H728" s="38" t="s">
        <v>492</v>
      </c>
      <c r="I728" s="37" t="s">
        <v>659</v>
      </c>
      <c r="J728" s="38" t="s">
        <v>2218</v>
      </c>
    </row>
    <row r="729" spans="1:10" ht="133" x14ac:dyDescent="0.2">
      <c r="A729" s="87" t="s">
        <v>130</v>
      </c>
      <c r="B729" s="37">
        <v>2024</v>
      </c>
      <c r="C729" s="38" t="s">
        <v>2352</v>
      </c>
      <c r="D729" s="38" t="s">
        <v>2353</v>
      </c>
      <c r="E729" s="38" t="s">
        <v>2303</v>
      </c>
      <c r="F729" s="38" t="s">
        <v>2216</v>
      </c>
      <c r="G729" s="37"/>
      <c r="H729" s="38" t="s">
        <v>2354</v>
      </c>
      <c r="I729" s="37" t="s">
        <v>451</v>
      </c>
      <c r="J729" s="38" t="s">
        <v>2218</v>
      </c>
    </row>
    <row r="730" spans="1:10" ht="76" x14ac:dyDescent="0.2">
      <c r="A730" s="87" t="s">
        <v>130</v>
      </c>
      <c r="B730" s="37">
        <v>2024</v>
      </c>
      <c r="C730" s="38" t="s">
        <v>2355</v>
      </c>
      <c r="D730" s="38" t="s">
        <v>2356</v>
      </c>
      <c r="E730" s="38" t="s">
        <v>2303</v>
      </c>
      <c r="F730" s="38" t="s">
        <v>2216</v>
      </c>
      <c r="G730" s="37"/>
      <c r="H730" s="38" t="s">
        <v>903</v>
      </c>
      <c r="I730" s="37" t="s">
        <v>451</v>
      </c>
      <c r="J730" s="38" t="s">
        <v>2218</v>
      </c>
    </row>
    <row r="731" spans="1:10" ht="95" x14ac:dyDescent="0.2">
      <c r="A731" s="87" t="s">
        <v>130</v>
      </c>
      <c r="B731" s="37">
        <v>2024</v>
      </c>
      <c r="C731" s="38" t="s">
        <v>2357</v>
      </c>
      <c r="D731" s="38" t="s">
        <v>2358</v>
      </c>
      <c r="E731" s="38" t="s">
        <v>2303</v>
      </c>
      <c r="F731" s="38" t="s">
        <v>2216</v>
      </c>
      <c r="G731" s="37"/>
      <c r="H731" s="38" t="s">
        <v>2359</v>
      </c>
      <c r="I731" s="37" t="s">
        <v>451</v>
      </c>
      <c r="J731" s="38" t="s">
        <v>2218</v>
      </c>
    </row>
    <row r="732" spans="1:10" ht="114" x14ac:dyDescent="0.2">
      <c r="A732" s="87" t="s">
        <v>130</v>
      </c>
      <c r="B732" s="37">
        <v>2024</v>
      </c>
      <c r="C732" s="38" t="s">
        <v>2360</v>
      </c>
      <c r="D732" s="38" t="s">
        <v>2361</v>
      </c>
      <c r="E732" s="38" t="s">
        <v>2303</v>
      </c>
      <c r="F732" s="38" t="s">
        <v>2216</v>
      </c>
      <c r="G732" s="37"/>
      <c r="H732" s="38" t="s">
        <v>1016</v>
      </c>
      <c r="I732" s="37" t="s">
        <v>451</v>
      </c>
      <c r="J732" s="38" t="s">
        <v>2218</v>
      </c>
    </row>
    <row r="733" spans="1:10" ht="133" x14ac:dyDescent="0.2">
      <c r="A733" s="87" t="s">
        <v>139</v>
      </c>
      <c r="B733" s="37">
        <v>2023</v>
      </c>
      <c r="C733" s="38" t="s">
        <v>2362</v>
      </c>
      <c r="D733" s="38" t="s">
        <v>2363</v>
      </c>
      <c r="E733" s="38" t="s">
        <v>2303</v>
      </c>
      <c r="F733" s="38" t="s">
        <v>2216</v>
      </c>
      <c r="G733" s="37"/>
      <c r="H733" s="38" t="s">
        <v>1122</v>
      </c>
      <c r="I733" s="37" t="s">
        <v>451</v>
      </c>
      <c r="J733" s="38" t="s">
        <v>2218</v>
      </c>
    </row>
    <row r="734" spans="1:10" ht="133" x14ac:dyDescent="0.2">
      <c r="A734" s="87" t="s">
        <v>139</v>
      </c>
      <c r="B734" s="37">
        <v>2023</v>
      </c>
      <c r="C734" s="38" t="s">
        <v>2364</v>
      </c>
      <c r="D734" s="38" t="s">
        <v>2365</v>
      </c>
      <c r="E734" s="38" t="s">
        <v>2303</v>
      </c>
      <c r="F734" s="38" t="s">
        <v>2216</v>
      </c>
      <c r="G734" s="37"/>
      <c r="H734" s="38" t="s">
        <v>1122</v>
      </c>
      <c r="I734" s="37" t="s">
        <v>451</v>
      </c>
      <c r="J734" s="38" t="s">
        <v>2218</v>
      </c>
    </row>
    <row r="735" spans="1:10" ht="57" x14ac:dyDescent="0.2">
      <c r="A735" s="87" t="s">
        <v>149</v>
      </c>
      <c r="B735" s="37">
        <v>2020</v>
      </c>
      <c r="C735" s="38" t="s">
        <v>2366</v>
      </c>
      <c r="D735" s="38" t="s">
        <v>2367</v>
      </c>
      <c r="E735" s="38" t="s">
        <v>2303</v>
      </c>
      <c r="F735" s="38" t="s">
        <v>2216</v>
      </c>
      <c r="G735" s="37"/>
      <c r="H735" s="38" t="s">
        <v>1011</v>
      </c>
      <c r="I735" s="37" t="s">
        <v>451</v>
      </c>
      <c r="J735" s="38" t="s">
        <v>2218</v>
      </c>
    </row>
    <row r="736" spans="1:10" ht="76" x14ac:dyDescent="0.2">
      <c r="A736" s="87" t="s">
        <v>149</v>
      </c>
      <c r="B736" s="37">
        <v>2020</v>
      </c>
      <c r="C736" s="38" t="s">
        <v>2368</v>
      </c>
      <c r="D736" s="38" t="s">
        <v>2369</v>
      </c>
      <c r="E736" s="38" t="s">
        <v>2303</v>
      </c>
      <c r="F736" s="38" t="s">
        <v>2216</v>
      </c>
      <c r="G736" s="37"/>
      <c r="H736" s="38" t="s">
        <v>546</v>
      </c>
      <c r="I736" s="37" t="s">
        <v>451</v>
      </c>
      <c r="J736" s="38" t="s">
        <v>2218</v>
      </c>
    </row>
    <row r="737" spans="1:10" ht="114" x14ac:dyDescent="0.2">
      <c r="A737" s="87" t="s">
        <v>149</v>
      </c>
      <c r="B737" s="37">
        <v>2020</v>
      </c>
      <c r="C737" s="38" t="s">
        <v>2370</v>
      </c>
      <c r="D737" s="38" t="s">
        <v>2371</v>
      </c>
      <c r="E737" s="38" t="s">
        <v>2303</v>
      </c>
      <c r="F737" s="38" t="s">
        <v>2216</v>
      </c>
      <c r="G737" s="37"/>
      <c r="H737" s="38" t="s">
        <v>546</v>
      </c>
      <c r="I737" s="37" t="s">
        <v>451</v>
      </c>
      <c r="J737" s="38" t="s">
        <v>2218</v>
      </c>
    </row>
    <row r="738" spans="1:10" ht="76" x14ac:dyDescent="0.2">
      <c r="A738" s="87" t="s">
        <v>159</v>
      </c>
      <c r="B738" s="37">
        <v>2025</v>
      </c>
      <c r="C738" s="38" t="s">
        <v>2372</v>
      </c>
      <c r="D738" s="38" t="s">
        <v>2373</v>
      </c>
      <c r="E738" s="38" t="s">
        <v>2303</v>
      </c>
      <c r="F738" s="38" t="s">
        <v>2216</v>
      </c>
      <c r="G738" s="37"/>
      <c r="H738" s="38" t="s">
        <v>794</v>
      </c>
      <c r="I738" s="37" t="s">
        <v>451</v>
      </c>
      <c r="J738" s="38" t="s">
        <v>2218</v>
      </c>
    </row>
    <row r="739" spans="1:10" ht="133" x14ac:dyDescent="0.2">
      <c r="A739" s="87" t="s">
        <v>159</v>
      </c>
      <c r="B739" s="37">
        <v>2025</v>
      </c>
      <c r="C739" s="38" t="s">
        <v>2374</v>
      </c>
      <c r="D739" s="38" t="s">
        <v>2375</v>
      </c>
      <c r="E739" s="38" t="s">
        <v>2303</v>
      </c>
      <c r="F739" s="38" t="s">
        <v>2216</v>
      </c>
      <c r="G739" s="37"/>
      <c r="H739" s="38" t="s">
        <v>2376</v>
      </c>
      <c r="I739" s="37" t="s">
        <v>451</v>
      </c>
      <c r="J739" s="38" t="s">
        <v>2218</v>
      </c>
    </row>
    <row r="740" spans="1:10" ht="228" x14ac:dyDescent="0.2">
      <c r="A740" s="87" t="s">
        <v>159</v>
      </c>
      <c r="B740" s="37">
        <v>2025</v>
      </c>
      <c r="C740" s="38" t="s">
        <v>2377</v>
      </c>
      <c r="D740" s="38" t="s">
        <v>2378</v>
      </c>
      <c r="E740" s="38" t="s">
        <v>2303</v>
      </c>
      <c r="F740" s="38" t="s">
        <v>2216</v>
      </c>
      <c r="G740" s="37"/>
      <c r="H740" s="38" t="s">
        <v>2379</v>
      </c>
      <c r="I740" s="37" t="s">
        <v>451</v>
      </c>
      <c r="J740" s="38" t="s">
        <v>2218</v>
      </c>
    </row>
    <row r="741" spans="1:10" ht="133" x14ac:dyDescent="0.2">
      <c r="A741" s="87" t="s">
        <v>169</v>
      </c>
      <c r="B741" s="37">
        <v>2026</v>
      </c>
      <c r="C741" s="38" t="s">
        <v>2380</v>
      </c>
      <c r="D741" s="38" t="s">
        <v>2381</v>
      </c>
      <c r="E741" s="38" t="s">
        <v>2303</v>
      </c>
      <c r="F741" s="38" t="s">
        <v>2216</v>
      </c>
      <c r="G741" s="37"/>
      <c r="H741" s="38" t="s">
        <v>799</v>
      </c>
      <c r="I741" s="37" t="s">
        <v>451</v>
      </c>
      <c r="J741" s="38" t="s">
        <v>2218</v>
      </c>
    </row>
    <row r="742" spans="1:10" ht="133" x14ac:dyDescent="0.2">
      <c r="A742" s="87" t="s">
        <v>169</v>
      </c>
      <c r="B742" s="37">
        <v>2026</v>
      </c>
      <c r="C742" s="38" t="s">
        <v>2382</v>
      </c>
      <c r="D742" s="38" t="s">
        <v>2383</v>
      </c>
      <c r="E742" s="38" t="s">
        <v>2303</v>
      </c>
      <c r="F742" s="38" t="s">
        <v>2216</v>
      </c>
      <c r="G742" s="37"/>
      <c r="H742" s="38" t="s">
        <v>2384</v>
      </c>
      <c r="I742" s="37" t="s">
        <v>451</v>
      </c>
      <c r="J742" s="38" t="s">
        <v>2218</v>
      </c>
    </row>
    <row r="743" spans="1:10" ht="114" x14ac:dyDescent="0.2">
      <c r="A743" s="87" t="s">
        <v>179</v>
      </c>
      <c r="B743" s="37">
        <v>2025</v>
      </c>
      <c r="C743" s="38" t="s">
        <v>2385</v>
      </c>
      <c r="D743" s="38" t="s">
        <v>2386</v>
      </c>
      <c r="E743" s="38" t="s">
        <v>2303</v>
      </c>
      <c r="F743" s="38" t="s">
        <v>2216</v>
      </c>
      <c r="G743" s="37"/>
      <c r="H743" s="38" t="s">
        <v>2387</v>
      </c>
      <c r="I743" s="37" t="s">
        <v>451</v>
      </c>
      <c r="J743" s="38" t="s">
        <v>2218</v>
      </c>
    </row>
    <row r="744" spans="1:10" ht="95" x14ac:dyDescent="0.2">
      <c r="A744" s="87" t="s">
        <v>179</v>
      </c>
      <c r="B744" s="37">
        <v>2025</v>
      </c>
      <c r="C744" s="38" t="s">
        <v>2388</v>
      </c>
      <c r="D744" s="38" t="s">
        <v>2389</v>
      </c>
      <c r="E744" s="38" t="s">
        <v>2303</v>
      </c>
      <c r="F744" s="38" t="s">
        <v>2216</v>
      </c>
      <c r="G744" s="37"/>
      <c r="H744" s="38" t="s">
        <v>2390</v>
      </c>
      <c r="I744" s="37" t="s">
        <v>451</v>
      </c>
      <c r="J744" s="38" t="s">
        <v>2218</v>
      </c>
    </row>
    <row r="745" spans="1:10" ht="95" x14ac:dyDescent="0.2">
      <c r="A745" s="87" t="s">
        <v>179</v>
      </c>
      <c r="B745" s="37">
        <v>2025</v>
      </c>
      <c r="C745" s="38" t="s">
        <v>2391</v>
      </c>
      <c r="D745" s="38" t="s">
        <v>2392</v>
      </c>
      <c r="E745" s="38" t="s">
        <v>2303</v>
      </c>
      <c r="F745" s="38" t="s">
        <v>2216</v>
      </c>
      <c r="G745" s="37"/>
      <c r="H745" s="38" t="s">
        <v>1982</v>
      </c>
      <c r="I745" s="37" t="s">
        <v>451</v>
      </c>
      <c r="J745" s="38" t="s">
        <v>2218</v>
      </c>
    </row>
    <row r="746" spans="1:10" ht="190" x14ac:dyDescent="0.2">
      <c r="A746" s="87" t="s">
        <v>188</v>
      </c>
      <c r="B746" s="37">
        <v>2025</v>
      </c>
      <c r="C746" s="38" t="s">
        <v>2393</v>
      </c>
      <c r="D746" s="38" t="s">
        <v>2394</v>
      </c>
      <c r="E746" s="38" t="s">
        <v>2303</v>
      </c>
      <c r="F746" s="38" t="s">
        <v>2216</v>
      </c>
      <c r="G746" s="37"/>
      <c r="H746" s="38" t="s">
        <v>2395</v>
      </c>
      <c r="I746" s="37" t="s">
        <v>451</v>
      </c>
      <c r="J746" s="38" t="s">
        <v>2218</v>
      </c>
    </row>
    <row r="747" spans="1:10" ht="95" x14ac:dyDescent="0.2">
      <c r="A747" s="87" t="s">
        <v>188</v>
      </c>
      <c r="B747" s="37">
        <v>2025</v>
      </c>
      <c r="C747" s="38" t="s">
        <v>2396</v>
      </c>
      <c r="D747" s="38" t="s">
        <v>2397</v>
      </c>
      <c r="E747" s="38" t="s">
        <v>2303</v>
      </c>
      <c r="F747" s="38" t="s">
        <v>2216</v>
      </c>
      <c r="G747" s="37"/>
      <c r="H747" s="38" t="s">
        <v>930</v>
      </c>
      <c r="I747" s="37" t="s">
        <v>451</v>
      </c>
      <c r="J747" s="38" t="s">
        <v>2218</v>
      </c>
    </row>
    <row r="748" spans="1:10" ht="95" x14ac:dyDescent="0.2">
      <c r="A748" s="87" t="s">
        <v>198</v>
      </c>
      <c r="B748" s="37">
        <v>2026</v>
      </c>
      <c r="C748" s="38" t="s">
        <v>2398</v>
      </c>
      <c r="D748" s="38" t="s">
        <v>2399</v>
      </c>
      <c r="E748" s="38" t="s">
        <v>2303</v>
      </c>
      <c r="F748" s="38" t="s">
        <v>2216</v>
      </c>
      <c r="G748" s="37"/>
      <c r="H748" s="38" t="s">
        <v>2400</v>
      </c>
      <c r="I748" s="37" t="s">
        <v>451</v>
      </c>
      <c r="J748" s="38" t="s">
        <v>2218</v>
      </c>
    </row>
    <row r="749" spans="1:10" ht="152" x14ac:dyDescent="0.2">
      <c r="A749" s="87" t="s">
        <v>198</v>
      </c>
      <c r="B749" s="37">
        <v>2026</v>
      </c>
      <c r="C749" s="38" t="s">
        <v>2401</v>
      </c>
      <c r="D749" s="38" t="s">
        <v>2402</v>
      </c>
      <c r="E749" s="38" t="s">
        <v>2303</v>
      </c>
      <c r="F749" s="38" t="s">
        <v>2216</v>
      </c>
      <c r="G749" s="37"/>
      <c r="H749" s="38" t="s">
        <v>1016</v>
      </c>
      <c r="I749" s="37" t="s">
        <v>451</v>
      </c>
      <c r="J749" s="38" t="s">
        <v>2218</v>
      </c>
    </row>
    <row r="750" spans="1:10" ht="133" x14ac:dyDescent="0.2">
      <c r="A750" s="87" t="s">
        <v>198</v>
      </c>
      <c r="B750" s="37">
        <v>2026</v>
      </c>
      <c r="C750" s="38" t="s">
        <v>2403</v>
      </c>
      <c r="D750" s="38" t="s">
        <v>2404</v>
      </c>
      <c r="E750" s="38" t="s">
        <v>2303</v>
      </c>
      <c r="F750" s="38" t="s">
        <v>2216</v>
      </c>
      <c r="G750" s="37"/>
      <c r="H750" s="38" t="s">
        <v>2405</v>
      </c>
      <c r="I750" s="37" t="s">
        <v>659</v>
      </c>
      <c r="J750" s="38" t="s">
        <v>2218</v>
      </c>
    </row>
    <row r="751" spans="1:10" ht="228" x14ac:dyDescent="0.2">
      <c r="A751" s="87" t="s">
        <v>208</v>
      </c>
      <c r="B751" s="37">
        <v>2026</v>
      </c>
      <c r="C751" s="38" t="s">
        <v>2406</v>
      </c>
      <c r="D751" s="38" t="s">
        <v>2407</v>
      </c>
      <c r="E751" s="38" t="s">
        <v>2303</v>
      </c>
      <c r="F751" s="38" t="s">
        <v>2216</v>
      </c>
      <c r="G751" s="37"/>
      <c r="H751" s="38" t="s">
        <v>2408</v>
      </c>
      <c r="I751" s="37" t="s">
        <v>451</v>
      </c>
      <c r="J751" s="38" t="s">
        <v>2218</v>
      </c>
    </row>
    <row r="752" spans="1:10" ht="190" x14ac:dyDescent="0.2">
      <c r="A752" s="87" t="s">
        <v>208</v>
      </c>
      <c r="B752" s="37">
        <v>2026</v>
      </c>
      <c r="C752" s="38" t="s">
        <v>2409</v>
      </c>
      <c r="D752" s="38" t="s">
        <v>2410</v>
      </c>
      <c r="E752" s="38" t="s">
        <v>2303</v>
      </c>
      <c r="F752" s="38" t="s">
        <v>2216</v>
      </c>
      <c r="G752" s="37"/>
      <c r="H752" s="38" t="s">
        <v>2411</v>
      </c>
      <c r="I752" s="37" t="s">
        <v>451</v>
      </c>
      <c r="J752" s="38" t="s">
        <v>2218</v>
      </c>
    </row>
    <row r="753" spans="1:10" ht="190" x14ac:dyDescent="0.2">
      <c r="A753" s="87" t="s">
        <v>218</v>
      </c>
      <c r="B753" s="37">
        <v>2026</v>
      </c>
      <c r="C753" s="38" t="s">
        <v>2412</v>
      </c>
      <c r="D753" s="38" t="s">
        <v>2413</v>
      </c>
      <c r="E753" s="38" t="s">
        <v>2303</v>
      </c>
      <c r="F753" s="38" t="s">
        <v>2216</v>
      </c>
      <c r="G753" s="37"/>
      <c r="H753" s="38" t="s">
        <v>2414</v>
      </c>
      <c r="I753" s="37" t="s">
        <v>451</v>
      </c>
      <c r="J753" s="38" t="s">
        <v>2218</v>
      </c>
    </row>
    <row r="754" spans="1:10" ht="95" x14ac:dyDescent="0.2">
      <c r="A754" s="87" t="s">
        <v>218</v>
      </c>
      <c r="B754" s="37">
        <v>2026</v>
      </c>
      <c r="C754" s="38" t="s">
        <v>2415</v>
      </c>
      <c r="D754" s="38" t="s">
        <v>2416</v>
      </c>
      <c r="E754" s="38" t="s">
        <v>2303</v>
      </c>
      <c r="F754" s="38" t="s">
        <v>2216</v>
      </c>
      <c r="G754" s="37"/>
      <c r="H754" s="38" t="s">
        <v>2417</v>
      </c>
      <c r="I754" s="37" t="s">
        <v>451</v>
      </c>
      <c r="J754" s="38" t="s">
        <v>2218</v>
      </c>
    </row>
    <row r="755" spans="1:10" ht="76" x14ac:dyDescent="0.2">
      <c r="A755" s="87" t="s">
        <v>218</v>
      </c>
      <c r="B755" s="37">
        <v>2026</v>
      </c>
      <c r="C755" s="38" t="s">
        <v>2418</v>
      </c>
      <c r="D755" s="38" t="s">
        <v>2419</v>
      </c>
      <c r="E755" s="38" t="s">
        <v>2303</v>
      </c>
      <c r="F755" s="38" t="s">
        <v>2216</v>
      </c>
      <c r="G755" s="37"/>
      <c r="H755" s="38" t="s">
        <v>492</v>
      </c>
      <c r="I755" s="37" t="s">
        <v>659</v>
      </c>
      <c r="J755" s="38" t="s">
        <v>2218</v>
      </c>
    </row>
    <row r="756" spans="1:10" ht="95" x14ac:dyDescent="0.2">
      <c r="A756" s="87" t="s">
        <v>227</v>
      </c>
      <c r="B756" s="37">
        <v>2026</v>
      </c>
      <c r="C756" s="38" t="s">
        <v>2420</v>
      </c>
      <c r="D756" s="38" t="s">
        <v>2421</v>
      </c>
      <c r="E756" s="38" t="s">
        <v>2303</v>
      </c>
      <c r="F756" s="38" t="s">
        <v>2216</v>
      </c>
      <c r="G756" s="37"/>
      <c r="H756" s="38" t="s">
        <v>1178</v>
      </c>
      <c r="I756" s="37" t="s">
        <v>451</v>
      </c>
      <c r="J756" s="38" t="s">
        <v>2218</v>
      </c>
    </row>
    <row r="757" spans="1:10" ht="95" x14ac:dyDescent="0.2">
      <c r="A757" s="87" t="s">
        <v>227</v>
      </c>
      <c r="B757" s="37">
        <v>2026</v>
      </c>
      <c r="C757" s="38" t="s">
        <v>2422</v>
      </c>
      <c r="D757" s="38" t="s">
        <v>2423</v>
      </c>
      <c r="E757" s="38" t="s">
        <v>2303</v>
      </c>
      <c r="F757" s="38" t="s">
        <v>2216</v>
      </c>
      <c r="G757" s="37"/>
      <c r="H757" s="38" t="s">
        <v>2424</v>
      </c>
      <c r="I757" s="37" t="s">
        <v>451</v>
      </c>
      <c r="J757" s="38" t="s">
        <v>2218</v>
      </c>
    </row>
    <row r="758" spans="1:10" ht="133" x14ac:dyDescent="0.2">
      <c r="A758" s="87" t="s">
        <v>227</v>
      </c>
      <c r="B758" s="37">
        <v>2026</v>
      </c>
      <c r="C758" s="38" t="s">
        <v>2425</v>
      </c>
      <c r="D758" s="38" t="s">
        <v>2426</v>
      </c>
      <c r="E758" s="38" t="s">
        <v>2303</v>
      </c>
      <c r="F758" s="38" t="s">
        <v>2216</v>
      </c>
      <c r="G758" s="37"/>
      <c r="H758" s="38" t="s">
        <v>578</v>
      </c>
      <c r="I758" s="37" t="s">
        <v>451</v>
      </c>
      <c r="J758" s="38" t="s">
        <v>2218</v>
      </c>
    </row>
    <row r="759" spans="1:10" ht="152" x14ac:dyDescent="0.2">
      <c r="A759" s="87" t="s">
        <v>237</v>
      </c>
      <c r="B759" s="37">
        <v>2025</v>
      </c>
      <c r="C759" s="38" t="s">
        <v>2427</v>
      </c>
      <c r="D759" s="38" t="s">
        <v>2428</v>
      </c>
      <c r="E759" s="38" t="s">
        <v>2303</v>
      </c>
      <c r="F759" s="38" t="s">
        <v>2216</v>
      </c>
      <c r="G759" s="37"/>
      <c r="H759" s="38" t="s">
        <v>741</v>
      </c>
      <c r="I759" s="37" t="s">
        <v>451</v>
      </c>
      <c r="J759" s="38" t="s">
        <v>2218</v>
      </c>
    </row>
    <row r="760" spans="1:10" ht="114" x14ac:dyDescent="0.2">
      <c r="A760" s="87" t="s">
        <v>237</v>
      </c>
      <c r="B760" s="37">
        <v>2025</v>
      </c>
      <c r="C760" s="38" t="s">
        <v>2429</v>
      </c>
      <c r="D760" s="38" t="s">
        <v>2430</v>
      </c>
      <c r="E760" s="38" t="s">
        <v>2303</v>
      </c>
      <c r="F760" s="38" t="s">
        <v>2216</v>
      </c>
      <c r="G760" s="37"/>
      <c r="H760" s="38" t="s">
        <v>741</v>
      </c>
      <c r="I760" s="37" t="s">
        <v>451</v>
      </c>
      <c r="J760" s="38" t="s">
        <v>2218</v>
      </c>
    </row>
    <row r="761" spans="1:10" ht="95" x14ac:dyDescent="0.2">
      <c r="A761" s="87" t="s">
        <v>237</v>
      </c>
      <c r="B761" s="37">
        <v>2025</v>
      </c>
      <c r="C761" s="38" t="s">
        <v>2431</v>
      </c>
      <c r="D761" s="38" t="s">
        <v>2432</v>
      </c>
      <c r="E761" s="38" t="s">
        <v>2303</v>
      </c>
      <c r="F761" s="38" t="s">
        <v>2216</v>
      </c>
      <c r="G761" s="37"/>
      <c r="H761" s="38" t="s">
        <v>741</v>
      </c>
      <c r="I761" s="37" t="s">
        <v>451</v>
      </c>
      <c r="J761" s="38" t="s">
        <v>2218</v>
      </c>
    </row>
    <row r="762" spans="1:10" ht="57" x14ac:dyDescent="0.2">
      <c r="A762" s="87" t="s">
        <v>247</v>
      </c>
      <c r="B762" s="37">
        <v>2026</v>
      </c>
      <c r="C762" s="38" t="s">
        <v>2433</v>
      </c>
      <c r="D762" s="38" t="s">
        <v>2434</v>
      </c>
      <c r="E762" s="38" t="s">
        <v>2303</v>
      </c>
      <c r="F762" s="38" t="s">
        <v>2216</v>
      </c>
      <c r="G762" s="37"/>
      <c r="H762" s="38" t="s">
        <v>638</v>
      </c>
      <c r="I762" s="37" t="s">
        <v>451</v>
      </c>
      <c r="J762" s="38" t="s">
        <v>2218</v>
      </c>
    </row>
    <row r="763" spans="1:10" ht="190" x14ac:dyDescent="0.2">
      <c r="A763" s="87" t="s">
        <v>247</v>
      </c>
      <c r="B763" s="37">
        <v>2026</v>
      </c>
      <c r="C763" s="38" t="s">
        <v>2435</v>
      </c>
      <c r="D763" s="38" t="s">
        <v>2436</v>
      </c>
      <c r="E763" s="38" t="s">
        <v>2303</v>
      </c>
      <c r="F763" s="38" t="s">
        <v>2216</v>
      </c>
      <c r="G763" s="37"/>
      <c r="H763" s="38" t="s">
        <v>1770</v>
      </c>
      <c r="I763" s="37" t="s">
        <v>659</v>
      </c>
      <c r="J763" s="38" t="s">
        <v>2218</v>
      </c>
    </row>
    <row r="764" spans="1:10" ht="76" x14ac:dyDescent="0.2">
      <c r="A764" s="87" t="s">
        <v>257</v>
      </c>
      <c r="B764" s="37">
        <v>2025</v>
      </c>
      <c r="C764" s="38" t="s">
        <v>2437</v>
      </c>
      <c r="D764" s="38" t="s">
        <v>2438</v>
      </c>
      <c r="E764" s="38" t="s">
        <v>2303</v>
      </c>
      <c r="F764" s="38" t="s">
        <v>2216</v>
      </c>
      <c r="G764" s="37"/>
      <c r="H764" s="38" t="s">
        <v>1189</v>
      </c>
      <c r="I764" s="37" t="s">
        <v>451</v>
      </c>
      <c r="J764" s="38" t="s">
        <v>2218</v>
      </c>
    </row>
    <row r="765" spans="1:10" ht="95" x14ac:dyDescent="0.2">
      <c r="A765" s="87" t="s">
        <v>257</v>
      </c>
      <c r="B765" s="37">
        <v>2025</v>
      </c>
      <c r="C765" s="38" t="s">
        <v>2439</v>
      </c>
      <c r="D765" s="38" t="s">
        <v>2440</v>
      </c>
      <c r="E765" s="38" t="s">
        <v>2303</v>
      </c>
      <c r="F765" s="38" t="s">
        <v>2216</v>
      </c>
      <c r="G765" s="37"/>
      <c r="H765" s="38" t="s">
        <v>492</v>
      </c>
      <c r="I765" s="37" t="s">
        <v>659</v>
      </c>
      <c r="J765" s="38" t="s">
        <v>2218</v>
      </c>
    </row>
    <row r="766" spans="1:10" x14ac:dyDescent="0.2">
      <c r="A766" s="39"/>
      <c r="B766" s="39"/>
      <c r="C766" s="39"/>
      <c r="E766" s="39"/>
      <c r="F766" s="39"/>
      <c r="G766" s="39"/>
      <c r="H766" s="39"/>
      <c r="I766" s="39"/>
      <c r="J766" s="39"/>
    </row>
    <row r="767" spans="1:10" ht="76" x14ac:dyDescent="0.2">
      <c r="A767" s="87" t="s">
        <v>44</v>
      </c>
      <c r="B767" s="37">
        <v>2024</v>
      </c>
      <c r="C767" s="38" t="s">
        <v>2441</v>
      </c>
      <c r="D767" s="38" t="s">
        <v>2442</v>
      </c>
      <c r="E767" s="38" t="s">
        <v>2443</v>
      </c>
      <c r="F767" s="38" t="s">
        <v>2444</v>
      </c>
      <c r="G767" s="37" t="s">
        <v>1788</v>
      </c>
      <c r="H767" s="38" t="s">
        <v>868</v>
      </c>
      <c r="I767" s="37" t="s">
        <v>451</v>
      </c>
      <c r="J767" s="38" t="s">
        <v>2445</v>
      </c>
    </row>
    <row r="768" spans="1:10" ht="57" x14ac:dyDescent="0.2">
      <c r="A768" s="87" t="s">
        <v>44</v>
      </c>
      <c r="B768" s="37">
        <v>2024</v>
      </c>
      <c r="C768" s="38" t="s">
        <v>2446</v>
      </c>
      <c r="D768" s="38" t="s">
        <v>2447</v>
      </c>
      <c r="E768" s="38" t="s">
        <v>2443</v>
      </c>
      <c r="F768" s="38" t="s">
        <v>2444</v>
      </c>
      <c r="G768" s="37" t="s">
        <v>1788</v>
      </c>
      <c r="H768" s="38" t="s">
        <v>868</v>
      </c>
      <c r="I768" s="37" t="s">
        <v>451</v>
      </c>
      <c r="J768" s="38" t="s">
        <v>2445</v>
      </c>
    </row>
    <row r="769" spans="1:10" ht="76" x14ac:dyDescent="0.2">
      <c r="A769" s="87" t="s">
        <v>54</v>
      </c>
      <c r="B769" s="37">
        <v>2025</v>
      </c>
      <c r="C769" s="38" t="s">
        <v>2448</v>
      </c>
      <c r="D769" s="38" t="s">
        <v>2449</v>
      </c>
      <c r="E769" s="38" t="s">
        <v>2443</v>
      </c>
      <c r="F769" s="38" t="s">
        <v>2444</v>
      </c>
      <c r="G769" s="37" t="s">
        <v>1788</v>
      </c>
      <c r="H769" s="38" t="s">
        <v>651</v>
      </c>
      <c r="I769" s="37" t="s">
        <v>451</v>
      </c>
      <c r="J769" s="38" t="s">
        <v>2445</v>
      </c>
    </row>
    <row r="770" spans="1:10" ht="114" x14ac:dyDescent="0.2">
      <c r="A770" s="87" t="s">
        <v>63</v>
      </c>
      <c r="B770" s="37">
        <v>2025</v>
      </c>
      <c r="C770" s="38" t="s">
        <v>2450</v>
      </c>
      <c r="D770" s="38" t="s">
        <v>2451</v>
      </c>
      <c r="E770" s="38" t="s">
        <v>2443</v>
      </c>
      <c r="F770" s="38" t="s">
        <v>2444</v>
      </c>
      <c r="G770" s="37" t="s">
        <v>1788</v>
      </c>
      <c r="H770" s="38" t="s">
        <v>674</v>
      </c>
      <c r="I770" s="37" t="s">
        <v>451</v>
      </c>
      <c r="J770" s="38" t="s">
        <v>2445</v>
      </c>
    </row>
    <row r="771" spans="1:10" ht="95" x14ac:dyDescent="0.2">
      <c r="A771" s="87" t="s">
        <v>73</v>
      </c>
      <c r="B771" s="37">
        <v>2024</v>
      </c>
      <c r="C771" s="38" t="s">
        <v>2452</v>
      </c>
      <c r="D771" s="38" t="s">
        <v>2453</v>
      </c>
      <c r="E771" s="38" t="s">
        <v>2443</v>
      </c>
      <c r="F771" s="38" t="s">
        <v>2444</v>
      </c>
      <c r="G771" s="37" t="s">
        <v>1788</v>
      </c>
      <c r="H771" s="38" t="s">
        <v>566</v>
      </c>
      <c r="I771" s="37" t="s">
        <v>451</v>
      </c>
      <c r="J771" s="38" t="s">
        <v>2445</v>
      </c>
    </row>
    <row r="772" spans="1:10" ht="114" x14ac:dyDescent="0.2">
      <c r="A772" s="87" t="s">
        <v>73</v>
      </c>
      <c r="B772" s="37">
        <v>2024</v>
      </c>
      <c r="C772" s="38" t="s">
        <v>2454</v>
      </c>
      <c r="D772" s="38" t="s">
        <v>2455</v>
      </c>
      <c r="E772" s="38" t="s">
        <v>2443</v>
      </c>
      <c r="F772" s="38" t="s">
        <v>2444</v>
      </c>
      <c r="G772" s="37" t="s">
        <v>1788</v>
      </c>
      <c r="H772" s="38" t="s">
        <v>2456</v>
      </c>
      <c r="I772" s="37" t="s">
        <v>451</v>
      </c>
      <c r="J772" s="38" t="s">
        <v>2445</v>
      </c>
    </row>
    <row r="773" spans="1:10" ht="76" x14ac:dyDescent="0.2">
      <c r="A773" s="87" t="s">
        <v>83</v>
      </c>
      <c r="B773" s="37">
        <v>2025</v>
      </c>
      <c r="C773" s="38" t="s">
        <v>2457</v>
      </c>
      <c r="D773" s="38" t="s">
        <v>2458</v>
      </c>
      <c r="E773" s="38" t="s">
        <v>2443</v>
      </c>
      <c r="F773" s="38" t="s">
        <v>2444</v>
      </c>
      <c r="G773" s="37" t="s">
        <v>1788</v>
      </c>
      <c r="H773" s="38" t="s">
        <v>2459</v>
      </c>
      <c r="I773" s="37" t="s">
        <v>451</v>
      </c>
      <c r="J773" s="38" t="s">
        <v>2445</v>
      </c>
    </row>
    <row r="774" spans="1:10" ht="76" x14ac:dyDescent="0.2">
      <c r="A774" s="87" t="s">
        <v>83</v>
      </c>
      <c r="B774" s="37">
        <v>2025</v>
      </c>
      <c r="C774" s="38" t="s">
        <v>2460</v>
      </c>
      <c r="D774" s="38" t="s">
        <v>2461</v>
      </c>
      <c r="E774" s="38" t="s">
        <v>2443</v>
      </c>
      <c r="F774" s="38" t="s">
        <v>2444</v>
      </c>
      <c r="G774" s="37" t="s">
        <v>1788</v>
      </c>
      <c r="H774" s="38" t="s">
        <v>1202</v>
      </c>
      <c r="I774" s="37" t="s">
        <v>451</v>
      </c>
      <c r="J774" s="38" t="s">
        <v>2445</v>
      </c>
    </row>
    <row r="775" spans="1:10" ht="95" x14ac:dyDescent="0.2">
      <c r="A775" s="87" t="s">
        <v>93</v>
      </c>
      <c r="B775" s="37">
        <v>2025</v>
      </c>
      <c r="C775" s="38" t="s">
        <v>2462</v>
      </c>
      <c r="D775" s="38" t="s">
        <v>2463</v>
      </c>
      <c r="E775" s="38" t="s">
        <v>2443</v>
      </c>
      <c r="F775" s="38" t="s">
        <v>2444</v>
      </c>
      <c r="G775" s="37" t="s">
        <v>1788</v>
      </c>
      <c r="H775" s="38" t="s">
        <v>2464</v>
      </c>
      <c r="I775" s="37" t="s">
        <v>451</v>
      </c>
      <c r="J775" s="38" t="s">
        <v>2445</v>
      </c>
    </row>
    <row r="776" spans="1:10" ht="76" x14ac:dyDescent="0.2">
      <c r="A776" s="87" t="s">
        <v>93</v>
      </c>
      <c r="B776" s="37">
        <v>2025</v>
      </c>
      <c r="C776" s="38" t="s">
        <v>2465</v>
      </c>
      <c r="D776" s="38" t="s">
        <v>2466</v>
      </c>
      <c r="E776" s="38" t="s">
        <v>2443</v>
      </c>
      <c r="F776" s="38" t="s">
        <v>2444</v>
      </c>
      <c r="G776" s="37" t="s">
        <v>1788</v>
      </c>
      <c r="H776" s="38" t="s">
        <v>2467</v>
      </c>
      <c r="I776" s="37" t="s">
        <v>451</v>
      </c>
      <c r="J776" s="38" t="s">
        <v>2445</v>
      </c>
    </row>
    <row r="777" spans="1:10" ht="133" x14ac:dyDescent="0.2">
      <c r="A777" s="87" t="s">
        <v>103</v>
      </c>
      <c r="B777" s="37">
        <v>2024</v>
      </c>
      <c r="C777" s="38" t="s">
        <v>2468</v>
      </c>
      <c r="D777" s="38" t="s">
        <v>2469</v>
      </c>
      <c r="E777" s="38" t="s">
        <v>2443</v>
      </c>
      <c r="F777" s="38" t="s">
        <v>2444</v>
      </c>
      <c r="G777" s="37" t="s">
        <v>1788</v>
      </c>
      <c r="H777" s="38" t="s">
        <v>738</v>
      </c>
      <c r="I777" s="37" t="s">
        <v>451</v>
      </c>
      <c r="J777" s="38" t="s">
        <v>2445</v>
      </c>
    </row>
    <row r="778" spans="1:10" ht="76" x14ac:dyDescent="0.2">
      <c r="A778" s="87" t="s">
        <v>103</v>
      </c>
      <c r="B778" s="37">
        <v>2024</v>
      </c>
      <c r="C778" s="38" t="s">
        <v>2470</v>
      </c>
      <c r="D778" s="38" t="s">
        <v>2471</v>
      </c>
      <c r="E778" s="38" t="s">
        <v>2443</v>
      </c>
      <c r="F778" s="38" t="s">
        <v>2444</v>
      </c>
      <c r="G778" s="37" t="s">
        <v>1788</v>
      </c>
      <c r="H778" s="38" t="s">
        <v>2472</v>
      </c>
      <c r="I778" s="37" t="s">
        <v>451</v>
      </c>
      <c r="J778" s="38" t="s">
        <v>2445</v>
      </c>
    </row>
    <row r="779" spans="1:10" ht="114" x14ac:dyDescent="0.2">
      <c r="A779" s="87" t="s">
        <v>113</v>
      </c>
      <c r="B779" s="37">
        <v>2024</v>
      </c>
      <c r="C779" s="38" t="s">
        <v>2473</v>
      </c>
      <c r="D779" s="38" t="s">
        <v>2474</v>
      </c>
      <c r="E779" s="38" t="s">
        <v>2443</v>
      </c>
      <c r="F779" s="38" t="s">
        <v>2444</v>
      </c>
      <c r="G779" s="37" t="s">
        <v>1788</v>
      </c>
      <c r="H779" s="38" t="s">
        <v>546</v>
      </c>
      <c r="I779" s="37" t="s">
        <v>451</v>
      </c>
      <c r="J779" s="38" t="s">
        <v>2445</v>
      </c>
    </row>
    <row r="780" spans="1:10" ht="95" x14ac:dyDescent="0.2">
      <c r="A780" s="87" t="s">
        <v>113</v>
      </c>
      <c r="B780" s="37">
        <v>2024</v>
      </c>
      <c r="C780" s="38" t="s">
        <v>2475</v>
      </c>
      <c r="D780" s="38" t="s">
        <v>2476</v>
      </c>
      <c r="E780" s="38" t="s">
        <v>2443</v>
      </c>
      <c r="F780" s="38" t="s">
        <v>2444</v>
      </c>
      <c r="G780" s="37" t="s">
        <v>1788</v>
      </c>
      <c r="H780" s="38" t="s">
        <v>1011</v>
      </c>
      <c r="I780" s="37" t="s">
        <v>451</v>
      </c>
      <c r="J780" s="38" t="s">
        <v>2445</v>
      </c>
    </row>
    <row r="781" spans="1:10" ht="76" x14ac:dyDescent="0.2">
      <c r="A781" s="87" t="s">
        <v>122</v>
      </c>
      <c r="B781" s="37">
        <v>2024</v>
      </c>
      <c r="C781" s="38" t="s">
        <v>2477</v>
      </c>
      <c r="D781" s="38" t="s">
        <v>2478</v>
      </c>
      <c r="E781" s="38" t="s">
        <v>2443</v>
      </c>
      <c r="F781" s="38" t="s">
        <v>2444</v>
      </c>
      <c r="G781" s="37" t="s">
        <v>1788</v>
      </c>
      <c r="H781" s="38" t="s">
        <v>951</v>
      </c>
      <c r="I781" s="37" t="s">
        <v>451</v>
      </c>
      <c r="J781" s="38" t="s">
        <v>2445</v>
      </c>
    </row>
    <row r="782" spans="1:10" ht="95" x14ac:dyDescent="0.2">
      <c r="A782" s="87" t="s">
        <v>122</v>
      </c>
      <c r="B782" s="37">
        <v>2024</v>
      </c>
      <c r="C782" s="38" t="s">
        <v>2479</v>
      </c>
      <c r="D782" s="38" t="s">
        <v>2480</v>
      </c>
      <c r="E782" s="38" t="s">
        <v>2443</v>
      </c>
      <c r="F782" s="38" t="s">
        <v>2444</v>
      </c>
      <c r="G782" s="37" t="s">
        <v>1788</v>
      </c>
      <c r="H782" s="38" t="s">
        <v>2481</v>
      </c>
      <c r="I782" s="37" t="s">
        <v>451</v>
      </c>
      <c r="J782" s="38" t="s">
        <v>2445</v>
      </c>
    </row>
    <row r="783" spans="1:10" ht="76" x14ac:dyDescent="0.2">
      <c r="A783" s="87" t="s">
        <v>130</v>
      </c>
      <c r="B783" s="37">
        <v>2024</v>
      </c>
      <c r="C783" s="38" t="s">
        <v>2482</v>
      </c>
      <c r="D783" s="38" t="s">
        <v>2483</v>
      </c>
      <c r="E783" s="38" t="s">
        <v>2443</v>
      </c>
      <c r="F783" s="38" t="s">
        <v>2444</v>
      </c>
      <c r="G783" s="37" t="s">
        <v>1788</v>
      </c>
      <c r="H783" s="38" t="s">
        <v>951</v>
      </c>
      <c r="I783" s="37" t="s">
        <v>451</v>
      </c>
      <c r="J783" s="38" t="s">
        <v>2445</v>
      </c>
    </row>
    <row r="784" spans="1:10" ht="190" x14ac:dyDescent="0.2">
      <c r="A784" s="87" t="s">
        <v>130</v>
      </c>
      <c r="B784" s="37">
        <v>2024</v>
      </c>
      <c r="C784" s="38" t="s">
        <v>2484</v>
      </c>
      <c r="D784" s="38" t="s">
        <v>2485</v>
      </c>
      <c r="E784" s="38" t="s">
        <v>2443</v>
      </c>
      <c r="F784" s="38" t="s">
        <v>2444</v>
      </c>
      <c r="G784" s="37" t="s">
        <v>1788</v>
      </c>
      <c r="H784" s="38" t="s">
        <v>1006</v>
      </c>
      <c r="I784" s="37" t="s">
        <v>451</v>
      </c>
      <c r="J784" s="38" t="s">
        <v>2445</v>
      </c>
    </row>
    <row r="785" spans="1:10" ht="95" x14ac:dyDescent="0.2">
      <c r="A785" s="87" t="s">
        <v>139</v>
      </c>
      <c r="B785" s="37">
        <v>2023</v>
      </c>
      <c r="C785" s="38" t="s">
        <v>2486</v>
      </c>
      <c r="D785" s="38" t="s">
        <v>2487</v>
      </c>
      <c r="E785" s="38" t="s">
        <v>2443</v>
      </c>
      <c r="F785" s="38" t="s">
        <v>2444</v>
      </c>
      <c r="G785" s="37" t="s">
        <v>1788</v>
      </c>
      <c r="H785" s="38" t="s">
        <v>2488</v>
      </c>
      <c r="I785" s="37" t="s">
        <v>451</v>
      </c>
      <c r="J785" s="38" t="s">
        <v>2445</v>
      </c>
    </row>
    <row r="786" spans="1:10" ht="133" x14ac:dyDescent="0.2">
      <c r="A786" s="87" t="s">
        <v>139</v>
      </c>
      <c r="B786" s="37">
        <v>2023</v>
      </c>
      <c r="C786" s="38" t="s">
        <v>2489</v>
      </c>
      <c r="D786" s="38" t="s">
        <v>2490</v>
      </c>
      <c r="E786" s="38" t="s">
        <v>2443</v>
      </c>
      <c r="F786" s="38" t="s">
        <v>2444</v>
      </c>
      <c r="G786" s="37" t="s">
        <v>1788</v>
      </c>
      <c r="H786" s="38" t="s">
        <v>651</v>
      </c>
      <c r="I786" s="37" t="s">
        <v>451</v>
      </c>
      <c r="J786" s="38" t="s">
        <v>2445</v>
      </c>
    </row>
    <row r="787" spans="1:10" ht="114" x14ac:dyDescent="0.2">
      <c r="A787" s="87" t="s">
        <v>149</v>
      </c>
      <c r="B787" s="37">
        <v>2020</v>
      </c>
      <c r="C787" s="38" t="s">
        <v>2491</v>
      </c>
      <c r="D787" s="38" t="s">
        <v>2492</v>
      </c>
      <c r="E787" s="38" t="s">
        <v>2443</v>
      </c>
      <c r="F787" s="38" t="s">
        <v>2444</v>
      </c>
      <c r="G787" s="37" t="s">
        <v>1788</v>
      </c>
      <c r="H787" s="38" t="s">
        <v>2493</v>
      </c>
      <c r="I787" s="37" t="s">
        <v>451</v>
      </c>
      <c r="J787" s="38" t="s">
        <v>2445</v>
      </c>
    </row>
    <row r="788" spans="1:10" ht="171" x14ac:dyDescent="0.2">
      <c r="A788" s="87" t="s">
        <v>159</v>
      </c>
      <c r="B788" s="37">
        <v>2025</v>
      </c>
      <c r="C788" s="38" t="s">
        <v>2494</v>
      </c>
      <c r="D788" s="38" t="s">
        <v>2495</v>
      </c>
      <c r="E788" s="38" t="s">
        <v>2443</v>
      </c>
      <c r="F788" s="38" t="s">
        <v>2444</v>
      </c>
      <c r="G788" s="37" t="s">
        <v>1788</v>
      </c>
      <c r="H788" s="38" t="s">
        <v>1461</v>
      </c>
      <c r="I788" s="37" t="s">
        <v>451</v>
      </c>
      <c r="J788" s="38" t="s">
        <v>2445</v>
      </c>
    </row>
    <row r="789" spans="1:10" ht="76" x14ac:dyDescent="0.2">
      <c r="A789" s="87" t="s">
        <v>169</v>
      </c>
      <c r="B789" s="37">
        <v>2026</v>
      </c>
      <c r="C789" s="38" t="s">
        <v>2496</v>
      </c>
      <c r="D789" s="38" t="s">
        <v>2497</v>
      </c>
      <c r="E789" s="38" t="s">
        <v>2443</v>
      </c>
      <c r="F789" s="38" t="s">
        <v>2444</v>
      </c>
      <c r="G789" s="37" t="s">
        <v>1783</v>
      </c>
      <c r="H789" s="38" t="s">
        <v>546</v>
      </c>
      <c r="I789" s="37" t="s">
        <v>659</v>
      </c>
      <c r="J789" s="38" t="s">
        <v>2445</v>
      </c>
    </row>
    <row r="790" spans="1:10" ht="133" x14ac:dyDescent="0.2">
      <c r="A790" s="87" t="s">
        <v>179</v>
      </c>
      <c r="B790" s="37">
        <v>2025</v>
      </c>
      <c r="C790" s="38" t="s">
        <v>2498</v>
      </c>
      <c r="D790" s="38" t="s">
        <v>2499</v>
      </c>
      <c r="E790" s="38" t="s">
        <v>2443</v>
      </c>
      <c r="F790" s="38" t="s">
        <v>2444</v>
      </c>
      <c r="G790" s="37" t="s">
        <v>1788</v>
      </c>
      <c r="H790" s="38" t="s">
        <v>1982</v>
      </c>
      <c r="I790" s="37" t="s">
        <v>451</v>
      </c>
      <c r="J790" s="38" t="s">
        <v>2445</v>
      </c>
    </row>
    <row r="791" spans="1:10" ht="152" x14ac:dyDescent="0.2">
      <c r="A791" s="87" t="s">
        <v>188</v>
      </c>
      <c r="B791" s="37">
        <v>2025</v>
      </c>
      <c r="C791" s="38" t="s">
        <v>2500</v>
      </c>
      <c r="D791" s="38" t="s">
        <v>2501</v>
      </c>
      <c r="E791" s="38" t="s">
        <v>2443</v>
      </c>
      <c r="F791" s="38" t="s">
        <v>2444</v>
      </c>
      <c r="G791" s="37" t="s">
        <v>1788</v>
      </c>
      <c r="H791" s="38" t="s">
        <v>2502</v>
      </c>
      <c r="I791" s="37" t="s">
        <v>451</v>
      </c>
      <c r="J791" s="38" t="s">
        <v>2445</v>
      </c>
    </row>
    <row r="792" spans="1:10" ht="171" x14ac:dyDescent="0.2">
      <c r="A792" s="87" t="s">
        <v>198</v>
      </c>
      <c r="B792" s="37">
        <v>2026</v>
      </c>
      <c r="C792" s="38" t="s">
        <v>2503</v>
      </c>
      <c r="D792" s="38" t="s">
        <v>2504</v>
      </c>
      <c r="E792" s="38" t="s">
        <v>2443</v>
      </c>
      <c r="F792" s="38" t="s">
        <v>2444</v>
      </c>
      <c r="G792" s="37" t="s">
        <v>1788</v>
      </c>
      <c r="H792" s="38" t="s">
        <v>1831</v>
      </c>
      <c r="I792" s="37" t="s">
        <v>451</v>
      </c>
      <c r="J792" s="38" t="s">
        <v>2445</v>
      </c>
    </row>
    <row r="793" spans="1:10" ht="171" x14ac:dyDescent="0.2">
      <c r="A793" s="87" t="s">
        <v>198</v>
      </c>
      <c r="B793" s="37">
        <v>2026</v>
      </c>
      <c r="C793" s="38" t="s">
        <v>2505</v>
      </c>
      <c r="D793" s="38" t="s">
        <v>2506</v>
      </c>
      <c r="E793" s="38" t="s">
        <v>2443</v>
      </c>
      <c r="F793" s="38" t="s">
        <v>2444</v>
      </c>
      <c r="G793" s="37" t="s">
        <v>1788</v>
      </c>
      <c r="H793" s="38" t="s">
        <v>2079</v>
      </c>
      <c r="I793" s="37" t="s">
        <v>451</v>
      </c>
      <c r="J793" s="38" t="s">
        <v>2445</v>
      </c>
    </row>
    <row r="794" spans="1:10" ht="190" x14ac:dyDescent="0.2">
      <c r="A794" s="87" t="s">
        <v>208</v>
      </c>
      <c r="B794" s="37">
        <v>2026</v>
      </c>
      <c r="C794" s="38" t="s">
        <v>2507</v>
      </c>
      <c r="D794" s="38" t="s">
        <v>2508</v>
      </c>
      <c r="E794" s="38" t="s">
        <v>2443</v>
      </c>
      <c r="F794" s="38" t="s">
        <v>2444</v>
      </c>
      <c r="G794" s="37" t="s">
        <v>1788</v>
      </c>
      <c r="H794" s="38" t="s">
        <v>2509</v>
      </c>
      <c r="I794" s="37" t="s">
        <v>451</v>
      </c>
      <c r="J794" s="38" t="s">
        <v>2445</v>
      </c>
    </row>
    <row r="795" spans="1:10" ht="228" x14ac:dyDescent="0.2">
      <c r="A795" s="87" t="s">
        <v>208</v>
      </c>
      <c r="B795" s="37">
        <v>2026</v>
      </c>
      <c r="C795" s="38" t="s">
        <v>2510</v>
      </c>
      <c r="D795" s="38" t="s">
        <v>2511</v>
      </c>
      <c r="E795" s="38" t="s">
        <v>2443</v>
      </c>
      <c r="F795" s="38" t="s">
        <v>2444</v>
      </c>
      <c r="G795" s="37" t="s">
        <v>1788</v>
      </c>
      <c r="H795" s="38" t="s">
        <v>2512</v>
      </c>
      <c r="I795" s="37" t="s">
        <v>451</v>
      </c>
      <c r="J795" s="38" t="s">
        <v>2445</v>
      </c>
    </row>
    <row r="796" spans="1:10" ht="95" x14ac:dyDescent="0.2">
      <c r="A796" s="87" t="s">
        <v>218</v>
      </c>
      <c r="B796" s="37">
        <v>2026</v>
      </c>
      <c r="C796" s="38" t="s">
        <v>2513</v>
      </c>
      <c r="D796" s="38" t="s">
        <v>2514</v>
      </c>
      <c r="E796" s="38" t="s">
        <v>2443</v>
      </c>
      <c r="F796" s="38" t="s">
        <v>2444</v>
      </c>
      <c r="G796" s="37" t="s">
        <v>1788</v>
      </c>
      <c r="H796" s="38" t="s">
        <v>951</v>
      </c>
      <c r="I796" s="37" t="s">
        <v>451</v>
      </c>
      <c r="J796" s="38" t="s">
        <v>2445</v>
      </c>
    </row>
    <row r="797" spans="1:10" ht="76" x14ac:dyDescent="0.2">
      <c r="A797" s="87" t="s">
        <v>218</v>
      </c>
      <c r="B797" s="37">
        <v>2026</v>
      </c>
      <c r="C797" s="38" t="s">
        <v>2515</v>
      </c>
      <c r="D797" s="38" t="s">
        <v>2516</v>
      </c>
      <c r="E797" s="38" t="s">
        <v>2443</v>
      </c>
      <c r="F797" s="38" t="s">
        <v>2444</v>
      </c>
      <c r="G797" s="37" t="s">
        <v>1788</v>
      </c>
      <c r="H797" s="38" t="s">
        <v>951</v>
      </c>
      <c r="I797" s="37" t="s">
        <v>451</v>
      </c>
      <c r="J797" s="38" t="s">
        <v>2445</v>
      </c>
    </row>
    <row r="798" spans="1:10" ht="133" x14ac:dyDescent="0.2">
      <c r="A798" s="87" t="s">
        <v>227</v>
      </c>
      <c r="B798" s="37">
        <v>2026</v>
      </c>
      <c r="C798" s="38" t="s">
        <v>2517</v>
      </c>
      <c r="D798" s="38" t="s">
        <v>2518</v>
      </c>
      <c r="E798" s="38" t="s">
        <v>2443</v>
      </c>
      <c r="F798" s="38" t="s">
        <v>2444</v>
      </c>
      <c r="G798" s="37" t="s">
        <v>1788</v>
      </c>
      <c r="H798" s="38" t="s">
        <v>651</v>
      </c>
      <c r="I798" s="37" t="s">
        <v>451</v>
      </c>
      <c r="J798" s="38" t="s">
        <v>2445</v>
      </c>
    </row>
    <row r="799" spans="1:10" ht="114" x14ac:dyDescent="0.2">
      <c r="A799" s="87" t="s">
        <v>227</v>
      </c>
      <c r="B799" s="37">
        <v>2026</v>
      </c>
      <c r="C799" s="38" t="s">
        <v>2519</v>
      </c>
      <c r="D799" s="38" t="s">
        <v>2520</v>
      </c>
      <c r="E799" s="38" t="s">
        <v>2443</v>
      </c>
      <c r="F799" s="38" t="s">
        <v>2444</v>
      </c>
      <c r="G799" s="37" t="s">
        <v>1788</v>
      </c>
      <c r="H799" s="38" t="s">
        <v>2521</v>
      </c>
      <c r="I799" s="37" t="s">
        <v>451</v>
      </c>
      <c r="J799" s="38" t="s">
        <v>2445</v>
      </c>
    </row>
    <row r="800" spans="1:10" ht="95" x14ac:dyDescent="0.2">
      <c r="A800" s="87" t="s">
        <v>237</v>
      </c>
      <c r="B800" s="37">
        <v>2025</v>
      </c>
      <c r="C800" s="38" t="s">
        <v>2522</v>
      </c>
      <c r="D800" s="38" t="s">
        <v>2523</v>
      </c>
      <c r="E800" s="38" t="s">
        <v>2443</v>
      </c>
      <c r="F800" s="38" t="s">
        <v>2444</v>
      </c>
      <c r="G800" s="37" t="s">
        <v>1788</v>
      </c>
      <c r="H800" s="38" t="s">
        <v>546</v>
      </c>
      <c r="I800" s="37" t="s">
        <v>451</v>
      </c>
      <c r="J800" s="38" t="s">
        <v>2445</v>
      </c>
    </row>
    <row r="801" spans="1:10" ht="190" x14ac:dyDescent="0.2">
      <c r="A801" s="87" t="s">
        <v>237</v>
      </c>
      <c r="B801" s="37">
        <v>2025</v>
      </c>
      <c r="C801" s="38" t="s">
        <v>2524</v>
      </c>
      <c r="D801" s="38" t="s">
        <v>2525</v>
      </c>
      <c r="E801" s="38" t="s">
        <v>2443</v>
      </c>
      <c r="F801" s="38" t="s">
        <v>2444</v>
      </c>
      <c r="G801" s="37" t="s">
        <v>1783</v>
      </c>
      <c r="H801" s="38" t="s">
        <v>2526</v>
      </c>
      <c r="I801" s="37" t="s">
        <v>659</v>
      </c>
      <c r="J801" s="38" t="s">
        <v>2445</v>
      </c>
    </row>
    <row r="802" spans="1:10" ht="57" x14ac:dyDescent="0.2">
      <c r="A802" s="87" t="s">
        <v>247</v>
      </c>
      <c r="B802" s="37">
        <v>2026</v>
      </c>
      <c r="C802" s="38" t="s">
        <v>2527</v>
      </c>
      <c r="D802" s="38" t="s">
        <v>2528</v>
      </c>
      <c r="E802" s="38" t="s">
        <v>2443</v>
      </c>
      <c r="F802" s="38" t="s">
        <v>2444</v>
      </c>
      <c r="G802" s="37" t="s">
        <v>1788</v>
      </c>
      <c r="H802" s="38" t="s">
        <v>2529</v>
      </c>
      <c r="I802" s="37" t="s">
        <v>451</v>
      </c>
      <c r="J802" s="38" t="s">
        <v>2445</v>
      </c>
    </row>
    <row r="803" spans="1:10" ht="95" x14ac:dyDescent="0.2">
      <c r="A803" s="87" t="s">
        <v>247</v>
      </c>
      <c r="B803" s="37">
        <v>2026</v>
      </c>
      <c r="C803" s="38" t="s">
        <v>2530</v>
      </c>
      <c r="D803" s="38" t="s">
        <v>2531</v>
      </c>
      <c r="E803" s="38" t="s">
        <v>2443</v>
      </c>
      <c r="F803" s="38" t="s">
        <v>2444</v>
      </c>
      <c r="G803" s="37" t="s">
        <v>1788</v>
      </c>
      <c r="H803" s="38" t="s">
        <v>598</v>
      </c>
      <c r="I803" s="37" t="s">
        <v>451</v>
      </c>
      <c r="J803" s="38" t="s">
        <v>2445</v>
      </c>
    </row>
    <row r="804" spans="1:10" ht="95" x14ac:dyDescent="0.2">
      <c r="A804" s="87" t="s">
        <v>257</v>
      </c>
      <c r="B804" s="37">
        <v>2025</v>
      </c>
      <c r="C804" s="38" t="s">
        <v>2532</v>
      </c>
      <c r="D804" s="38" t="s">
        <v>2533</v>
      </c>
      <c r="E804" s="38" t="s">
        <v>2443</v>
      </c>
      <c r="F804" s="38" t="s">
        <v>2444</v>
      </c>
      <c r="G804" s="37" t="s">
        <v>1788</v>
      </c>
      <c r="H804" s="38" t="s">
        <v>951</v>
      </c>
      <c r="I804" s="37" t="s">
        <v>451</v>
      </c>
      <c r="J804" s="38" t="s">
        <v>2445</v>
      </c>
    </row>
    <row r="805" spans="1:10" ht="76" x14ac:dyDescent="0.2">
      <c r="A805" s="87" t="s">
        <v>257</v>
      </c>
      <c r="B805" s="37">
        <v>2025</v>
      </c>
      <c r="C805" s="38" t="s">
        <v>2534</v>
      </c>
      <c r="D805" s="38" t="s">
        <v>2535</v>
      </c>
      <c r="E805" s="38" t="s">
        <v>2443</v>
      </c>
      <c r="F805" s="38" t="s">
        <v>2444</v>
      </c>
      <c r="G805" s="37" t="s">
        <v>1788</v>
      </c>
      <c r="H805" s="38" t="s">
        <v>2536</v>
      </c>
      <c r="I805" s="37" t="s">
        <v>451</v>
      </c>
      <c r="J805" s="38" t="s">
        <v>2445</v>
      </c>
    </row>
  </sheetData>
  <autoFilter ref="A1:J805"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5"/>
  <sheetViews>
    <sheetView zoomScale="70" zoomScaleNormal="70" workbookViewId="0">
      <selection activeCell="E19" sqref="E19"/>
    </sheetView>
  </sheetViews>
  <sheetFormatPr baseColWidth="10" defaultColWidth="8.6640625" defaultRowHeight="15" x14ac:dyDescent="0.2"/>
  <cols>
    <col min="1" max="1" width="44" customWidth="1"/>
    <col min="2" max="2" width="50" customWidth="1"/>
    <col min="3" max="3" width="23.6640625" customWidth="1"/>
    <col min="4" max="4" width="17.5" customWidth="1"/>
    <col min="5" max="5" width="21" customWidth="1"/>
    <col min="6" max="6" width="24.5" customWidth="1"/>
    <col min="7" max="7" width="27.1640625" customWidth="1"/>
    <col min="8" max="8" width="30" customWidth="1"/>
    <col min="9" max="9" width="9" customWidth="1"/>
    <col min="10" max="10" width="17.6640625" customWidth="1"/>
    <col min="11" max="11" width="18.1640625" customWidth="1"/>
    <col min="12" max="12" width="16.33203125" customWidth="1"/>
    <col min="13" max="13" width="18.6640625" customWidth="1"/>
    <col min="14" max="14" width="16.6640625" customWidth="1"/>
    <col min="15" max="15" width="15.6640625" customWidth="1"/>
    <col min="16" max="16" width="10" customWidth="1"/>
  </cols>
  <sheetData>
    <row r="1" spans="1:16" s="49" customFormat="1" ht="64.25" customHeight="1" x14ac:dyDescent="0.2">
      <c r="A1" s="50" t="s">
        <v>2537</v>
      </c>
      <c r="B1" s="50" t="s">
        <v>2538</v>
      </c>
      <c r="C1" s="50" t="s">
        <v>2539</v>
      </c>
      <c r="D1" s="50" t="s">
        <v>451</v>
      </c>
      <c r="E1" s="50" t="s">
        <v>2540</v>
      </c>
      <c r="F1" s="50" t="s">
        <v>443</v>
      </c>
      <c r="G1" s="50" t="s">
        <v>2541</v>
      </c>
      <c r="H1" s="50" t="s">
        <v>2542</v>
      </c>
      <c r="I1" s="51" t="s">
        <v>429</v>
      </c>
      <c r="J1" s="50" t="s">
        <v>2543</v>
      </c>
      <c r="K1" s="50" t="s">
        <v>2544</v>
      </c>
      <c r="L1" s="50" t="s">
        <v>2545</v>
      </c>
      <c r="M1" s="50" t="s">
        <v>2546</v>
      </c>
      <c r="N1" s="50" t="s">
        <v>2547</v>
      </c>
      <c r="O1" s="50" t="s">
        <v>2548</v>
      </c>
      <c r="P1" s="50" t="s">
        <v>2549</v>
      </c>
    </row>
    <row r="2" spans="1:16" ht="252" x14ac:dyDescent="0.2">
      <c r="A2" s="45" t="s">
        <v>2550</v>
      </c>
      <c r="B2" s="46" t="s">
        <v>2551</v>
      </c>
      <c r="C2" s="47">
        <f>COUNTIFS(Thematic_Map!$F$2:$F$805,LEFT($A2,2)&amp;"*",Thematic_Map!$I$2:$I$805,"&lt;&gt;")</f>
        <v>218</v>
      </c>
      <c r="D2" s="47">
        <f>COUNTIFS(Thematic_Map!$F$2:$F$805,LEFT($A2,2)&amp;"*",Thematic_Map!$I$2:$I$805,"Evidenced")</f>
        <v>167</v>
      </c>
      <c r="E2" s="47">
        <f>COUNTIFS(Thematic_Map!$F$2:$F$805,LEFT($A2,2)&amp;"*",Thematic_Map!$I$2:$I$805,"Coded silence")</f>
        <v>7</v>
      </c>
      <c r="F2" s="47">
        <f>COUNTIFS(Thematic_Map!$F$2:$F$805,LEFT($A2,2)&amp;"*",Thematic_Map!$I$2:$I$805,"Related activity")</f>
        <v>44</v>
      </c>
      <c r="G2" s="47">
        <f>SUMPRODUCT((COUNTIFS(Thematic_Map!$A$2:$A$805,$I$2:$I$24,Thematic_Map!$F$2:$F$805,LEFT($A2,2)&amp;"*",Thematic_Map!$I$2:$I$805,"Evidenced")&gt;0)*1)</f>
        <v>23</v>
      </c>
      <c r="H2" s="47">
        <v>20</v>
      </c>
      <c r="I2" s="47" t="s">
        <v>44</v>
      </c>
      <c r="J2" s="47">
        <f>COUNTIFS(Thematic_Map!$A$2:$A$805,$I2,Thematic_Map!$F$2:$F$805,"T1*",Thematic_Map!$I$2:$I$805,"&lt;&gt;")</f>
        <v>11</v>
      </c>
      <c r="K2" s="47">
        <f>COUNTIFS(Thematic_Map!$A$2:$A$805,$I2,Thematic_Map!$F$2:$F$805,"T2*",Thematic_Map!$I$2:$I$805,"&lt;&gt;")</f>
        <v>7</v>
      </c>
      <c r="L2" s="47">
        <f>COUNTIFS(Thematic_Map!$A$2:$A$805,$I2,Thematic_Map!$F$2:$F$805,"T3*",Thematic_Map!$I$2:$I$805,"&lt;&gt;")</f>
        <v>5</v>
      </c>
      <c r="M2" s="47">
        <f>COUNTIFS(Thematic_Map!$A$2:$A$805,$I2,Thematic_Map!$F$2:$F$805,"T4*",Thematic_Map!$I$2:$I$805,"&lt;&gt;")</f>
        <v>6</v>
      </c>
      <c r="N2" s="47">
        <f>COUNTIFS(Thematic_Map!$A$2:$A$805,$I2,Thematic_Map!$F$2:$F$805,"T5*",Thematic_Map!$I$2:$I$805,"&lt;&gt;")</f>
        <v>6</v>
      </c>
      <c r="O2" s="47">
        <f>COUNTIFS(Thematic_Map!$A$2:$A$805,$I2,Thematic_Map!$F$2:$F$805,"T6*",Thematic_Map!$I$2:$I$805,"&lt;&gt;")</f>
        <v>2</v>
      </c>
      <c r="P2" s="47">
        <f t="shared" ref="P2:P24" si="0">SUM(J2:O2)</f>
        <v>37</v>
      </c>
    </row>
    <row r="3" spans="1:16" ht="147" x14ac:dyDescent="0.2">
      <c r="A3" s="45" t="s">
        <v>2552</v>
      </c>
      <c r="B3" s="46" t="s">
        <v>2553</v>
      </c>
      <c r="C3" s="47">
        <f>COUNTIFS(Thematic_Map!$F$2:$F$805,LEFT($A3,2)&amp;"*",Thematic_Map!$I$2:$I$805,"&lt;&gt;")</f>
        <v>129</v>
      </c>
      <c r="D3" s="47">
        <f>COUNTIFS(Thematic_Map!$F$2:$F$805,LEFT($A3,2)&amp;"*",Thematic_Map!$I$2:$I$805,"Evidenced")</f>
        <v>96</v>
      </c>
      <c r="E3" s="47">
        <f>COUNTIFS(Thematic_Map!$F$2:$F$805,LEFT($A3,2)&amp;"*",Thematic_Map!$I$2:$I$805,"Coded silence")</f>
        <v>32</v>
      </c>
      <c r="F3" s="47">
        <f>COUNTIFS(Thematic_Map!$F$2:$F$805,LEFT($A3,2)&amp;"*",Thematic_Map!$I$2:$I$805,"Related activity")</f>
        <v>1</v>
      </c>
      <c r="G3" s="47">
        <f>SUMPRODUCT((COUNTIFS(Thematic_Map!$A$2:$A$805,$I$2:$I$24,Thematic_Map!$F$2:$F$805,LEFT($A3,2)&amp;"*",Thematic_Map!$I$2:$I$805,"Evidenced")&gt;0)*1)</f>
        <v>23</v>
      </c>
      <c r="H3" s="47">
        <v>20</v>
      </c>
      <c r="I3" s="47" t="s">
        <v>54</v>
      </c>
      <c r="J3" s="47">
        <f>COUNTIFS(Thematic_Map!$A$2:$A$805,$I3,Thematic_Map!$F$2:$F$805,"T1*",Thematic_Map!$I$2:$I$805,"&lt;&gt;")</f>
        <v>9</v>
      </c>
      <c r="K3" s="47">
        <f>COUNTIFS(Thematic_Map!$A$2:$A$805,$I3,Thematic_Map!$F$2:$F$805,"T2*",Thematic_Map!$I$2:$I$805,"&lt;&gt;")</f>
        <v>5</v>
      </c>
      <c r="L3" s="47">
        <f>COUNTIFS(Thematic_Map!$A$2:$A$805,$I3,Thematic_Map!$F$2:$F$805,"T3*",Thematic_Map!$I$2:$I$805,"&lt;&gt;")</f>
        <v>7</v>
      </c>
      <c r="M3" s="47">
        <f>COUNTIFS(Thematic_Map!$A$2:$A$805,$I3,Thematic_Map!$F$2:$F$805,"T4*",Thematic_Map!$I$2:$I$805,"&lt;&gt;")</f>
        <v>5</v>
      </c>
      <c r="N3" s="47">
        <f>COUNTIFS(Thematic_Map!$A$2:$A$805,$I3,Thematic_Map!$F$2:$F$805,"T5*",Thematic_Map!$I$2:$I$805,"&lt;&gt;")</f>
        <v>5</v>
      </c>
      <c r="O3" s="47">
        <f>COUNTIFS(Thematic_Map!$A$2:$A$805,$I3,Thematic_Map!$F$2:$F$805,"T6*",Thematic_Map!$I$2:$I$805,"&lt;&gt;")</f>
        <v>1</v>
      </c>
      <c r="P3" s="47">
        <f t="shared" si="0"/>
        <v>32</v>
      </c>
    </row>
    <row r="4" spans="1:16" ht="147" x14ac:dyDescent="0.2">
      <c r="A4" s="45" t="s">
        <v>2554</v>
      </c>
      <c r="B4" s="46" t="s">
        <v>2555</v>
      </c>
      <c r="C4" s="47">
        <f>COUNTIFS(Thematic_Map!$F$2:$F$805,LEFT($A4,2)&amp;"*",Thematic_Map!$I$2:$I$805,"&lt;&gt;")</f>
        <v>137</v>
      </c>
      <c r="D4" s="47">
        <f>COUNTIFS(Thematic_Map!$F$2:$F$805,LEFT($A4,2)&amp;"*",Thematic_Map!$I$2:$I$805,"Evidenced")</f>
        <v>105</v>
      </c>
      <c r="E4" s="47">
        <f>COUNTIFS(Thematic_Map!$F$2:$F$805,LEFT($A4,2)&amp;"*",Thematic_Map!$I$2:$I$805,"Coded silence")</f>
        <v>30</v>
      </c>
      <c r="F4" s="47">
        <f>COUNTIFS(Thematic_Map!$F$2:$F$805,LEFT($A4,2)&amp;"*",Thematic_Map!$I$2:$I$805,"Related activity")</f>
        <v>2</v>
      </c>
      <c r="G4" s="47">
        <f>SUMPRODUCT((COUNTIFS(Thematic_Map!$A$2:$A$805,$I$2:$I$24,Thematic_Map!$F$2:$F$805,LEFT($A4,2)&amp;"*",Thematic_Map!$I$2:$I$805,"Evidenced")&gt;0)*1)</f>
        <v>22</v>
      </c>
      <c r="H4" s="47">
        <v>20</v>
      </c>
      <c r="I4" s="47" t="s">
        <v>63</v>
      </c>
      <c r="J4" s="47">
        <f>COUNTIFS(Thematic_Map!$A$2:$A$805,$I4,Thematic_Map!$F$2:$F$805,"T1*",Thematic_Map!$I$2:$I$805,"&lt;&gt;")</f>
        <v>8</v>
      </c>
      <c r="K4" s="47">
        <f>COUNTIFS(Thematic_Map!$A$2:$A$805,$I4,Thematic_Map!$F$2:$F$805,"T2*",Thematic_Map!$I$2:$I$805,"&lt;&gt;")</f>
        <v>4</v>
      </c>
      <c r="L4" s="47">
        <f>COUNTIFS(Thematic_Map!$A$2:$A$805,$I4,Thematic_Map!$F$2:$F$805,"T3*",Thematic_Map!$I$2:$I$805,"&lt;&gt;")</f>
        <v>6</v>
      </c>
      <c r="M4" s="47">
        <f>COUNTIFS(Thematic_Map!$A$2:$A$805,$I4,Thematic_Map!$F$2:$F$805,"T4*",Thematic_Map!$I$2:$I$805,"&lt;&gt;")</f>
        <v>6</v>
      </c>
      <c r="N4" s="47">
        <f>COUNTIFS(Thematic_Map!$A$2:$A$805,$I4,Thematic_Map!$F$2:$F$805,"T5*",Thematic_Map!$I$2:$I$805,"&lt;&gt;")</f>
        <v>4</v>
      </c>
      <c r="O4" s="47">
        <f>COUNTIFS(Thematic_Map!$A$2:$A$805,$I4,Thematic_Map!$F$2:$F$805,"T6*",Thematic_Map!$I$2:$I$805,"&lt;&gt;")</f>
        <v>1</v>
      </c>
      <c r="P4" s="47">
        <f t="shared" si="0"/>
        <v>29</v>
      </c>
    </row>
    <row r="5" spans="1:16" ht="252" x14ac:dyDescent="0.2">
      <c r="A5" s="45" t="s">
        <v>2556</v>
      </c>
      <c r="B5" s="46" t="s">
        <v>2557</v>
      </c>
      <c r="C5" s="47">
        <f>COUNTIFS(Thematic_Map!$F$2:$F$805,LEFT($A5,2)&amp;"*",Thematic_Map!$I$2:$I$805,"&lt;&gt;")</f>
        <v>170</v>
      </c>
      <c r="D5" s="47">
        <f>COUNTIFS(Thematic_Map!$F$2:$F$805,LEFT($A5,2)&amp;"*",Thematic_Map!$I$2:$I$805,"Evidenced")</f>
        <v>122</v>
      </c>
      <c r="E5" s="47">
        <f>COUNTIFS(Thematic_Map!$F$2:$F$805,LEFT($A5,2)&amp;"*",Thematic_Map!$I$2:$I$805,"Coded silence")</f>
        <v>45</v>
      </c>
      <c r="F5" s="47">
        <f>COUNTIFS(Thematic_Map!$F$2:$F$805,LEFT($A5,2)&amp;"*",Thematic_Map!$I$2:$I$805,"Related activity")</f>
        <v>3</v>
      </c>
      <c r="G5" s="47">
        <f>SUMPRODUCT((COUNTIFS(Thematic_Map!$A$2:$A$805,$I$2:$I$24,Thematic_Map!$F$2:$F$805,LEFT($A5,2)&amp;"*",Thematic_Map!$I$2:$I$805,"Evidenced")&gt;0)*1)</f>
        <v>22</v>
      </c>
      <c r="H5" s="47">
        <v>19</v>
      </c>
      <c r="I5" s="47" t="s">
        <v>73</v>
      </c>
      <c r="J5" s="47">
        <f>COUNTIFS(Thematic_Map!$A$2:$A$805,$I5,Thematic_Map!$F$2:$F$805,"T1*",Thematic_Map!$I$2:$I$805,"&lt;&gt;")</f>
        <v>7</v>
      </c>
      <c r="K5" s="47">
        <f>COUNTIFS(Thematic_Map!$A$2:$A$805,$I5,Thematic_Map!$F$2:$F$805,"T2*",Thematic_Map!$I$2:$I$805,"&lt;&gt;")</f>
        <v>7</v>
      </c>
      <c r="L5" s="47">
        <f>COUNTIFS(Thematic_Map!$A$2:$A$805,$I5,Thematic_Map!$F$2:$F$805,"T3*",Thematic_Map!$I$2:$I$805,"&lt;&gt;")</f>
        <v>9</v>
      </c>
      <c r="M5" s="47">
        <f>COUNTIFS(Thematic_Map!$A$2:$A$805,$I5,Thematic_Map!$F$2:$F$805,"T4*",Thematic_Map!$I$2:$I$805,"&lt;&gt;")</f>
        <v>6</v>
      </c>
      <c r="N5" s="47">
        <f>COUNTIFS(Thematic_Map!$A$2:$A$805,$I5,Thematic_Map!$F$2:$F$805,"T5*",Thematic_Map!$I$2:$I$805,"&lt;&gt;")</f>
        <v>3</v>
      </c>
      <c r="O5" s="47">
        <f>COUNTIFS(Thematic_Map!$A$2:$A$805,$I5,Thematic_Map!$F$2:$F$805,"T6*",Thematic_Map!$I$2:$I$805,"&lt;&gt;")</f>
        <v>2</v>
      </c>
      <c r="P5" s="47">
        <f t="shared" si="0"/>
        <v>34</v>
      </c>
    </row>
    <row r="6" spans="1:16" ht="84" x14ac:dyDescent="0.2">
      <c r="A6" s="45" t="s">
        <v>2558</v>
      </c>
      <c r="B6" s="46" t="s">
        <v>2559</v>
      </c>
      <c r="C6" s="47">
        <f>COUNTIFS(Thematic_Map!$F$2:$F$805,LEFT($A6,2)&amp;"*",Thematic_Map!$I$2:$I$805,"&lt;&gt;")</f>
        <v>94</v>
      </c>
      <c r="D6" s="47">
        <f>COUNTIFS(Thematic_Map!$F$2:$F$805,LEFT($A6,2)&amp;"*",Thematic_Map!$I$2:$I$805,"Evidenced")</f>
        <v>86</v>
      </c>
      <c r="E6" s="47">
        <f>COUNTIFS(Thematic_Map!$F$2:$F$805,LEFT($A6,2)&amp;"*",Thematic_Map!$I$2:$I$805,"Coded silence")</f>
        <v>8</v>
      </c>
      <c r="F6" s="47">
        <f>COUNTIFS(Thematic_Map!$F$2:$F$805,LEFT($A6,2)&amp;"*",Thematic_Map!$I$2:$I$805,"Related activity")</f>
        <v>0</v>
      </c>
      <c r="G6" s="47">
        <f>SUMPRODUCT((COUNTIFS(Thematic_Map!$A$2:$A$805,$I$2:$I$24,Thematic_Map!$F$2:$F$805,LEFT($A6,2)&amp;"*",Thematic_Map!$I$2:$I$805,"Evidenced")&gt;0)*1)</f>
        <v>23</v>
      </c>
      <c r="H6" s="47">
        <v>20</v>
      </c>
      <c r="I6" s="47" t="s">
        <v>83</v>
      </c>
      <c r="J6" s="47">
        <f>COUNTIFS(Thematic_Map!$A$2:$A$805,$I6,Thematic_Map!$F$2:$F$805,"T1*",Thematic_Map!$I$2:$I$805,"&lt;&gt;")</f>
        <v>9</v>
      </c>
      <c r="K6" s="47">
        <f>COUNTIFS(Thematic_Map!$A$2:$A$805,$I6,Thematic_Map!$F$2:$F$805,"T2*",Thematic_Map!$I$2:$I$805,"&lt;&gt;")</f>
        <v>4</v>
      </c>
      <c r="L6" s="47">
        <f>COUNTIFS(Thematic_Map!$A$2:$A$805,$I6,Thematic_Map!$F$2:$F$805,"T3*",Thematic_Map!$I$2:$I$805,"&lt;&gt;")</f>
        <v>8</v>
      </c>
      <c r="M6" s="47">
        <f>COUNTIFS(Thematic_Map!$A$2:$A$805,$I6,Thematic_Map!$F$2:$F$805,"T4*",Thematic_Map!$I$2:$I$805,"&lt;&gt;")</f>
        <v>6</v>
      </c>
      <c r="N6" s="47">
        <f>COUNTIFS(Thematic_Map!$A$2:$A$805,$I6,Thematic_Map!$F$2:$F$805,"T5*",Thematic_Map!$I$2:$I$805,"&lt;&gt;")</f>
        <v>7</v>
      </c>
      <c r="O6" s="47">
        <f>COUNTIFS(Thematic_Map!$A$2:$A$805,$I6,Thematic_Map!$F$2:$F$805,"T6*",Thematic_Map!$I$2:$I$805,"&lt;&gt;")</f>
        <v>2</v>
      </c>
      <c r="P6" s="47">
        <f t="shared" si="0"/>
        <v>36</v>
      </c>
    </row>
    <row r="7" spans="1:16" ht="42" x14ac:dyDescent="0.2">
      <c r="A7" s="45" t="s">
        <v>2560</v>
      </c>
      <c r="B7" s="46" t="s">
        <v>2561</v>
      </c>
      <c r="C7" s="47">
        <f>COUNTIFS(Thematic_Map!$F$2:$F$805,LEFT($A7,2)&amp;"*",Thematic_Map!$I$2:$I$805,"&lt;&gt;")</f>
        <v>39</v>
      </c>
      <c r="D7" s="47">
        <f>COUNTIFS(Thematic_Map!$F$2:$F$805,LEFT($A7,2)&amp;"*",Thematic_Map!$I$2:$I$805,"Evidenced")</f>
        <v>37</v>
      </c>
      <c r="E7" s="47">
        <f>COUNTIFS(Thematic_Map!$F$2:$F$805,LEFT($A7,2)&amp;"*",Thematic_Map!$I$2:$I$805,"Coded silence")</f>
        <v>2</v>
      </c>
      <c r="F7" s="47">
        <f>COUNTIFS(Thematic_Map!$F$2:$F$805,LEFT($A7,2)&amp;"*",Thematic_Map!$I$2:$I$805,"Related activity")</f>
        <v>0</v>
      </c>
      <c r="G7" s="47">
        <f>SUMPRODUCT((COUNTIFS(Thematic_Map!$A$2:$A$805,$I$2:$I$24,Thematic_Map!$F$2:$F$805,LEFT($A7,2)&amp;"*",Thematic_Map!$I$2:$I$805,"Evidenced")&gt;0)*1)</f>
        <v>22</v>
      </c>
      <c r="H7" s="47">
        <v>19</v>
      </c>
      <c r="I7" s="47" t="s">
        <v>93</v>
      </c>
      <c r="J7" s="47">
        <f>COUNTIFS(Thematic_Map!$A$2:$A$805,$I7,Thematic_Map!$F$2:$F$805,"T1*",Thematic_Map!$I$2:$I$805,"&lt;&gt;")</f>
        <v>8</v>
      </c>
      <c r="K7" s="47">
        <f>COUNTIFS(Thematic_Map!$A$2:$A$805,$I7,Thematic_Map!$F$2:$F$805,"T2*",Thematic_Map!$I$2:$I$805,"&lt;&gt;")</f>
        <v>3</v>
      </c>
      <c r="L7" s="47">
        <f>COUNTIFS(Thematic_Map!$A$2:$A$805,$I7,Thematic_Map!$F$2:$F$805,"T3*",Thematic_Map!$I$2:$I$805,"&lt;&gt;")</f>
        <v>6</v>
      </c>
      <c r="M7" s="47">
        <f>COUNTIFS(Thematic_Map!$A$2:$A$805,$I7,Thematic_Map!$F$2:$F$805,"T4*",Thematic_Map!$I$2:$I$805,"&lt;&gt;")</f>
        <v>6</v>
      </c>
      <c r="N7" s="47">
        <f>COUNTIFS(Thematic_Map!$A$2:$A$805,$I7,Thematic_Map!$F$2:$F$805,"T5*",Thematic_Map!$I$2:$I$805,"&lt;&gt;")</f>
        <v>3</v>
      </c>
      <c r="O7" s="47">
        <f>COUNTIFS(Thematic_Map!$A$2:$A$805,$I7,Thematic_Map!$F$2:$F$805,"T6*",Thematic_Map!$I$2:$I$805,"&lt;&gt;")</f>
        <v>2</v>
      </c>
      <c r="P7" s="47">
        <f t="shared" si="0"/>
        <v>28</v>
      </c>
    </row>
    <row r="8" spans="1:16" ht="20" x14ac:dyDescent="0.2">
      <c r="A8" s="48"/>
      <c r="B8" s="48"/>
      <c r="C8" s="48"/>
      <c r="D8" s="48"/>
      <c r="E8" s="48"/>
      <c r="F8" s="48"/>
      <c r="G8" s="48"/>
      <c r="H8" s="48"/>
      <c r="I8" s="47" t="s">
        <v>103</v>
      </c>
      <c r="J8" s="47">
        <f>COUNTIFS(Thematic_Map!$A$2:$A$805,$I8,Thematic_Map!$F$2:$F$805,"T1*",Thematic_Map!$I$2:$I$805,"&lt;&gt;")</f>
        <v>8</v>
      </c>
      <c r="K8" s="47">
        <f>COUNTIFS(Thematic_Map!$A$2:$A$805,$I8,Thematic_Map!$F$2:$F$805,"T2*",Thematic_Map!$I$2:$I$805,"&lt;&gt;")</f>
        <v>4</v>
      </c>
      <c r="L8" s="47">
        <f>COUNTIFS(Thematic_Map!$A$2:$A$805,$I8,Thematic_Map!$F$2:$F$805,"T3*",Thematic_Map!$I$2:$I$805,"&lt;&gt;")</f>
        <v>4</v>
      </c>
      <c r="M8" s="47">
        <f>COUNTIFS(Thematic_Map!$A$2:$A$805,$I8,Thematic_Map!$F$2:$F$805,"T4*",Thematic_Map!$I$2:$I$805,"&lt;&gt;")</f>
        <v>5</v>
      </c>
      <c r="N8" s="47">
        <f>COUNTIFS(Thematic_Map!$A$2:$A$805,$I8,Thematic_Map!$F$2:$F$805,"T5*",Thematic_Map!$I$2:$I$805,"&lt;&gt;")</f>
        <v>3</v>
      </c>
      <c r="O8" s="47">
        <f>COUNTIFS(Thematic_Map!$A$2:$A$805,$I8,Thematic_Map!$F$2:$F$805,"T6*",Thematic_Map!$I$2:$I$805,"&lt;&gt;")</f>
        <v>2</v>
      </c>
      <c r="P8" s="47">
        <f t="shared" si="0"/>
        <v>26</v>
      </c>
    </row>
    <row r="9" spans="1:16" ht="20" x14ac:dyDescent="0.2">
      <c r="A9" s="48"/>
      <c r="B9" s="48"/>
      <c r="C9" s="48"/>
      <c r="D9" s="48"/>
      <c r="E9" s="48"/>
      <c r="F9" s="48"/>
      <c r="G9" s="48"/>
      <c r="H9" s="48"/>
      <c r="I9" s="47" t="s">
        <v>113</v>
      </c>
      <c r="J9" s="47">
        <f>COUNTIFS(Thematic_Map!$A$2:$A$805,$I9,Thematic_Map!$F$2:$F$805,"T1*",Thematic_Map!$I$2:$I$805,"&lt;&gt;")</f>
        <v>9</v>
      </c>
      <c r="K9" s="47">
        <f>COUNTIFS(Thematic_Map!$A$2:$A$805,$I9,Thematic_Map!$F$2:$F$805,"T2*",Thematic_Map!$I$2:$I$805,"&lt;&gt;")</f>
        <v>5</v>
      </c>
      <c r="L9" s="47">
        <f>COUNTIFS(Thematic_Map!$A$2:$A$805,$I9,Thematic_Map!$F$2:$F$805,"T3*",Thematic_Map!$I$2:$I$805,"&lt;&gt;")</f>
        <v>5</v>
      </c>
      <c r="M9" s="47">
        <f>COUNTIFS(Thematic_Map!$A$2:$A$805,$I9,Thematic_Map!$F$2:$F$805,"T4*",Thematic_Map!$I$2:$I$805,"&lt;&gt;")</f>
        <v>6</v>
      </c>
      <c r="N9" s="47">
        <f>COUNTIFS(Thematic_Map!$A$2:$A$805,$I9,Thematic_Map!$F$2:$F$805,"T5*",Thematic_Map!$I$2:$I$805,"&lt;&gt;")</f>
        <v>4</v>
      </c>
      <c r="O9" s="47">
        <f>COUNTIFS(Thematic_Map!$A$2:$A$805,$I9,Thematic_Map!$F$2:$F$805,"T6*",Thematic_Map!$I$2:$I$805,"&lt;&gt;")</f>
        <v>2</v>
      </c>
      <c r="P9" s="47">
        <f t="shared" si="0"/>
        <v>31</v>
      </c>
    </row>
    <row r="10" spans="1:16" ht="20" x14ac:dyDescent="0.2">
      <c r="A10" s="90"/>
      <c r="B10" s="90"/>
      <c r="C10" s="90"/>
      <c r="D10" s="90"/>
      <c r="E10" s="90"/>
      <c r="F10" s="90"/>
      <c r="G10" s="90"/>
      <c r="H10" s="90"/>
      <c r="I10" s="47" t="s">
        <v>122</v>
      </c>
      <c r="J10" s="47">
        <f>COUNTIFS(Thematic_Map!$A$2:$A$805,$I10,Thematic_Map!$F$2:$F$805,"T1*",Thematic_Map!$I$2:$I$805,"&lt;&gt;")</f>
        <v>9</v>
      </c>
      <c r="K10" s="47">
        <f>COUNTIFS(Thematic_Map!$A$2:$A$805,$I10,Thematic_Map!$F$2:$F$805,"T2*",Thematic_Map!$I$2:$I$805,"&lt;&gt;")</f>
        <v>5</v>
      </c>
      <c r="L10" s="47">
        <f>COUNTIFS(Thematic_Map!$A$2:$A$805,$I10,Thematic_Map!$F$2:$F$805,"T3*",Thematic_Map!$I$2:$I$805,"&lt;&gt;")</f>
        <v>3</v>
      </c>
      <c r="M10" s="47">
        <f>COUNTIFS(Thematic_Map!$A$2:$A$805,$I10,Thematic_Map!$F$2:$F$805,"T4*",Thematic_Map!$I$2:$I$805,"&lt;&gt;")</f>
        <v>7</v>
      </c>
      <c r="N10" s="47">
        <f>COUNTIFS(Thematic_Map!$A$2:$A$805,$I10,Thematic_Map!$F$2:$F$805,"T5*",Thematic_Map!$I$2:$I$805,"&lt;&gt;")</f>
        <v>3</v>
      </c>
      <c r="O10" s="47">
        <f>COUNTIFS(Thematic_Map!$A$2:$A$805,$I10,Thematic_Map!$F$2:$F$805,"T6*",Thematic_Map!$I$2:$I$805,"&lt;&gt;")</f>
        <v>2</v>
      </c>
      <c r="P10" s="47">
        <f t="shared" si="0"/>
        <v>29</v>
      </c>
    </row>
    <row r="11" spans="1:16" ht="20" x14ac:dyDescent="0.2">
      <c r="A11" s="48"/>
      <c r="B11" s="48"/>
      <c r="C11" s="48"/>
      <c r="D11" s="48"/>
      <c r="E11" s="48"/>
      <c r="F11" s="48"/>
      <c r="G11" s="48"/>
      <c r="H11" s="48"/>
      <c r="I11" s="47" t="s">
        <v>130</v>
      </c>
      <c r="J11" s="47">
        <f>COUNTIFS(Thematic_Map!$A$2:$A$805,$I11,Thematic_Map!$F$2:$F$805,"T1*",Thematic_Map!$I$2:$I$805,"&lt;&gt;")</f>
        <v>10</v>
      </c>
      <c r="K11" s="47">
        <f>COUNTIFS(Thematic_Map!$A$2:$A$805,$I11,Thematic_Map!$F$2:$F$805,"T2*",Thematic_Map!$I$2:$I$805,"&lt;&gt;")</f>
        <v>4</v>
      </c>
      <c r="L11" s="47">
        <f>COUNTIFS(Thematic_Map!$A$2:$A$805,$I11,Thematic_Map!$F$2:$F$805,"T3*",Thematic_Map!$I$2:$I$805,"&lt;&gt;")</f>
        <v>6</v>
      </c>
      <c r="M11" s="47">
        <f>COUNTIFS(Thematic_Map!$A$2:$A$805,$I11,Thematic_Map!$F$2:$F$805,"T4*",Thematic_Map!$I$2:$I$805,"&lt;&gt;")</f>
        <v>8</v>
      </c>
      <c r="N11" s="47">
        <f>COUNTIFS(Thematic_Map!$A$2:$A$805,$I11,Thematic_Map!$F$2:$F$805,"T5*",Thematic_Map!$I$2:$I$805,"&lt;&gt;")</f>
        <v>5</v>
      </c>
      <c r="O11" s="47">
        <f>COUNTIFS(Thematic_Map!$A$2:$A$805,$I11,Thematic_Map!$F$2:$F$805,"T6*",Thematic_Map!$I$2:$I$805,"&lt;&gt;")</f>
        <v>2</v>
      </c>
      <c r="P11" s="47">
        <f t="shared" si="0"/>
        <v>35</v>
      </c>
    </row>
    <row r="12" spans="1:16" ht="20" x14ac:dyDescent="0.2">
      <c r="A12" s="48"/>
      <c r="B12" s="48"/>
      <c r="C12" s="48"/>
      <c r="D12" s="48"/>
      <c r="E12" s="48"/>
      <c r="F12" s="48"/>
      <c r="G12" s="48"/>
      <c r="H12" s="48"/>
      <c r="I12" s="47" t="s">
        <v>139</v>
      </c>
      <c r="J12" s="47">
        <f>COUNTIFS(Thematic_Map!$A$2:$A$805,$I12,Thematic_Map!$F$2:$F$805,"T1*",Thematic_Map!$I$2:$I$805,"&lt;&gt;")</f>
        <v>10</v>
      </c>
      <c r="K12" s="47">
        <f>COUNTIFS(Thematic_Map!$A$2:$A$805,$I12,Thematic_Map!$F$2:$F$805,"T2*",Thematic_Map!$I$2:$I$805,"&lt;&gt;")</f>
        <v>4</v>
      </c>
      <c r="L12" s="47">
        <f>COUNTIFS(Thematic_Map!$A$2:$A$805,$I12,Thematic_Map!$F$2:$F$805,"T3*",Thematic_Map!$I$2:$I$805,"&lt;&gt;")</f>
        <v>5</v>
      </c>
      <c r="M12" s="47">
        <f>COUNTIFS(Thematic_Map!$A$2:$A$805,$I12,Thematic_Map!$F$2:$F$805,"T4*",Thematic_Map!$I$2:$I$805,"&lt;&gt;")</f>
        <v>8</v>
      </c>
      <c r="N12" s="47">
        <f>COUNTIFS(Thematic_Map!$A$2:$A$805,$I12,Thematic_Map!$F$2:$F$805,"T5*",Thematic_Map!$I$2:$I$805,"&lt;&gt;")</f>
        <v>3</v>
      </c>
      <c r="O12" s="47">
        <f>COUNTIFS(Thematic_Map!$A$2:$A$805,$I12,Thematic_Map!$F$2:$F$805,"T6*",Thematic_Map!$I$2:$I$805,"&lt;&gt;")</f>
        <v>2</v>
      </c>
      <c r="P12" s="47">
        <f t="shared" si="0"/>
        <v>32</v>
      </c>
    </row>
    <row r="13" spans="1:16" ht="20" x14ac:dyDescent="0.2">
      <c r="A13" s="48"/>
      <c r="B13" s="48"/>
      <c r="C13" s="48"/>
      <c r="D13" s="48"/>
      <c r="E13" s="48"/>
      <c r="F13" s="48"/>
      <c r="G13" s="48"/>
      <c r="H13" s="48"/>
      <c r="I13" s="47" t="s">
        <v>149</v>
      </c>
      <c r="J13" s="47">
        <f>COUNTIFS(Thematic_Map!$A$2:$A$805,$I13,Thematic_Map!$F$2:$F$805,"T1*",Thematic_Map!$I$2:$I$805,"&lt;&gt;")</f>
        <v>8</v>
      </c>
      <c r="K13" s="47">
        <f>COUNTIFS(Thematic_Map!$A$2:$A$805,$I13,Thematic_Map!$F$2:$F$805,"T2*",Thematic_Map!$I$2:$I$805,"&lt;&gt;")</f>
        <v>5</v>
      </c>
      <c r="L13" s="47">
        <f>COUNTIFS(Thematic_Map!$A$2:$A$805,$I13,Thematic_Map!$F$2:$F$805,"T3*",Thematic_Map!$I$2:$I$805,"&lt;&gt;")</f>
        <v>4</v>
      </c>
      <c r="M13" s="47">
        <f>COUNTIFS(Thematic_Map!$A$2:$A$805,$I13,Thematic_Map!$F$2:$F$805,"T4*",Thematic_Map!$I$2:$I$805,"&lt;&gt;")</f>
        <v>5</v>
      </c>
      <c r="N13" s="47">
        <f>COUNTIFS(Thematic_Map!$A$2:$A$805,$I13,Thematic_Map!$F$2:$F$805,"T5*",Thematic_Map!$I$2:$I$805,"&lt;&gt;")</f>
        <v>6</v>
      </c>
      <c r="O13" s="47">
        <f>COUNTIFS(Thematic_Map!$A$2:$A$805,$I13,Thematic_Map!$F$2:$F$805,"T6*",Thematic_Map!$I$2:$I$805,"&lt;&gt;")</f>
        <v>1</v>
      </c>
      <c r="P13" s="47">
        <f t="shared" si="0"/>
        <v>29</v>
      </c>
    </row>
    <row r="14" spans="1:16" ht="20" x14ac:dyDescent="0.2">
      <c r="A14" s="48"/>
      <c r="B14" s="48"/>
      <c r="C14" s="48"/>
      <c r="D14" s="48"/>
      <c r="E14" s="48"/>
      <c r="F14" s="48"/>
      <c r="G14" s="48"/>
      <c r="H14" s="48"/>
      <c r="I14" s="47" t="s">
        <v>159</v>
      </c>
      <c r="J14" s="47">
        <f>COUNTIFS(Thematic_Map!$A$2:$A$805,$I14,Thematic_Map!$F$2:$F$805,"T1*",Thematic_Map!$I$2:$I$805,"&lt;&gt;")</f>
        <v>9</v>
      </c>
      <c r="K14" s="47">
        <f>COUNTIFS(Thematic_Map!$A$2:$A$805,$I14,Thematic_Map!$F$2:$F$805,"T2*",Thematic_Map!$I$2:$I$805,"&lt;&gt;")</f>
        <v>4</v>
      </c>
      <c r="L14" s="47">
        <f>COUNTIFS(Thematic_Map!$A$2:$A$805,$I14,Thematic_Map!$F$2:$F$805,"T3*",Thematic_Map!$I$2:$I$805,"&lt;&gt;")</f>
        <v>4</v>
      </c>
      <c r="M14" s="47">
        <f>COUNTIFS(Thematic_Map!$A$2:$A$805,$I14,Thematic_Map!$F$2:$F$805,"T4*",Thematic_Map!$I$2:$I$805,"&lt;&gt;")</f>
        <v>7</v>
      </c>
      <c r="N14" s="47">
        <f>COUNTIFS(Thematic_Map!$A$2:$A$805,$I14,Thematic_Map!$F$2:$F$805,"T5*",Thematic_Map!$I$2:$I$805,"&lt;&gt;")</f>
        <v>4</v>
      </c>
      <c r="O14" s="47">
        <f>COUNTIFS(Thematic_Map!$A$2:$A$805,$I14,Thematic_Map!$F$2:$F$805,"T6*",Thematic_Map!$I$2:$I$805,"&lt;&gt;")</f>
        <v>1</v>
      </c>
      <c r="P14" s="47">
        <f t="shared" si="0"/>
        <v>29</v>
      </c>
    </row>
    <row r="15" spans="1:16" ht="20" x14ac:dyDescent="0.2">
      <c r="A15" s="48"/>
      <c r="B15" s="48"/>
      <c r="C15" s="48"/>
      <c r="D15" s="48"/>
      <c r="E15" s="48"/>
      <c r="F15" s="48"/>
      <c r="G15" s="48"/>
      <c r="H15" s="48"/>
      <c r="I15" s="47" t="s">
        <v>169</v>
      </c>
      <c r="J15" s="47">
        <f>COUNTIFS(Thematic_Map!$A$2:$A$805,$I15,Thematic_Map!$F$2:$F$805,"T1*",Thematic_Map!$I$2:$I$805,"&lt;&gt;")</f>
        <v>10</v>
      </c>
      <c r="K15" s="47">
        <f>COUNTIFS(Thematic_Map!$A$2:$A$805,$I15,Thematic_Map!$F$2:$F$805,"T2*",Thematic_Map!$I$2:$I$805,"&lt;&gt;")</f>
        <v>4</v>
      </c>
      <c r="L15" s="47">
        <f>COUNTIFS(Thematic_Map!$A$2:$A$805,$I15,Thematic_Map!$F$2:$F$805,"T3*",Thematic_Map!$I$2:$I$805,"&lt;&gt;")</f>
        <v>5</v>
      </c>
      <c r="M15" s="47">
        <f>COUNTIFS(Thematic_Map!$A$2:$A$805,$I15,Thematic_Map!$F$2:$F$805,"T4*",Thematic_Map!$I$2:$I$805,"&lt;&gt;")</f>
        <v>5</v>
      </c>
      <c r="N15" s="47">
        <f>COUNTIFS(Thematic_Map!$A$2:$A$805,$I15,Thematic_Map!$F$2:$F$805,"T5*",Thematic_Map!$I$2:$I$805,"&lt;&gt;")</f>
        <v>3</v>
      </c>
      <c r="O15" s="47">
        <f>COUNTIFS(Thematic_Map!$A$2:$A$805,$I15,Thematic_Map!$F$2:$F$805,"T6*",Thematic_Map!$I$2:$I$805,"&lt;&gt;")</f>
        <v>1</v>
      </c>
      <c r="P15" s="47">
        <f t="shared" si="0"/>
        <v>28</v>
      </c>
    </row>
    <row r="16" spans="1:16" ht="20" x14ac:dyDescent="0.2">
      <c r="A16" s="48"/>
      <c r="B16" s="48"/>
      <c r="C16" s="48"/>
      <c r="D16" s="48"/>
      <c r="E16" s="48"/>
      <c r="F16" s="48"/>
      <c r="G16" s="48"/>
      <c r="H16" s="48"/>
      <c r="I16" s="47" t="s">
        <v>179</v>
      </c>
      <c r="J16" s="47">
        <f>COUNTIFS(Thematic_Map!$A$2:$A$805,$I16,Thematic_Map!$F$2:$F$805,"T1*",Thematic_Map!$I$2:$I$805,"&lt;&gt;")</f>
        <v>7</v>
      </c>
      <c r="K16" s="47">
        <f>COUNTIFS(Thematic_Map!$A$2:$A$805,$I16,Thematic_Map!$F$2:$F$805,"T2*",Thematic_Map!$I$2:$I$805,"&lt;&gt;")</f>
        <v>6</v>
      </c>
      <c r="L16" s="47">
        <f>COUNTIFS(Thematic_Map!$A$2:$A$805,$I16,Thematic_Map!$F$2:$F$805,"T3*",Thematic_Map!$I$2:$I$805,"&lt;&gt;")</f>
        <v>6</v>
      </c>
      <c r="M16" s="47">
        <f>COUNTIFS(Thematic_Map!$A$2:$A$805,$I16,Thematic_Map!$F$2:$F$805,"T4*",Thematic_Map!$I$2:$I$805,"&lt;&gt;")</f>
        <v>8</v>
      </c>
      <c r="N16" s="47">
        <f>COUNTIFS(Thematic_Map!$A$2:$A$805,$I16,Thematic_Map!$F$2:$F$805,"T5*",Thematic_Map!$I$2:$I$805,"&lt;&gt;")</f>
        <v>5</v>
      </c>
      <c r="O16" s="47">
        <f>COUNTIFS(Thematic_Map!$A$2:$A$805,$I16,Thematic_Map!$F$2:$F$805,"T6*",Thematic_Map!$I$2:$I$805,"&lt;&gt;")</f>
        <v>1</v>
      </c>
      <c r="P16" s="47">
        <f t="shared" si="0"/>
        <v>33</v>
      </c>
    </row>
    <row r="17" spans="1:16" ht="20" x14ac:dyDescent="0.2">
      <c r="A17" s="48"/>
      <c r="B17" s="48"/>
      <c r="C17" s="48"/>
      <c r="D17" s="48"/>
      <c r="E17" s="48"/>
      <c r="F17" s="48"/>
      <c r="G17" s="48"/>
      <c r="H17" s="48"/>
      <c r="I17" s="47" t="s">
        <v>188</v>
      </c>
      <c r="J17" s="47">
        <f>COUNTIFS(Thematic_Map!$A$2:$A$805,$I17,Thematic_Map!$F$2:$F$805,"T1*",Thematic_Map!$I$2:$I$805,"&lt;&gt;")</f>
        <v>7</v>
      </c>
      <c r="K17" s="47">
        <f>COUNTIFS(Thematic_Map!$A$2:$A$805,$I17,Thematic_Map!$F$2:$F$805,"T2*",Thematic_Map!$I$2:$I$805,"&lt;&gt;")</f>
        <v>5</v>
      </c>
      <c r="L17" s="47">
        <f>COUNTIFS(Thematic_Map!$A$2:$A$805,$I17,Thematic_Map!$F$2:$F$805,"T3*",Thematic_Map!$I$2:$I$805,"&lt;&gt;")</f>
        <v>5</v>
      </c>
      <c r="M17" s="47">
        <f>COUNTIFS(Thematic_Map!$A$2:$A$805,$I17,Thematic_Map!$F$2:$F$805,"T4*",Thematic_Map!$I$2:$I$805,"&lt;&gt;")</f>
        <v>6</v>
      </c>
      <c r="N17" s="47">
        <f>COUNTIFS(Thematic_Map!$A$2:$A$805,$I17,Thematic_Map!$F$2:$F$805,"T5*",Thematic_Map!$I$2:$I$805,"&lt;&gt;")</f>
        <v>3</v>
      </c>
      <c r="O17" s="47">
        <f>COUNTIFS(Thematic_Map!$A$2:$A$805,$I17,Thematic_Map!$F$2:$F$805,"T6*",Thematic_Map!$I$2:$I$805,"&lt;&gt;")</f>
        <v>1</v>
      </c>
      <c r="P17" s="47">
        <f t="shared" si="0"/>
        <v>27</v>
      </c>
    </row>
    <row r="18" spans="1:16" ht="20" x14ac:dyDescent="0.2">
      <c r="A18" s="48"/>
      <c r="B18" s="48"/>
      <c r="C18" s="48"/>
      <c r="D18" s="48"/>
      <c r="E18" s="48"/>
      <c r="F18" s="48"/>
      <c r="G18" s="48"/>
      <c r="H18" s="48"/>
      <c r="I18" s="47" t="s">
        <v>198</v>
      </c>
      <c r="J18" s="47">
        <f>COUNTIFS(Thematic_Map!$A$2:$A$805,$I18,Thematic_Map!$F$2:$F$805,"T1*",Thematic_Map!$I$2:$I$805,"&lt;&gt;")</f>
        <v>8</v>
      </c>
      <c r="K18" s="47">
        <f>COUNTIFS(Thematic_Map!$A$2:$A$805,$I18,Thematic_Map!$F$2:$F$805,"T2*",Thematic_Map!$I$2:$I$805,"&lt;&gt;")</f>
        <v>7</v>
      </c>
      <c r="L18" s="47">
        <f>COUNTIFS(Thematic_Map!$A$2:$A$805,$I18,Thematic_Map!$F$2:$F$805,"T3*",Thematic_Map!$I$2:$I$805,"&lt;&gt;")</f>
        <v>5</v>
      </c>
      <c r="M18" s="47">
        <f>COUNTIFS(Thematic_Map!$A$2:$A$805,$I18,Thematic_Map!$F$2:$F$805,"T4*",Thematic_Map!$I$2:$I$805,"&lt;&gt;")</f>
        <v>9</v>
      </c>
      <c r="N18" s="47">
        <f>COUNTIFS(Thematic_Map!$A$2:$A$805,$I18,Thematic_Map!$F$2:$F$805,"T5*",Thematic_Map!$I$2:$I$805,"&lt;&gt;")</f>
        <v>4</v>
      </c>
      <c r="O18" s="47">
        <f>COUNTIFS(Thematic_Map!$A$2:$A$805,$I18,Thematic_Map!$F$2:$F$805,"T6*",Thematic_Map!$I$2:$I$805,"&lt;&gt;")</f>
        <v>2</v>
      </c>
      <c r="P18" s="47">
        <f t="shared" si="0"/>
        <v>35</v>
      </c>
    </row>
    <row r="19" spans="1:16" ht="20" x14ac:dyDescent="0.2">
      <c r="A19" s="48"/>
      <c r="B19" s="48"/>
      <c r="C19" s="48"/>
      <c r="D19" s="48"/>
      <c r="E19" s="48"/>
      <c r="F19" s="48"/>
      <c r="G19" s="48"/>
      <c r="H19" s="48"/>
      <c r="I19" s="47" t="s">
        <v>208</v>
      </c>
      <c r="J19" s="47">
        <f>COUNTIFS(Thematic_Map!$A$2:$A$805,$I19,Thematic_Map!$F$2:$F$805,"T1*",Thematic_Map!$I$2:$I$805,"&lt;&gt;")</f>
        <v>10</v>
      </c>
      <c r="K19" s="47">
        <f>COUNTIFS(Thematic_Map!$A$2:$A$805,$I19,Thematic_Map!$F$2:$F$805,"T2*",Thematic_Map!$I$2:$I$805,"&lt;&gt;")</f>
        <v>8</v>
      </c>
      <c r="L19" s="47">
        <f>COUNTIFS(Thematic_Map!$A$2:$A$805,$I19,Thematic_Map!$F$2:$F$805,"T3*",Thematic_Map!$I$2:$I$805,"&lt;&gt;")</f>
        <v>7</v>
      </c>
      <c r="M19" s="47">
        <f>COUNTIFS(Thematic_Map!$A$2:$A$805,$I19,Thematic_Map!$F$2:$F$805,"T4*",Thematic_Map!$I$2:$I$805,"&lt;&gt;")</f>
        <v>10</v>
      </c>
      <c r="N19" s="47">
        <f>COUNTIFS(Thematic_Map!$A$2:$A$805,$I19,Thematic_Map!$F$2:$F$805,"T5*",Thematic_Map!$I$2:$I$805,"&lt;&gt;")</f>
        <v>3</v>
      </c>
      <c r="O19" s="47">
        <f>COUNTIFS(Thematic_Map!$A$2:$A$805,$I19,Thematic_Map!$F$2:$F$805,"T6*",Thematic_Map!$I$2:$I$805,"&lt;&gt;")</f>
        <v>2</v>
      </c>
      <c r="P19" s="47">
        <f t="shared" si="0"/>
        <v>40</v>
      </c>
    </row>
    <row r="20" spans="1:16" ht="20" x14ac:dyDescent="0.2">
      <c r="A20" s="48"/>
      <c r="B20" s="48"/>
      <c r="C20" s="48"/>
      <c r="D20" s="48"/>
      <c r="E20" s="48"/>
      <c r="F20" s="48"/>
      <c r="G20" s="48"/>
      <c r="H20" s="48"/>
      <c r="I20" s="47" t="s">
        <v>218</v>
      </c>
      <c r="J20" s="47">
        <f>COUNTIFS(Thematic_Map!$A$2:$A$805,$I20,Thematic_Map!$F$2:$F$805,"T1*",Thematic_Map!$I$2:$I$805,"&lt;&gt;")</f>
        <v>12</v>
      </c>
      <c r="K20" s="47">
        <f>COUNTIFS(Thematic_Map!$A$2:$A$805,$I20,Thematic_Map!$F$2:$F$805,"T2*",Thematic_Map!$I$2:$I$805,"&lt;&gt;")</f>
        <v>8</v>
      </c>
      <c r="L20" s="47">
        <f>COUNTIFS(Thematic_Map!$A$2:$A$805,$I20,Thematic_Map!$F$2:$F$805,"T3*",Thematic_Map!$I$2:$I$805,"&lt;&gt;")</f>
        <v>8</v>
      </c>
      <c r="M20" s="47">
        <f>COUNTIFS(Thematic_Map!$A$2:$A$805,$I20,Thematic_Map!$F$2:$F$805,"T4*",Thematic_Map!$I$2:$I$805,"&lt;&gt;")</f>
        <v>11</v>
      </c>
      <c r="N20" s="47">
        <f>COUNTIFS(Thematic_Map!$A$2:$A$805,$I20,Thematic_Map!$F$2:$F$805,"T5*",Thematic_Map!$I$2:$I$805,"&lt;&gt;")</f>
        <v>5</v>
      </c>
      <c r="O20" s="47">
        <f>COUNTIFS(Thematic_Map!$A$2:$A$805,$I20,Thematic_Map!$F$2:$F$805,"T6*",Thematic_Map!$I$2:$I$805,"&lt;&gt;")</f>
        <v>2</v>
      </c>
      <c r="P20" s="47">
        <f t="shared" si="0"/>
        <v>46</v>
      </c>
    </row>
    <row r="21" spans="1:16" ht="20" x14ac:dyDescent="0.2">
      <c r="A21" s="48"/>
      <c r="B21" s="48"/>
      <c r="C21" s="48"/>
      <c r="D21" s="48"/>
      <c r="E21" s="48"/>
      <c r="F21" s="48"/>
      <c r="G21" s="48"/>
      <c r="H21" s="48"/>
      <c r="I21" s="47" t="s">
        <v>227</v>
      </c>
      <c r="J21" s="47">
        <f>COUNTIFS(Thematic_Map!$A$2:$A$805,$I21,Thematic_Map!$F$2:$F$805,"T1*",Thematic_Map!$I$2:$I$805,"&lt;&gt;")</f>
        <v>15</v>
      </c>
      <c r="K21" s="47">
        <f>COUNTIFS(Thematic_Map!$A$2:$A$805,$I21,Thematic_Map!$F$2:$F$805,"T2*",Thematic_Map!$I$2:$I$805,"&lt;&gt;")</f>
        <v>10</v>
      </c>
      <c r="L21" s="47">
        <f>COUNTIFS(Thematic_Map!$A$2:$A$805,$I21,Thematic_Map!$F$2:$F$805,"T3*",Thematic_Map!$I$2:$I$805,"&lt;&gt;")</f>
        <v>10</v>
      </c>
      <c r="M21" s="47">
        <f>COUNTIFS(Thematic_Map!$A$2:$A$805,$I21,Thematic_Map!$F$2:$F$805,"T4*",Thematic_Map!$I$2:$I$805,"&lt;&gt;")</f>
        <v>10</v>
      </c>
      <c r="N21" s="47">
        <f>COUNTIFS(Thematic_Map!$A$2:$A$805,$I21,Thematic_Map!$F$2:$F$805,"T5*",Thematic_Map!$I$2:$I$805,"&lt;&gt;")</f>
        <v>4</v>
      </c>
      <c r="O21" s="47">
        <f>COUNTIFS(Thematic_Map!$A$2:$A$805,$I21,Thematic_Map!$F$2:$F$805,"T6*",Thematic_Map!$I$2:$I$805,"&lt;&gt;")</f>
        <v>2</v>
      </c>
      <c r="P21" s="47">
        <f t="shared" si="0"/>
        <v>51</v>
      </c>
    </row>
    <row r="22" spans="1:16" ht="20" x14ac:dyDescent="0.2">
      <c r="A22" s="48"/>
      <c r="B22" s="48"/>
      <c r="C22" s="48"/>
      <c r="D22" s="48"/>
      <c r="E22" s="48"/>
      <c r="F22" s="48"/>
      <c r="G22" s="48"/>
      <c r="H22" s="48"/>
      <c r="I22" s="47" t="s">
        <v>237</v>
      </c>
      <c r="J22" s="47">
        <f>COUNTIFS(Thematic_Map!$A$2:$A$805,$I22,Thematic_Map!$F$2:$F$805,"T1*",Thematic_Map!$I$2:$I$805,"&lt;&gt;")</f>
        <v>14</v>
      </c>
      <c r="K22" s="47">
        <f>COUNTIFS(Thematic_Map!$A$2:$A$805,$I22,Thematic_Map!$F$2:$F$805,"T2*",Thematic_Map!$I$2:$I$805,"&lt;&gt;")</f>
        <v>8</v>
      </c>
      <c r="L22" s="47">
        <f>COUNTIFS(Thematic_Map!$A$2:$A$805,$I22,Thematic_Map!$F$2:$F$805,"T3*",Thematic_Map!$I$2:$I$805,"&lt;&gt;")</f>
        <v>7</v>
      </c>
      <c r="M22" s="47">
        <f>COUNTIFS(Thematic_Map!$A$2:$A$805,$I22,Thematic_Map!$F$2:$F$805,"T4*",Thematic_Map!$I$2:$I$805,"&lt;&gt;")</f>
        <v>13</v>
      </c>
      <c r="N22" s="47">
        <f>COUNTIFS(Thematic_Map!$A$2:$A$805,$I22,Thematic_Map!$F$2:$F$805,"T5*",Thematic_Map!$I$2:$I$805,"&lt;&gt;")</f>
        <v>4</v>
      </c>
      <c r="O22" s="47">
        <f>COUNTIFS(Thematic_Map!$A$2:$A$805,$I22,Thematic_Map!$F$2:$F$805,"T6*",Thematic_Map!$I$2:$I$805,"&lt;&gt;")</f>
        <v>2</v>
      </c>
      <c r="P22" s="47">
        <f t="shared" si="0"/>
        <v>48</v>
      </c>
    </row>
    <row r="23" spans="1:16" ht="20" x14ac:dyDescent="0.2">
      <c r="A23" s="48"/>
      <c r="B23" s="48"/>
      <c r="C23" s="48"/>
      <c r="D23" s="48"/>
      <c r="E23" s="48"/>
      <c r="F23" s="48"/>
      <c r="G23" s="48"/>
      <c r="H23" s="48"/>
      <c r="I23" s="47" t="s">
        <v>247</v>
      </c>
      <c r="J23" s="47">
        <f>COUNTIFS(Thematic_Map!$A$2:$A$805,$I23,Thematic_Map!$F$2:$F$805,"T1*",Thematic_Map!$I$2:$I$805,"&lt;&gt;")</f>
        <v>10</v>
      </c>
      <c r="K23" s="47">
        <f>COUNTIFS(Thematic_Map!$A$2:$A$805,$I23,Thematic_Map!$F$2:$F$805,"T2*",Thematic_Map!$I$2:$I$805,"&lt;&gt;")</f>
        <v>6</v>
      </c>
      <c r="L23" s="47">
        <f>COUNTIFS(Thematic_Map!$A$2:$A$805,$I23,Thematic_Map!$F$2:$F$805,"T3*",Thematic_Map!$I$2:$I$805,"&lt;&gt;")</f>
        <v>5</v>
      </c>
      <c r="M23" s="47">
        <f>COUNTIFS(Thematic_Map!$A$2:$A$805,$I23,Thematic_Map!$F$2:$F$805,"T4*",Thematic_Map!$I$2:$I$805,"&lt;&gt;")</f>
        <v>9</v>
      </c>
      <c r="N23" s="47">
        <f>COUNTIFS(Thematic_Map!$A$2:$A$805,$I23,Thematic_Map!$F$2:$F$805,"T5*",Thematic_Map!$I$2:$I$805,"&lt;&gt;")</f>
        <v>4</v>
      </c>
      <c r="O23" s="47">
        <f>COUNTIFS(Thematic_Map!$A$2:$A$805,$I23,Thematic_Map!$F$2:$F$805,"T6*",Thematic_Map!$I$2:$I$805,"&lt;&gt;")</f>
        <v>2</v>
      </c>
      <c r="P23" s="47">
        <f t="shared" si="0"/>
        <v>36</v>
      </c>
    </row>
    <row r="24" spans="1:16" ht="20" x14ac:dyDescent="0.2">
      <c r="A24" s="48"/>
      <c r="B24" s="48"/>
      <c r="C24" s="48"/>
      <c r="D24" s="48"/>
      <c r="E24" s="48"/>
      <c r="F24" s="48"/>
      <c r="G24" s="48"/>
      <c r="H24" s="48"/>
      <c r="I24" s="47" t="s">
        <v>257</v>
      </c>
      <c r="J24" s="47">
        <f>COUNTIFS(Thematic_Map!$A$2:$A$805,$I24,Thematic_Map!$F$2:$F$805,"T1*",Thematic_Map!$I$2:$I$805,"&lt;&gt;")</f>
        <v>10</v>
      </c>
      <c r="K24" s="47">
        <f>COUNTIFS(Thematic_Map!$A$2:$A$805,$I24,Thematic_Map!$F$2:$F$805,"T2*",Thematic_Map!$I$2:$I$805,"&lt;&gt;")</f>
        <v>6</v>
      </c>
      <c r="L24" s="47">
        <f>COUNTIFS(Thematic_Map!$A$2:$A$805,$I24,Thematic_Map!$F$2:$F$805,"T3*",Thematic_Map!$I$2:$I$805,"&lt;&gt;")</f>
        <v>7</v>
      </c>
      <c r="M24" s="47">
        <f>COUNTIFS(Thematic_Map!$A$2:$A$805,$I24,Thematic_Map!$F$2:$F$805,"T4*",Thematic_Map!$I$2:$I$805,"&lt;&gt;")</f>
        <v>8</v>
      </c>
      <c r="N24" s="47">
        <f>COUNTIFS(Thematic_Map!$A$2:$A$805,$I24,Thematic_Map!$F$2:$F$805,"T5*",Thematic_Map!$I$2:$I$805,"&lt;&gt;")</f>
        <v>3</v>
      </c>
      <c r="O24" s="47">
        <f>COUNTIFS(Thematic_Map!$A$2:$A$805,$I24,Thematic_Map!$F$2:$F$805,"T6*",Thematic_Map!$I$2:$I$805,"&lt;&gt;")</f>
        <v>2</v>
      </c>
      <c r="P24" s="47">
        <f t="shared" si="0"/>
        <v>36</v>
      </c>
    </row>
    <row r="25" spans="1:16" ht="20" x14ac:dyDescent="0.2">
      <c r="A25" s="48"/>
      <c r="B25" s="48"/>
      <c r="C25" s="48"/>
      <c r="D25" s="48"/>
      <c r="E25" s="48"/>
      <c r="F25" s="48"/>
      <c r="G25" s="48"/>
      <c r="H25" s="48"/>
      <c r="I25" s="43" t="s">
        <v>2549</v>
      </c>
      <c r="J25" s="44">
        <f t="shared" ref="J25:P25" si="1">SUM(J2:J24)</f>
        <v>218</v>
      </c>
      <c r="K25" s="44">
        <f t="shared" si="1"/>
        <v>129</v>
      </c>
      <c r="L25" s="44">
        <f t="shared" si="1"/>
        <v>137</v>
      </c>
      <c r="M25" s="44">
        <f t="shared" si="1"/>
        <v>170</v>
      </c>
      <c r="N25" s="44">
        <f t="shared" si="1"/>
        <v>94</v>
      </c>
      <c r="O25" s="44">
        <f t="shared" si="1"/>
        <v>39</v>
      </c>
      <c r="P25" s="44">
        <f t="shared" si="1"/>
        <v>787</v>
      </c>
    </row>
  </sheetData>
  <mergeCells count="1">
    <mergeCell ref="A10:H1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4"/>
  <sheetViews>
    <sheetView zoomScale="80" zoomScaleNormal="80" workbookViewId="0">
      <pane xSplit="2" ySplit="1" topLeftCell="C2" activePane="bottomRight" state="frozen"/>
      <selection pane="topRight" activeCell="C1" sqref="C1"/>
      <selection pane="bottomLeft" activeCell="A2" sqref="A2"/>
      <selection pane="bottomRight" activeCell="G13" sqref="G13"/>
    </sheetView>
  </sheetViews>
  <sheetFormatPr baseColWidth="10" defaultColWidth="8.6640625" defaultRowHeight="15" x14ac:dyDescent="0.2"/>
  <cols>
    <col min="1" max="1" width="10.5" customWidth="1"/>
    <col min="2" max="2" width="24" customWidth="1"/>
    <col min="3" max="3" width="46" customWidth="1"/>
    <col min="4" max="4" width="45.5" customWidth="1"/>
    <col min="5" max="5" width="30" customWidth="1"/>
    <col min="6" max="6" width="62" customWidth="1"/>
    <col min="7" max="7" width="70" customWidth="1"/>
    <col min="8" max="8" width="58" customWidth="1"/>
    <col min="9" max="9" width="90.6640625" customWidth="1"/>
    <col min="10" max="10" width="22.5" customWidth="1"/>
  </cols>
  <sheetData>
    <row r="1" spans="1:10" ht="21" x14ac:dyDescent="0.2">
      <c r="A1" s="59" t="s">
        <v>429</v>
      </c>
      <c r="B1" s="59" t="s">
        <v>34</v>
      </c>
      <c r="C1" s="59" t="s">
        <v>2562</v>
      </c>
      <c r="D1" s="59" t="s">
        <v>2563</v>
      </c>
      <c r="E1" s="59" t="s">
        <v>2564</v>
      </c>
      <c r="F1" s="59" t="s">
        <v>2565</v>
      </c>
      <c r="G1" s="59" t="s">
        <v>2566</v>
      </c>
      <c r="H1" s="59" t="s">
        <v>2567</v>
      </c>
      <c r="I1" s="59" t="s">
        <v>2568</v>
      </c>
      <c r="J1" s="59" t="s">
        <v>2569</v>
      </c>
    </row>
    <row r="2" spans="1:10" ht="398" x14ac:dyDescent="0.2">
      <c r="A2" s="55" t="s">
        <v>44</v>
      </c>
      <c r="B2" s="56" t="s">
        <v>45</v>
      </c>
      <c r="C2" s="56" t="s">
        <v>2570</v>
      </c>
      <c r="D2" s="56" t="s">
        <v>2571</v>
      </c>
      <c r="E2" s="56" t="s">
        <v>2572</v>
      </c>
      <c r="F2" s="56" t="s">
        <v>2573</v>
      </c>
      <c r="G2" s="56" t="s">
        <v>2574</v>
      </c>
      <c r="H2" s="57" t="s">
        <v>2575</v>
      </c>
      <c r="I2" s="56" t="s">
        <v>2576</v>
      </c>
      <c r="J2" s="58" t="s">
        <v>2577</v>
      </c>
    </row>
    <row r="3" spans="1:10" ht="380" x14ac:dyDescent="0.2">
      <c r="A3" s="52" t="s">
        <v>54</v>
      </c>
      <c r="B3" s="53" t="s">
        <v>55</v>
      </c>
      <c r="C3" s="53" t="s">
        <v>2578</v>
      </c>
      <c r="D3" s="53" t="s">
        <v>2579</v>
      </c>
      <c r="E3" s="53" t="s">
        <v>2580</v>
      </c>
      <c r="F3" s="53" t="s">
        <v>2581</v>
      </c>
      <c r="G3" s="53" t="s">
        <v>2582</v>
      </c>
      <c r="H3" s="53" t="s">
        <v>2583</v>
      </c>
      <c r="I3" s="53" t="s">
        <v>2584</v>
      </c>
      <c r="J3" s="54" t="s">
        <v>2577</v>
      </c>
    </row>
    <row r="4" spans="1:10" ht="409.6" x14ac:dyDescent="0.2">
      <c r="A4" s="52" t="s">
        <v>63</v>
      </c>
      <c r="B4" s="53" t="s">
        <v>64</v>
      </c>
      <c r="C4" s="53" t="s">
        <v>2585</v>
      </c>
      <c r="D4" s="53" t="s">
        <v>2586</v>
      </c>
      <c r="E4" s="53" t="s">
        <v>2587</v>
      </c>
      <c r="F4" s="53" t="s">
        <v>2588</v>
      </c>
      <c r="G4" s="53" t="s">
        <v>2589</v>
      </c>
      <c r="H4" s="53" t="s">
        <v>2590</v>
      </c>
      <c r="I4" s="53" t="s">
        <v>2591</v>
      </c>
      <c r="J4" s="54" t="s">
        <v>2592</v>
      </c>
    </row>
    <row r="5" spans="1:10" ht="380" x14ac:dyDescent="0.2">
      <c r="A5" s="52" t="s">
        <v>73</v>
      </c>
      <c r="B5" s="53" t="s">
        <v>74</v>
      </c>
      <c r="C5" s="53" t="s">
        <v>2593</v>
      </c>
      <c r="D5" s="53" t="s">
        <v>2594</v>
      </c>
      <c r="E5" s="53" t="s">
        <v>2595</v>
      </c>
      <c r="F5" s="53" t="s">
        <v>2596</v>
      </c>
      <c r="G5" s="53" t="s">
        <v>2597</v>
      </c>
      <c r="H5" s="53" t="s">
        <v>2598</v>
      </c>
      <c r="I5" s="53" t="s">
        <v>2599</v>
      </c>
      <c r="J5" s="54" t="s">
        <v>2577</v>
      </c>
    </row>
    <row r="6" spans="1:10" ht="409.6" x14ac:dyDescent="0.2">
      <c r="A6" s="52" t="s">
        <v>83</v>
      </c>
      <c r="B6" s="53" t="s">
        <v>84</v>
      </c>
      <c r="C6" s="53" t="s">
        <v>2600</v>
      </c>
      <c r="D6" s="53" t="s">
        <v>2601</v>
      </c>
      <c r="E6" s="53" t="s">
        <v>2602</v>
      </c>
      <c r="F6" s="53" t="s">
        <v>2603</v>
      </c>
      <c r="G6" s="53" t="s">
        <v>2604</v>
      </c>
      <c r="H6" s="63" t="s">
        <v>2605</v>
      </c>
      <c r="I6" s="53" t="s">
        <v>2606</v>
      </c>
      <c r="J6" s="54" t="s">
        <v>2592</v>
      </c>
    </row>
    <row r="7" spans="1:10" ht="409.6" x14ac:dyDescent="0.2">
      <c r="A7" s="52" t="s">
        <v>93</v>
      </c>
      <c r="B7" s="53" t="s">
        <v>94</v>
      </c>
      <c r="C7" s="53" t="s">
        <v>2607</v>
      </c>
      <c r="D7" s="53" t="s">
        <v>2608</v>
      </c>
      <c r="E7" s="53" t="s">
        <v>2609</v>
      </c>
      <c r="F7" s="53" t="s">
        <v>2610</v>
      </c>
      <c r="G7" s="53" t="s">
        <v>2611</v>
      </c>
      <c r="H7" s="63" t="s">
        <v>2612</v>
      </c>
      <c r="I7" s="53" t="s">
        <v>2613</v>
      </c>
      <c r="J7" s="54" t="s">
        <v>2577</v>
      </c>
    </row>
    <row r="8" spans="1:10" ht="409.6" x14ac:dyDescent="0.2">
      <c r="A8" s="52" t="s">
        <v>103</v>
      </c>
      <c r="B8" s="53" t="s">
        <v>104</v>
      </c>
      <c r="C8" s="53" t="s">
        <v>2614</v>
      </c>
      <c r="D8" s="53" t="s">
        <v>2615</v>
      </c>
      <c r="E8" s="53" t="s">
        <v>2616</v>
      </c>
      <c r="F8" s="53" t="s">
        <v>2617</v>
      </c>
      <c r="G8" s="53" t="s">
        <v>2618</v>
      </c>
      <c r="H8" s="53" t="s">
        <v>2619</v>
      </c>
      <c r="I8" s="53" t="s">
        <v>2620</v>
      </c>
      <c r="J8" s="54" t="s">
        <v>2592</v>
      </c>
    </row>
    <row r="9" spans="1:10" ht="409.6" x14ac:dyDescent="0.2">
      <c r="A9" s="52" t="s">
        <v>113</v>
      </c>
      <c r="B9" s="53" t="s">
        <v>114</v>
      </c>
      <c r="C9" s="53" t="s">
        <v>2621</v>
      </c>
      <c r="D9" s="53" t="s">
        <v>2622</v>
      </c>
      <c r="E9" s="53" t="s">
        <v>2623</v>
      </c>
      <c r="F9" s="53" t="s">
        <v>2624</v>
      </c>
      <c r="G9" s="53" t="s">
        <v>2625</v>
      </c>
      <c r="H9" s="53" t="s">
        <v>2626</v>
      </c>
      <c r="I9" s="53" t="s">
        <v>2627</v>
      </c>
      <c r="J9" s="54" t="s">
        <v>2592</v>
      </c>
    </row>
    <row r="10" spans="1:10" ht="409.6" x14ac:dyDescent="0.2">
      <c r="A10" s="52" t="s">
        <v>122</v>
      </c>
      <c r="B10" s="53" t="s">
        <v>74</v>
      </c>
      <c r="C10" s="53" t="s">
        <v>2628</v>
      </c>
      <c r="D10" s="53" t="s">
        <v>2629</v>
      </c>
      <c r="E10" s="53" t="s">
        <v>2630</v>
      </c>
      <c r="F10" s="53" t="s">
        <v>2631</v>
      </c>
      <c r="G10" s="53" t="s">
        <v>2632</v>
      </c>
      <c r="H10" s="53" t="s">
        <v>2633</v>
      </c>
      <c r="I10" s="53" t="s">
        <v>2634</v>
      </c>
      <c r="J10" s="54" t="s">
        <v>2577</v>
      </c>
    </row>
    <row r="11" spans="1:10" ht="409.6" x14ac:dyDescent="0.2">
      <c r="A11" s="52" t="s">
        <v>130</v>
      </c>
      <c r="B11" s="53" t="s">
        <v>131</v>
      </c>
      <c r="C11" s="53" t="s">
        <v>2635</v>
      </c>
      <c r="D11" s="53" t="s">
        <v>2636</v>
      </c>
      <c r="E11" s="53" t="s">
        <v>2637</v>
      </c>
      <c r="F11" s="53" t="s">
        <v>2638</v>
      </c>
      <c r="G11" s="53" t="s">
        <v>2639</v>
      </c>
      <c r="H11" s="53" t="s">
        <v>2640</v>
      </c>
      <c r="I11" s="53" t="s">
        <v>2641</v>
      </c>
      <c r="J11" s="54" t="s">
        <v>2592</v>
      </c>
    </row>
    <row r="12" spans="1:10" ht="409.6" x14ac:dyDescent="0.2">
      <c r="A12" s="52" t="s">
        <v>139</v>
      </c>
      <c r="B12" s="53" t="s">
        <v>140</v>
      </c>
      <c r="C12" s="53" t="s">
        <v>2642</v>
      </c>
      <c r="D12" s="53" t="s">
        <v>2643</v>
      </c>
      <c r="E12" s="53" t="s">
        <v>2644</v>
      </c>
      <c r="F12" s="53" t="s">
        <v>2645</v>
      </c>
      <c r="G12" s="53" t="s">
        <v>2646</v>
      </c>
      <c r="H12" s="53" t="s">
        <v>2647</v>
      </c>
      <c r="I12" s="53" t="s">
        <v>2648</v>
      </c>
      <c r="J12" s="54" t="s">
        <v>2577</v>
      </c>
    </row>
    <row r="13" spans="1:10" ht="409.6" x14ac:dyDescent="0.2">
      <c r="A13" s="52" t="s">
        <v>149</v>
      </c>
      <c r="B13" s="53" t="s">
        <v>150</v>
      </c>
      <c r="C13" s="53" t="s">
        <v>2649</v>
      </c>
      <c r="D13" s="53" t="s">
        <v>2650</v>
      </c>
      <c r="E13" s="53" t="s">
        <v>2651</v>
      </c>
      <c r="F13" s="53" t="s">
        <v>2652</v>
      </c>
      <c r="G13" s="53" t="s">
        <v>2653</v>
      </c>
      <c r="H13" s="63" t="s">
        <v>2654</v>
      </c>
      <c r="I13" s="53" t="s">
        <v>2655</v>
      </c>
      <c r="J13" s="54" t="s">
        <v>2577</v>
      </c>
    </row>
    <row r="14" spans="1:10" ht="409.6" x14ac:dyDescent="0.2">
      <c r="A14" s="52" t="s">
        <v>159</v>
      </c>
      <c r="B14" s="53" t="s">
        <v>160</v>
      </c>
      <c r="C14" s="53" t="s">
        <v>2656</v>
      </c>
      <c r="D14" s="53" t="s">
        <v>2657</v>
      </c>
      <c r="E14" s="53" t="s">
        <v>2658</v>
      </c>
      <c r="F14" s="53" t="s">
        <v>2659</v>
      </c>
      <c r="G14" s="53" t="s">
        <v>2660</v>
      </c>
      <c r="H14" s="64" t="s">
        <v>2661</v>
      </c>
      <c r="I14" s="53" t="s">
        <v>2662</v>
      </c>
      <c r="J14" s="54" t="s">
        <v>2592</v>
      </c>
    </row>
    <row r="15" spans="1:10" ht="409.6" x14ac:dyDescent="0.2">
      <c r="A15" s="52" t="s">
        <v>169</v>
      </c>
      <c r="B15" s="53" t="s">
        <v>170</v>
      </c>
      <c r="C15" s="53" t="s">
        <v>2663</v>
      </c>
      <c r="D15" s="53" t="s">
        <v>2664</v>
      </c>
      <c r="E15" s="53" t="s">
        <v>2665</v>
      </c>
      <c r="F15" s="53" t="s">
        <v>2666</v>
      </c>
      <c r="G15" s="53" t="s">
        <v>2667</v>
      </c>
      <c r="H15" s="63" t="s">
        <v>2668</v>
      </c>
      <c r="I15" s="53" t="s">
        <v>2669</v>
      </c>
      <c r="J15" s="54" t="s">
        <v>2592</v>
      </c>
    </row>
    <row r="16" spans="1:10" ht="409.6" x14ac:dyDescent="0.2">
      <c r="A16" s="52" t="s">
        <v>179</v>
      </c>
      <c r="B16" s="53" t="s">
        <v>180</v>
      </c>
      <c r="C16" s="53" t="s">
        <v>2670</v>
      </c>
      <c r="D16" s="53" t="s">
        <v>2671</v>
      </c>
      <c r="E16" s="53" t="s">
        <v>2672</v>
      </c>
      <c r="F16" s="53" t="s">
        <v>2673</v>
      </c>
      <c r="G16" s="53" t="s">
        <v>2674</v>
      </c>
      <c r="H16" s="53" t="s">
        <v>2675</v>
      </c>
      <c r="I16" s="53" t="s">
        <v>2676</v>
      </c>
      <c r="J16" s="54" t="s">
        <v>2592</v>
      </c>
    </row>
    <row r="17" spans="1:10" ht="409.6" x14ac:dyDescent="0.2">
      <c r="A17" s="52" t="s">
        <v>188</v>
      </c>
      <c r="B17" s="53" t="s">
        <v>189</v>
      </c>
      <c r="C17" s="53" t="s">
        <v>2677</v>
      </c>
      <c r="D17" s="53" t="s">
        <v>2678</v>
      </c>
      <c r="E17" s="53" t="s">
        <v>2672</v>
      </c>
      <c r="F17" s="53" t="s">
        <v>2679</v>
      </c>
      <c r="G17" s="53" t="s">
        <v>2680</v>
      </c>
      <c r="H17" s="53" t="s">
        <v>2681</v>
      </c>
      <c r="I17" s="53" t="s">
        <v>2682</v>
      </c>
      <c r="J17" s="54" t="s">
        <v>2592</v>
      </c>
    </row>
    <row r="18" spans="1:10" ht="409.6" x14ac:dyDescent="0.2">
      <c r="A18" s="52" t="s">
        <v>198</v>
      </c>
      <c r="B18" s="53" t="s">
        <v>199</v>
      </c>
      <c r="C18" s="53" t="s">
        <v>2683</v>
      </c>
      <c r="D18" s="53" t="s">
        <v>2684</v>
      </c>
      <c r="E18" s="53" t="s">
        <v>2685</v>
      </c>
      <c r="F18" s="53" t="s">
        <v>2686</v>
      </c>
      <c r="G18" s="53" t="s">
        <v>2687</v>
      </c>
      <c r="H18" s="53" t="s">
        <v>2688</v>
      </c>
      <c r="I18" s="53" t="s">
        <v>2689</v>
      </c>
      <c r="J18" s="54" t="s">
        <v>2577</v>
      </c>
    </row>
    <row r="19" spans="1:10" ht="409.6" x14ac:dyDescent="0.2">
      <c r="A19" s="52" t="s">
        <v>208</v>
      </c>
      <c r="B19" s="53" t="s">
        <v>209</v>
      </c>
      <c r="C19" s="53" t="s">
        <v>2690</v>
      </c>
      <c r="D19" s="53" t="s">
        <v>2691</v>
      </c>
      <c r="E19" s="53" t="s">
        <v>2692</v>
      </c>
      <c r="F19" s="53" t="s">
        <v>2693</v>
      </c>
      <c r="G19" s="53" t="s">
        <v>2694</v>
      </c>
      <c r="H19" s="53" t="s">
        <v>2695</v>
      </c>
      <c r="I19" s="53" t="s">
        <v>2696</v>
      </c>
      <c r="J19" s="54" t="s">
        <v>2592</v>
      </c>
    </row>
    <row r="20" spans="1:10" ht="409.6" x14ac:dyDescent="0.2">
      <c r="A20" s="52" t="s">
        <v>218</v>
      </c>
      <c r="B20" s="53" t="s">
        <v>94</v>
      </c>
      <c r="C20" s="53" t="s">
        <v>2697</v>
      </c>
      <c r="D20" s="53" t="s">
        <v>2698</v>
      </c>
      <c r="E20" s="53" t="s">
        <v>2699</v>
      </c>
      <c r="F20" s="53" t="s">
        <v>2700</v>
      </c>
      <c r="G20" s="53" t="s">
        <v>2701</v>
      </c>
      <c r="H20" s="53" t="s">
        <v>2702</v>
      </c>
      <c r="I20" s="53" t="s">
        <v>2703</v>
      </c>
      <c r="J20" s="54" t="s">
        <v>2592</v>
      </c>
    </row>
    <row r="21" spans="1:10" ht="409.6" x14ac:dyDescent="0.2">
      <c r="A21" s="52" t="s">
        <v>227</v>
      </c>
      <c r="B21" s="53" t="s">
        <v>228</v>
      </c>
      <c r="C21" s="53" t="s">
        <v>2704</v>
      </c>
      <c r="D21" s="53" t="s">
        <v>2705</v>
      </c>
      <c r="E21" s="53" t="s">
        <v>2706</v>
      </c>
      <c r="F21" s="53" t="s">
        <v>2707</v>
      </c>
      <c r="G21" s="53" t="s">
        <v>2708</v>
      </c>
      <c r="H21" s="63" t="s">
        <v>2709</v>
      </c>
      <c r="I21" s="53" t="s">
        <v>2710</v>
      </c>
      <c r="J21" s="54" t="s">
        <v>2592</v>
      </c>
    </row>
    <row r="22" spans="1:10" ht="409.6" x14ac:dyDescent="0.2">
      <c r="A22" s="52" t="s">
        <v>237</v>
      </c>
      <c r="B22" s="53" t="s">
        <v>238</v>
      </c>
      <c r="C22" s="53" t="s">
        <v>2711</v>
      </c>
      <c r="D22" s="53" t="s">
        <v>2712</v>
      </c>
      <c r="E22" s="53" t="s">
        <v>2699</v>
      </c>
      <c r="F22" s="53" t="s">
        <v>2713</v>
      </c>
      <c r="G22" s="53" t="s">
        <v>2714</v>
      </c>
      <c r="H22" s="53" t="s">
        <v>2715</v>
      </c>
      <c r="I22" s="53" t="s">
        <v>2716</v>
      </c>
      <c r="J22" s="54" t="s">
        <v>2592</v>
      </c>
    </row>
    <row r="23" spans="1:10" ht="342" x14ac:dyDescent="0.2">
      <c r="A23" s="52" t="s">
        <v>247</v>
      </c>
      <c r="B23" s="53" t="s">
        <v>248</v>
      </c>
      <c r="C23" s="53" t="s">
        <v>2717</v>
      </c>
      <c r="D23" s="53" t="s">
        <v>2718</v>
      </c>
      <c r="E23" s="53" t="s">
        <v>2719</v>
      </c>
      <c r="F23" s="53" t="s">
        <v>2720</v>
      </c>
      <c r="G23" s="53" t="s">
        <v>2721</v>
      </c>
      <c r="H23" s="53" t="s">
        <v>2722</v>
      </c>
      <c r="I23" s="53" t="s">
        <v>2723</v>
      </c>
      <c r="J23" s="54" t="s">
        <v>2577</v>
      </c>
    </row>
    <row r="24" spans="1:10" ht="409.6" x14ac:dyDescent="0.2">
      <c r="A24" s="52" t="s">
        <v>257</v>
      </c>
      <c r="B24" s="53" t="s">
        <v>258</v>
      </c>
      <c r="C24" s="53" t="s">
        <v>2724</v>
      </c>
      <c r="D24" s="53" t="s">
        <v>2725</v>
      </c>
      <c r="E24" s="53" t="s">
        <v>2726</v>
      </c>
      <c r="F24" s="53" t="s">
        <v>2727</v>
      </c>
      <c r="G24" s="53" t="s">
        <v>2728</v>
      </c>
      <c r="H24" s="53" t="s">
        <v>2729</v>
      </c>
      <c r="I24" s="53" t="s">
        <v>2730</v>
      </c>
      <c r="J24" s="54" t="s">
        <v>2577</v>
      </c>
    </row>
  </sheetData>
  <autoFilter ref="A1:J24"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1"/>
  <sheetViews>
    <sheetView zoomScale="90" zoomScaleNormal="90" workbookViewId="0">
      <pane xSplit="2" ySplit="1" topLeftCell="C2" activePane="bottomRight" state="frozen"/>
      <selection pane="topRight" activeCell="C1" sqref="C1"/>
      <selection pane="bottomLeft" activeCell="A2" sqref="A2"/>
      <selection pane="bottomRight" activeCell="F30" sqref="F30"/>
    </sheetView>
  </sheetViews>
  <sheetFormatPr baseColWidth="10" defaultColWidth="8.6640625" defaultRowHeight="15" x14ac:dyDescent="0.2"/>
  <cols>
    <col min="1" max="1" width="34" customWidth="1"/>
    <col min="2" max="2" width="6" customWidth="1"/>
    <col min="3" max="3" width="62" customWidth="1"/>
    <col min="4" max="4" width="69.5" customWidth="1"/>
    <col min="5" max="5" width="50" customWidth="1"/>
    <col min="6" max="6" width="83.6640625" customWidth="1"/>
    <col min="7" max="7" width="57.6640625" customWidth="1"/>
    <col min="8" max="8" width="21.5" customWidth="1"/>
  </cols>
  <sheetData>
    <row r="1" spans="1:8" s="61" customFormat="1" ht="41" customHeight="1" x14ac:dyDescent="0.2">
      <c r="A1" s="50" t="s">
        <v>2731</v>
      </c>
      <c r="B1" s="50" t="s">
        <v>2732</v>
      </c>
      <c r="C1" s="50" t="s">
        <v>2733</v>
      </c>
      <c r="D1" s="50" t="s">
        <v>2734</v>
      </c>
      <c r="E1" s="50" t="s">
        <v>2735</v>
      </c>
      <c r="F1" s="50" t="s">
        <v>2736</v>
      </c>
      <c r="G1" s="50" t="s">
        <v>2737</v>
      </c>
      <c r="H1" s="50" t="s">
        <v>2569</v>
      </c>
    </row>
    <row r="2" spans="1:8" ht="285" x14ac:dyDescent="0.2">
      <c r="A2" s="60" t="s">
        <v>440</v>
      </c>
      <c r="B2" s="54" t="s">
        <v>2738</v>
      </c>
      <c r="C2" s="53" t="s">
        <v>2739</v>
      </c>
      <c r="D2" s="53" t="s">
        <v>2740</v>
      </c>
      <c r="E2" s="53" t="s">
        <v>2741</v>
      </c>
      <c r="F2" s="53" t="s">
        <v>2742</v>
      </c>
      <c r="G2" s="53" t="s">
        <v>2743</v>
      </c>
      <c r="H2" s="54" t="s">
        <v>2592</v>
      </c>
    </row>
    <row r="3" spans="1:8" ht="285" x14ac:dyDescent="0.2">
      <c r="A3" s="60" t="s">
        <v>542</v>
      </c>
      <c r="B3" s="54" t="s">
        <v>2738</v>
      </c>
      <c r="C3" s="53" t="s">
        <v>2744</v>
      </c>
      <c r="D3" s="53" t="s">
        <v>2745</v>
      </c>
      <c r="E3" s="53" t="s">
        <v>2746</v>
      </c>
      <c r="F3" s="53" t="s">
        <v>2747</v>
      </c>
      <c r="G3" s="53" t="s">
        <v>2748</v>
      </c>
      <c r="H3" s="54" t="s">
        <v>2592</v>
      </c>
    </row>
    <row r="4" spans="1:8" ht="323" x14ac:dyDescent="0.2">
      <c r="A4" s="60" t="s">
        <v>650</v>
      </c>
      <c r="B4" s="54" t="s">
        <v>2738</v>
      </c>
      <c r="C4" s="53" t="s">
        <v>2749</v>
      </c>
      <c r="D4" s="53" t="s">
        <v>2750</v>
      </c>
      <c r="E4" s="53" t="s">
        <v>2751</v>
      </c>
      <c r="F4" s="53" t="s">
        <v>2752</v>
      </c>
      <c r="G4" s="53" t="s">
        <v>2753</v>
      </c>
      <c r="H4" s="54" t="s">
        <v>2592</v>
      </c>
    </row>
    <row r="5" spans="1:8" ht="409.6" x14ac:dyDescent="0.2">
      <c r="A5" s="60" t="s">
        <v>753</v>
      </c>
      <c r="B5" s="54" t="s">
        <v>2738</v>
      </c>
      <c r="C5" s="53" t="s">
        <v>2754</v>
      </c>
      <c r="D5" s="53" t="s">
        <v>2755</v>
      </c>
      <c r="E5" s="53" t="s">
        <v>2756</v>
      </c>
      <c r="F5" s="53" t="s">
        <v>2757</v>
      </c>
      <c r="G5" s="53" t="s">
        <v>2758</v>
      </c>
      <c r="H5" s="54" t="s">
        <v>2592</v>
      </c>
    </row>
    <row r="6" spans="1:8" ht="361" x14ac:dyDescent="0.2">
      <c r="A6" s="60" t="s">
        <v>864</v>
      </c>
      <c r="B6" s="54" t="s">
        <v>2738</v>
      </c>
      <c r="C6" s="53" t="s">
        <v>2759</v>
      </c>
      <c r="D6" s="53" t="s">
        <v>2760</v>
      </c>
      <c r="E6" s="53" t="s">
        <v>2761</v>
      </c>
      <c r="F6" s="53" t="s">
        <v>2762</v>
      </c>
      <c r="G6" s="53" t="s">
        <v>2763</v>
      </c>
      <c r="H6" s="54" t="s">
        <v>2592</v>
      </c>
    </row>
    <row r="7" spans="1:8" ht="409.6" x14ac:dyDescent="0.2">
      <c r="A7" s="60" t="s">
        <v>979</v>
      </c>
      <c r="B7" s="54" t="s">
        <v>2738</v>
      </c>
      <c r="C7" s="53" t="s">
        <v>2764</v>
      </c>
      <c r="D7" s="53" t="s">
        <v>2765</v>
      </c>
      <c r="E7" s="53" t="s">
        <v>2766</v>
      </c>
      <c r="F7" s="53" t="s">
        <v>2767</v>
      </c>
      <c r="G7" s="53" t="s">
        <v>2768</v>
      </c>
      <c r="H7" s="54" t="s">
        <v>2592</v>
      </c>
    </row>
    <row r="8" spans="1:8" ht="304" x14ac:dyDescent="0.2">
      <c r="A8" s="60" t="s">
        <v>1060</v>
      </c>
      <c r="B8" s="54" t="s">
        <v>2769</v>
      </c>
      <c r="C8" s="53" t="s">
        <v>2770</v>
      </c>
      <c r="D8" s="53" t="s">
        <v>2771</v>
      </c>
      <c r="E8" s="53" t="s">
        <v>2772</v>
      </c>
      <c r="F8" s="53" t="s">
        <v>2773</v>
      </c>
      <c r="G8" s="53" t="s">
        <v>2774</v>
      </c>
      <c r="H8" s="54" t="s">
        <v>2592</v>
      </c>
    </row>
    <row r="9" spans="1:8" ht="380" x14ac:dyDescent="0.2">
      <c r="A9" s="60" t="s">
        <v>1194</v>
      </c>
      <c r="B9" s="54" t="s">
        <v>2769</v>
      </c>
      <c r="C9" s="53" t="s">
        <v>2775</v>
      </c>
      <c r="D9" s="53" t="s">
        <v>2776</v>
      </c>
      <c r="E9" s="53" t="s">
        <v>2777</v>
      </c>
      <c r="F9" s="53" t="s">
        <v>2778</v>
      </c>
      <c r="G9" s="53" t="s">
        <v>2779</v>
      </c>
      <c r="H9" s="54" t="s">
        <v>2592</v>
      </c>
    </row>
    <row r="10" spans="1:8" ht="285" x14ac:dyDescent="0.2">
      <c r="A10" s="60" t="s">
        <v>1295</v>
      </c>
      <c r="B10" s="54" t="s">
        <v>2769</v>
      </c>
      <c r="C10" s="53" t="s">
        <v>2780</v>
      </c>
      <c r="D10" s="53" t="s">
        <v>2781</v>
      </c>
      <c r="E10" s="53" t="s">
        <v>2782</v>
      </c>
      <c r="F10" s="53" t="s">
        <v>2783</v>
      </c>
      <c r="G10" s="53" t="s">
        <v>2784</v>
      </c>
      <c r="H10" s="54" t="s">
        <v>2592</v>
      </c>
    </row>
    <row r="11" spans="1:8" ht="380" x14ac:dyDescent="0.2">
      <c r="A11" s="60" t="s">
        <v>1402</v>
      </c>
      <c r="B11" s="54" t="s">
        <v>2769</v>
      </c>
      <c r="C11" s="53" t="s">
        <v>2785</v>
      </c>
      <c r="D11" s="53" t="s">
        <v>2786</v>
      </c>
      <c r="E11" s="53" t="s">
        <v>2787</v>
      </c>
      <c r="F11" s="53" t="s">
        <v>2788</v>
      </c>
      <c r="G11" s="53" t="s">
        <v>2789</v>
      </c>
      <c r="H11" s="54" t="s">
        <v>2592</v>
      </c>
    </row>
    <row r="12" spans="1:8" ht="342" x14ac:dyDescent="0.2">
      <c r="A12" s="60" t="s">
        <v>1553</v>
      </c>
      <c r="B12" s="54" t="s">
        <v>2769</v>
      </c>
      <c r="C12" s="53" t="s">
        <v>2790</v>
      </c>
      <c r="D12" s="53" t="s">
        <v>2791</v>
      </c>
      <c r="E12" s="53" t="s">
        <v>2792</v>
      </c>
      <c r="F12" s="53" t="s">
        <v>2793</v>
      </c>
      <c r="G12" s="53" t="s">
        <v>2794</v>
      </c>
      <c r="H12" s="54" t="s">
        <v>2592</v>
      </c>
    </row>
    <row r="13" spans="1:8" ht="247" x14ac:dyDescent="0.2">
      <c r="A13" s="60" t="s">
        <v>1656</v>
      </c>
      <c r="B13" s="54" t="s">
        <v>2769</v>
      </c>
      <c r="C13" s="53" t="s">
        <v>2795</v>
      </c>
      <c r="D13" s="53" t="s">
        <v>2796</v>
      </c>
      <c r="E13" s="53" t="s">
        <v>2797</v>
      </c>
      <c r="F13" s="53" t="s">
        <v>2798</v>
      </c>
      <c r="G13" s="53" t="s">
        <v>2799</v>
      </c>
      <c r="H13" s="54" t="s">
        <v>2592</v>
      </c>
    </row>
    <row r="14" spans="1:8" ht="409.6" x14ac:dyDescent="0.2">
      <c r="A14" s="60" t="s">
        <v>1781</v>
      </c>
      <c r="B14" s="54" t="s">
        <v>2800</v>
      </c>
      <c r="C14" s="53" t="s">
        <v>2801</v>
      </c>
      <c r="D14" s="53" t="s">
        <v>2802</v>
      </c>
      <c r="E14" s="53" t="s">
        <v>2803</v>
      </c>
      <c r="F14" s="53" t="s">
        <v>2804</v>
      </c>
      <c r="G14" s="53" t="s">
        <v>2805</v>
      </c>
      <c r="H14" s="54" t="s">
        <v>2592</v>
      </c>
    </row>
    <row r="15" spans="1:8" ht="304" x14ac:dyDescent="0.2">
      <c r="A15" s="60" t="s">
        <v>1860</v>
      </c>
      <c r="B15" s="54" t="s">
        <v>2800</v>
      </c>
      <c r="C15" s="53" t="s">
        <v>2806</v>
      </c>
      <c r="D15" s="53" t="s">
        <v>2807</v>
      </c>
      <c r="E15" s="53" t="s">
        <v>2808</v>
      </c>
      <c r="F15" s="53" t="s">
        <v>2809</v>
      </c>
      <c r="G15" s="53" t="s">
        <v>2810</v>
      </c>
      <c r="H15" s="54" t="s">
        <v>2592</v>
      </c>
    </row>
    <row r="16" spans="1:8" ht="304" x14ac:dyDescent="0.2">
      <c r="A16" s="60" t="s">
        <v>1935</v>
      </c>
      <c r="B16" s="54" t="s">
        <v>2800</v>
      </c>
      <c r="C16" s="53" t="s">
        <v>2811</v>
      </c>
      <c r="D16" s="53" t="s">
        <v>2812</v>
      </c>
      <c r="E16" s="53" t="s">
        <v>2813</v>
      </c>
      <c r="F16" s="53" t="s">
        <v>2814</v>
      </c>
      <c r="G16" s="53" t="s">
        <v>2763</v>
      </c>
      <c r="H16" s="54" t="s">
        <v>2592</v>
      </c>
    </row>
    <row r="17" spans="1:8" ht="409.6" x14ac:dyDescent="0.2">
      <c r="A17" s="60" t="s">
        <v>2029</v>
      </c>
      <c r="B17" s="54" t="s">
        <v>2800</v>
      </c>
      <c r="C17" s="53" t="s">
        <v>2815</v>
      </c>
      <c r="D17" s="53" t="s">
        <v>2816</v>
      </c>
      <c r="E17" s="53" t="s">
        <v>2817</v>
      </c>
      <c r="F17" s="53" t="s">
        <v>2818</v>
      </c>
      <c r="G17" s="53" t="s">
        <v>2819</v>
      </c>
      <c r="H17" s="54" t="s">
        <v>2592</v>
      </c>
    </row>
    <row r="18" spans="1:8" ht="323" x14ac:dyDescent="0.2">
      <c r="A18" s="60" t="s">
        <v>2118</v>
      </c>
      <c r="B18" s="54" t="s">
        <v>2800</v>
      </c>
      <c r="C18" s="53" t="s">
        <v>2820</v>
      </c>
      <c r="D18" s="53" t="s">
        <v>2821</v>
      </c>
      <c r="E18" s="53" t="s">
        <v>2822</v>
      </c>
      <c r="F18" s="53" t="s">
        <v>2823</v>
      </c>
      <c r="G18" s="53" t="s">
        <v>2763</v>
      </c>
      <c r="H18" s="54" t="s">
        <v>2592</v>
      </c>
    </row>
    <row r="19" spans="1:8" ht="409.6" x14ac:dyDescent="0.2">
      <c r="A19" s="60" t="s">
        <v>2215</v>
      </c>
      <c r="B19" s="54" t="s">
        <v>2800</v>
      </c>
      <c r="C19" s="53" t="s">
        <v>2824</v>
      </c>
      <c r="D19" s="53" t="s">
        <v>2825</v>
      </c>
      <c r="E19" s="53" t="s">
        <v>2826</v>
      </c>
      <c r="F19" s="53" t="s">
        <v>2827</v>
      </c>
      <c r="G19" s="53" t="s">
        <v>2828</v>
      </c>
      <c r="H19" s="54" t="s">
        <v>2592</v>
      </c>
    </row>
    <row r="20" spans="1:8" ht="323" x14ac:dyDescent="0.2">
      <c r="A20" s="60" t="s">
        <v>2303</v>
      </c>
      <c r="B20" s="54" t="s">
        <v>2800</v>
      </c>
      <c r="C20" s="53" t="s">
        <v>2829</v>
      </c>
      <c r="D20" s="53" t="s">
        <v>2830</v>
      </c>
      <c r="E20" s="53" t="s">
        <v>2831</v>
      </c>
      <c r="F20" s="53" t="s">
        <v>2832</v>
      </c>
      <c r="G20" s="53" t="s">
        <v>2833</v>
      </c>
      <c r="H20" s="54" t="s">
        <v>2592</v>
      </c>
    </row>
    <row r="21" spans="1:8" ht="285" x14ac:dyDescent="0.2">
      <c r="A21" s="60" t="s">
        <v>2443</v>
      </c>
      <c r="B21" s="54" t="s">
        <v>2800</v>
      </c>
      <c r="C21" s="53" t="s">
        <v>2834</v>
      </c>
      <c r="D21" s="53" t="s">
        <v>2835</v>
      </c>
      <c r="E21" s="53" t="s">
        <v>2836</v>
      </c>
      <c r="F21" s="53" t="s">
        <v>2837</v>
      </c>
      <c r="G21" s="53" t="s">
        <v>2838</v>
      </c>
      <c r="H21" s="54" t="s">
        <v>2592</v>
      </c>
    </row>
  </sheetData>
  <autoFilter ref="A1:H21" xr:uid="{00000000-0009-0000-0000-000006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F3950-A423-4871-A799-52669E731782}">
  <dimension ref="A1:E10"/>
  <sheetViews>
    <sheetView workbookViewId="0">
      <selection activeCell="D18" sqref="D18"/>
    </sheetView>
  </sheetViews>
  <sheetFormatPr baseColWidth="10" defaultColWidth="8.83203125" defaultRowHeight="15" x14ac:dyDescent="0.2"/>
  <cols>
    <col min="1" max="1" width="20.5" bestFit="1" customWidth="1"/>
    <col min="2" max="2" width="72.1640625" customWidth="1"/>
    <col min="3" max="3" width="46" customWidth="1"/>
    <col min="4" max="4" width="50.6640625" customWidth="1"/>
    <col min="5" max="5" width="52.5" customWidth="1"/>
  </cols>
  <sheetData>
    <row r="1" spans="1:5" ht="18" x14ac:dyDescent="0.2">
      <c r="A1" s="65" t="s">
        <v>2839</v>
      </c>
      <c r="B1" s="66" t="s">
        <v>2840</v>
      </c>
      <c r="C1" s="66" t="s">
        <v>2841</v>
      </c>
      <c r="D1" s="66" t="s">
        <v>2842</v>
      </c>
      <c r="E1" s="66" t="s">
        <v>2843</v>
      </c>
    </row>
    <row r="2" spans="1:5" ht="18" x14ac:dyDescent="0.2">
      <c r="A2" s="80" t="s">
        <v>2844</v>
      </c>
      <c r="B2" s="81" t="s">
        <v>2845</v>
      </c>
      <c r="C2" s="81" t="s">
        <v>2846</v>
      </c>
      <c r="D2" s="81" t="s">
        <v>2847</v>
      </c>
      <c r="E2" s="82" t="s">
        <v>2848</v>
      </c>
    </row>
    <row r="3" spans="1:5" ht="18" x14ac:dyDescent="0.2">
      <c r="A3" s="80" t="s">
        <v>2849</v>
      </c>
      <c r="B3" s="81" t="s">
        <v>2850</v>
      </c>
      <c r="C3" s="81" t="s">
        <v>2851</v>
      </c>
      <c r="D3" s="81" t="s">
        <v>2852</v>
      </c>
      <c r="E3" s="82" t="s">
        <v>2853</v>
      </c>
    </row>
    <row r="4" spans="1:5" ht="18" x14ac:dyDescent="0.2">
      <c r="A4" s="80" t="s">
        <v>2854</v>
      </c>
      <c r="B4" s="81" t="s">
        <v>2855</v>
      </c>
      <c r="C4" s="81" t="s">
        <v>2856</v>
      </c>
      <c r="D4" s="81" t="s">
        <v>2857</v>
      </c>
      <c r="E4" s="82" t="s">
        <v>2858</v>
      </c>
    </row>
    <row r="5" spans="1:5" ht="18" x14ac:dyDescent="0.2">
      <c r="A5" s="80" t="s">
        <v>2859</v>
      </c>
      <c r="B5" s="81" t="s">
        <v>2860</v>
      </c>
      <c r="C5" s="81" t="s">
        <v>2861</v>
      </c>
      <c r="D5" s="81" t="s">
        <v>2862</v>
      </c>
      <c r="E5" s="82" t="s">
        <v>2863</v>
      </c>
    </row>
    <row r="6" spans="1:5" ht="18" x14ac:dyDescent="0.2">
      <c r="A6" s="80" t="s">
        <v>2864</v>
      </c>
      <c r="B6" s="81" t="s">
        <v>2865</v>
      </c>
      <c r="C6" s="81" t="s">
        <v>2866</v>
      </c>
      <c r="D6" s="81" t="s">
        <v>2867</v>
      </c>
      <c r="E6" s="82" t="s">
        <v>2868</v>
      </c>
    </row>
    <row r="7" spans="1:5" ht="18" x14ac:dyDescent="0.2">
      <c r="A7" s="80" t="s">
        <v>2869</v>
      </c>
      <c r="B7" s="81" t="s">
        <v>2870</v>
      </c>
      <c r="C7" s="81" t="s">
        <v>2871</v>
      </c>
      <c r="D7" s="81" t="s">
        <v>2872</v>
      </c>
      <c r="E7" s="82" t="s">
        <v>2873</v>
      </c>
    </row>
    <row r="8" spans="1:5" ht="18" x14ac:dyDescent="0.2">
      <c r="A8" s="83" t="s">
        <v>2874</v>
      </c>
      <c r="B8" s="91" t="s">
        <v>2875</v>
      </c>
      <c r="C8" s="91"/>
      <c r="D8" s="91"/>
      <c r="E8" s="92"/>
    </row>
    <row r="9" spans="1:5" ht="18" x14ac:dyDescent="0.2">
      <c r="A9" s="83" t="s">
        <v>2876</v>
      </c>
      <c r="B9" s="91" t="s">
        <v>2877</v>
      </c>
      <c r="C9" s="91"/>
      <c r="D9" s="91"/>
      <c r="E9" s="92"/>
    </row>
    <row r="10" spans="1:5" ht="18" x14ac:dyDescent="0.2">
      <c r="A10" s="83" t="s">
        <v>2878</v>
      </c>
      <c r="B10" s="91" t="s">
        <v>2879</v>
      </c>
      <c r="C10" s="91"/>
      <c r="D10" s="91"/>
      <c r="E10" s="92"/>
    </row>
  </sheetData>
  <mergeCells count="3">
    <mergeCell ref="B8:E8"/>
    <mergeCell ref="B9:E9"/>
    <mergeCell ref="B10:E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78C18-43E4-4462-BD2E-989827C9E146}">
  <dimension ref="A1:L26"/>
  <sheetViews>
    <sheetView workbookViewId="0">
      <selection activeCell="O32" sqref="O32"/>
    </sheetView>
  </sheetViews>
  <sheetFormatPr baseColWidth="10" defaultColWidth="8.83203125" defaultRowHeight="15" x14ac:dyDescent="0.2"/>
  <cols>
    <col min="1" max="1" width="7.33203125" bestFit="1" customWidth="1"/>
    <col min="2" max="2" width="29.33203125" customWidth="1"/>
    <col min="3" max="3" width="56.1640625" customWidth="1"/>
    <col min="4" max="4" width="32.83203125" customWidth="1"/>
    <col min="5" max="5" width="8" customWidth="1"/>
    <col min="6" max="6" width="7.33203125" customWidth="1"/>
    <col min="7" max="7" width="7.5" customWidth="1"/>
    <col min="8" max="8" width="7.1640625" customWidth="1"/>
    <col min="9" max="9" width="6.5" customWidth="1"/>
    <col min="10" max="10" width="7" customWidth="1"/>
    <col min="11" max="11" width="8.83203125" customWidth="1"/>
    <col min="12" max="12" width="73.83203125" customWidth="1"/>
  </cols>
  <sheetData>
    <row r="1" spans="1:12" ht="19" x14ac:dyDescent="0.2">
      <c r="A1" s="69" t="s">
        <v>429</v>
      </c>
      <c r="B1" s="70" t="s">
        <v>34</v>
      </c>
      <c r="C1" s="70" t="s">
        <v>35</v>
      </c>
      <c r="D1" s="71" t="s">
        <v>37</v>
      </c>
      <c r="E1" s="71" t="s">
        <v>2844</v>
      </c>
      <c r="F1" s="72" t="s">
        <v>2849</v>
      </c>
      <c r="G1" s="73" t="s">
        <v>2854</v>
      </c>
      <c r="H1" s="72" t="s">
        <v>2859</v>
      </c>
      <c r="I1" s="74" t="s">
        <v>2864</v>
      </c>
      <c r="J1" s="73" t="s">
        <v>2869</v>
      </c>
      <c r="K1" s="72" t="s">
        <v>2549</v>
      </c>
      <c r="L1" s="70" t="s">
        <v>2880</v>
      </c>
    </row>
    <row r="2" spans="1:12" ht="57" x14ac:dyDescent="0.2">
      <c r="A2" s="75" t="s">
        <v>44</v>
      </c>
      <c r="B2" s="76" t="s">
        <v>45</v>
      </c>
      <c r="C2" s="76" t="s">
        <v>46</v>
      </c>
      <c r="D2" s="76" t="s">
        <v>47</v>
      </c>
      <c r="E2" s="76">
        <v>2</v>
      </c>
      <c r="F2" s="76">
        <v>2</v>
      </c>
      <c r="G2" s="76">
        <v>1</v>
      </c>
      <c r="H2" s="76">
        <v>2</v>
      </c>
      <c r="I2" s="76">
        <v>2</v>
      </c>
      <c r="J2" s="76">
        <v>2</v>
      </c>
      <c r="K2" s="76">
        <v>11</v>
      </c>
      <c r="L2" s="76" t="s">
        <v>2881</v>
      </c>
    </row>
    <row r="3" spans="1:12" ht="38" x14ac:dyDescent="0.2">
      <c r="A3" s="75" t="s">
        <v>54</v>
      </c>
      <c r="B3" s="76" t="s">
        <v>55</v>
      </c>
      <c r="C3" s="76" t="s">
        <v>56</v>
      </c>
      <c r="D3" s="76" t="s">
        <v>57</v>
      </c>
      <c r="E3" s="76">
        <v>2</v>
      </c>
      <c r="F3" s="76">
        <v>2</v>
      </c>
      <c r="G3" s="76">
        <v>2</v>
      </c>
      <c r="H3" s="76">
        <v>2</v>
      </c>
      <c r="I3" s="76">
        <v>2</v>
      </c>
      <c r="J3" s="76">
        <v>2</v>
      </c>
      <c r="K3" s="76">
        <v>12</v>
      </c>
      <c r="L3" s="76" t="s">
        <v>2882</v>
      </c>
    </row>
    <row r="4" spans="1:12" ht="38" x14ac:dyDescent="0.2">
      <c r="A4" s="75" t="s">
        <v>63</v>
      </c>
      <c r="B4" s="76" t="s">
        <v>64</v>
      </c>
      <c r="C4" s="76" t="s">
        <v>65</v>
      </c>
      <c r="D4" s="76" t="s">
        <v>66</v>
      </c>
      <c r="E4" s="76">
        <v>2</v>
      </c>
      <c r="F4" s="76">
        <v>2</v>
      </c>
      <c r="G4" s="76">
        <v>1</v>
      </c>
      <c r="H4" s="76">
        <v>2</v>
      </c>
      <c r="I4" s="76">
        <v>2</v>
      </c>
      <c r="J4" s="76">
        <v>1</v>
      </c>
      <c r="K4" s="76">
        <v>10</v>
      </c>
      <c r="L4" s="76" t="s">
        <v>2883</v>
      </c>
    </row>
    <row r="5" spans="1:12" ht="38" x14ac:dyDescent="0.2">
      <c r="A5" s="75" t="s">
        <v>73</v>
      </c>
      <c r="B5" s="76" t="s">
        <v>74</v>
      </c>
      <c r="C5" s="76" t="s">
        <v>75</v>
      </c>
      <c r="D5" s="76" t="s">
        <v>76</v>
      </c>
      <c r="E5" s="76">
        <v>2</v>
      </c>
      <c r="F5" s="76">
        <v>2</v>
      </c>
      <c r="G5" s="76">
        <v>2</v>
      </c>
      <c r="H5" s="76">
        <v>2</v>
      </c>
      <c r="I5" s="76">
        <v>2</v>
      </c>
      <c r="J5" s="76">
        <v>2</v>
      </c>
      <c r="K5" s="76">
        <v>12</v>
      </c>
      <c r="L5" s="76" t="s">
        <v>2884</v>
      </c>
    </row>
    <row r="6" spans="1:12" ht="57" x14ac:dyDescent="0.2">
      <c r="A6" s="75" t="s">
        <v>83</v>
      </c>
      <c r="B6" s="76" t="s">
        <v>84</v>
      </c>
      <c r="C6" s="76" t="s">
        <v>85</v>
      </c>
      <c r="D6" s="76" t="s">
        <v>86</v>
      </c>
      <c r="E6" s="76">
        <v>2</v>
      </c>
      <c r="F6" s="76">
        <v>2</v>
      </c>
      <c r="G6" s="76">
        <v>2</v>
      </c>
      <c r="H6" s="76">
        <v>2</v>
      </c>
      <c r="I6" s="76">
        <v>2</v>
      </c>
      <c r="J6" s="76">
        <v>2</v>
      </c>
      <c r="K6" s="76">
        <v>12</v>
      </c>
      <c r="L6" s="76" t="s">
        <v>2885</v>
      </c>
    </row>
    <row r="7" spans="1:12" ht="228" x14ac:dyDescent="0.2">
      <c r="A7" s="75" t="s">
        <v>93</v>
      </c>
      <c r="B7" s="76" t="s">
        <v>94</v>
      </c>
      <c r="C7" s="76" t="s">
        <v>95</v>
      </c>
      <c r="D7" s="76" t="s">
        <v>96</v>
      </c>
      <c r="E7" s="76">
        <v>2</v>
      </c>
      <c r="F7" s="76">
        <v>2</v>
      </c>
      <c r="G7" s="76">
        <v>1</v>
      </c>
      <c r="H7" s="76">
        <v>2</v>
      </c>
      <c r="I7" s="76">
        <v>2</v>
      </c>
      <c r="J7" s="76">
        <v>1</v>
      </c>
      <c r="K7" s="76">
        <v>10</v>
      </c>
      <c r="L7" s="76" t="s">
        <v>2886</v>
      </c>
    </row>
    <row r="8" spans="1:12" ht="57" x14ac:dyDescent="0.2">
      <c r="A8" s="75" t="s">
        <v>103</v>
      </c>
      <c r="B8" s="76" t="s">
        <v>104</v>
      </c>
      <c r="C8" s="76" t="s">
        <v>105</v>
      </c>
      <c r="D8" s="76" t="s">
        <v>2887</v>
      </c>
      <c r="E8" s="76">
        <v>2</v>
      </c>
      <c r="F8" s="76">
        <v>2</v>
      </c>
      <c r="G8" s="76">
        <v>1</v>
      </c>
      <c r="H8" s="76">
        <v>2</v>
      </c>
      <c r="I8" s="76">
        <v>2</v>
      </c>
      <c r="J8" s="76">
        <v>1</v>
      </c>
      <c r="K8" s="76">
        <v>10</v>
      </c>
      <c r="L8" s="76" t="s">
        <v>2888</v>
      </c>
    </row>
    <row r="9" spans="1:12" ht="76" x14ac:dyDescent="0.2">
      <c r="A9" s="75" t="s">
        <v>113</v>
      </c>
      <c r="B9" s="76" t="s">
        <v>114</v>
      </c>
      <c r="C9" s="76" t="s">
        <v>115</v>
      </c>
      <c r="D9" s="76" t="s">
        <v>116</v>
      </c>
      <c r="E9" s="76">
        <v>2</v>
      </c>
      <c r="F9" s="76">
        <v>2</v>
      </c>
      <c r="G9" s="76">
        <v>1</v>
      </c>
      <c r="H9" s="76">
        <v>2</v>
      </c>
      <c r="I9" s="76">
        <v>2</v>
      </c>
      <c r="J9" s="76">
        <v>1</v>
      </c>
      <c r="K9" s="76">
        <v>10</v>
      </c>
      <c r="L9" s="76" t="s">
        <v>2889</v>
      </c>
    </row>
    <row r="10" spans="1:12" ht="133" x14ac:dyDescent="0.2">
      <c r="A10" s="75" t="s">
        <v>122</v>
      </c>
      <c r="B10" s="76" t="s">
        <v>74</v>
      </c>
      <c r="C10" s="76" t="s">
        <v>123</v>
      </c>
      <c r="D10" s="76" t="s">
        <v>124</v>
      </c>
      <c r="E10" s="76">
        <v>2</v>
      </c>
      <c r="F10" s="76">
        <v>2</v>
      </c>
      <c r="G10" s="76">
        <v>1</v>
      </c>
      <c r="H10" s="76">
        <v>2</v>
      </c>
      <c r="I10" s="76">
        <v>2</v>
      </c>
      <c r="J10" s="76">
        <v>1</v>
      </c>
      <c r="K10" s="76">
        <v>10</v>
      </c>
      <c r="L10" s="76" t="s">
        <v>2890</v>
      </c>
    </row>
    <row r="11" spans="1:12" ht="76" x14ac:dyDescent="0.2">
      <c r="A11" s="75" t="s">
        <v>130</v>
      </c>
      <c r="B11" s="76" t="s">
        <v>131</v>
      </c>
      <c r="C11" s="76" t="s">
        <v>132</v>
      </c>
      <c r="D11" s="76" t="s">
        <v>124</v>
      </c>
      <c r="E11" s="76">
        <v>2</v>
      </c>
      <c r="F11" s="76">
        <v>2</v>
      </c>
      <c r="G11" s="76">
        <v>2</v>
      </c>
      <c r="H11" s="76">
        <v>2</v>
      </c>
      <c r="I11" s="76">
        <v>2</v>
      </c>
      <c r="J11" s="76">
        <v>1</v>
      </c>
      <c r="K11" s="76">
        <v>11</v>
      </c>
      <c r="L11" s="76" t="s">
        <v>2891</v>
      </c>
    </row>
    <row r="12" spans="1:12" ht="57" x14ac:dyDescent="0.2">
      <c r="A12" s="75" t="s">
        <v>139</v>
      </c>
      <c r="B12" s="76" t="s">
        <v>140</v>
      </c>
      <c r="C12" s="76" t="s">
        <v>141</v>
      </c>
      <c r="D12" s="76" t="s">
        <v>142</v>
      </c>
      <c r="E12" s="76">
        <v>2</v>
      </c>
      <c r="F12" s="76">
        <v>2</v>
      </c>
      <c r="G12" s="76">
        <v>1</v>
      </c>
      <c r="H12" s="76">
        <v>2</v>
      </c>
      <c r="I12" s="76">
        <v>2</v>
      </c>
      <c r="J12" s="76">
        <v>2</v>
      </c>
      <c r="K12" s="76">
        <v>11</v>
      </c>
      <c r="L12" s="76" t="s">
        <v>2881</v>
      </c>
    </row>
    <row r="13" spans="1:12" ht="38" x14ac:dyDescent="0.2">
      <c r="A13" s="75" t="s">
        <v>149</v>
      </c>
      <c r="B13" s="76" t="s">
        <v>150</v>
      </c>
      <c r="C13" s="76" t="s">
        <v>151</v>
      </c>
      <c r="D13" s="76" t="s">
        <v>152</v>
      </c>
      <c r="E13" s="76">
        <v>2</v>
      </c>
      <c r="F13" s="76">
        <v>2</v>
      </c>
      <c r="G13" s="76">
        <v>2</v>
      </c>
      <c r="H13" s="76">
        <v>2</v>
      </c>
      <c r="I13" s="76">
        <v>2</v>
      </c>
      <c r="J13" s="76">
        <v>2</v>
      </c>
      <c r="K13" s="76">
        <v>12</v>
      </c>
      <c r="L13" s="76" t="s">
        <v>2882</v>
      </c>
    </row>
    <row r="14" spans="1:12" ht="38" x14ac:dyDescent="0.2">
      <c r="A14" s="75" t="s">
        <v>159</v>
      </c>
      <c r="B14" s="76" t="s">
        <v>160</v>
      </c>
      <c r="C14" s="76" t="s">
        <v>161</v>
      </c>
      <c r="D14" s="76" t="s">
        <v>162</v>
      </c>
      <c r="E14" s="76">
        <v>2</v>
      </c>
      <c r="F14" s="76">
        <v>2</v>
      </c>
      <c r="G14" s="76">
        <v>2</v>
      </c>
      <c r="H14" s="76">
        <v>2</v>
      </c>
      <c r="I14" s="76">
        <v>2</v>
      </c>
      <c r="J14" s="76">
        <v>2</v>
      </c>
      <c r="K14" s="76">
        <v>12</v>
      </c>
      <c r="L14" s="76" t="s">
        <v>2882</v>
      </c>
    </row>
    <row r="15" spans="1:12" ht="114" x14ac:dyDescent="0.2">
      <c r="A15" s="75" t="s">
        <v>169</v>
      </c>
      <c r="B15" s="76" t="s">
        <v>170</v>
      </c>
      <c r="C15" s="76" t="s">
        <v>171</v>
      </c>
      <c r="D15" s="76" t="s">
        <v>172</v>
      </c>
      <c r="E15" s="76">
        <v>2</v>
      </c>
      <c r="F15" s="76">
        <v>2</v>
      </c>
      <c r="G15" s="76">
        <v>2</v>
      </c>
      <c r="H15" s="76">
        <v>2</v>
      </c>
      <c r="I15" s="76">
        <v>2</v>
      </c>
      <c r="J15" s="84">
        <v>0</v>
      </c>
      <c r="K15" s="76">
        <v>10</v>
      </c>
      <c r="L15" s="76" t="s">
        <v>2892</v>
      </c>
    </row>
    <row r="16" spans="1:12" ht="57" x14ac:dyDescent="0.2">
      <c r="A16" s="75" t="s">
        <v>179</v>
      </c>
      <c r="B16" s="76" t="s">
        <v>180</v>
      </c>
      <c r="C16" s="76" t="s">
        <v>181</v>
      </c>
      <c r="D16" s="76" t="s">
        <v>162</v>
      </c>
      <c r="E16" s="76">
        <v>2</v>
      </c>
      <c r="F16" s="76">
        <v>2</v>
      </c>
      <c r="G16" s="76">
        <v>2</v>
      </c>
      <c r="H16" s="76">
        <v>2</v>
      </c>
      <c r="I16" s="76">
        <v>2</v>
      </c>
      <c r="J16" s="76">
        <v>2</v>
      </c>
      <c r="K16" s="76">
        <v>12</v>
      </c>
      <c r="L16" s="76" t="s">
        <v>2893</v>
      </c>
    </row>
    <row r="17" spans="1:12" ht="76" x14ac:dyDescent="0.2">
      <c r="A17" s="75" t="s">
        <v>188</v>
      </c>
      <c r="B17" s="76" t="s">
        <v>189</v>
      </c>
      <c r="C17" s="76" t="s">
        <v>190</v>
      </c>
      <c r="D17" s="76" t="s">
        <v>2894</v>
      </c>
      <c r="E17" s="76">
        <v>2</v>
      </c>
      <c r="F17" s="76">
        <v>2</v>
      </c>
      <c r="G17" s="76">
        <v>1</v>
      </c>
      <c r="H17" s="76">
        <v>2</v>
      </c>
      <c r="I17" s="76">
        <v>2</v>
      </c>
      <c r="J17" s="76">
        <v>1</v>
      </c>
      <c r="K17" s="76">
        <v>10</v>
      </c>
      <c r="L17" s="76" t="s">
        <v>2895</v>
      </c>
    </row>
    <row r="18" spans="1:12" ht="190" x14ac:dyDescent="0.2">
      <c r="A18" s="75" t="s">
        <v>198</v>
      </c>
      <c r="B18" s="76" t="s">
        <v>199</v>
      </c>
      <c r="C18" s="76" t="s">
        <v>200</v>
      </c>
      <c r="D18" s="76" t="s">
        <v>201</v>
      </c>
      <c r="E18" s="76">
        <v>2</v>
      </c>
      <c r="F18" s="76">
        <v>2</v>
      </c>
      <c r="G18" s="76">
        <v>1</v>
      </c>
      <c r="H18" s="76">
        <v>2</v>
      </c>
      <c r="I18" s="76">
        <v>2</v>
      </c>
      <c r="J18" s="76">
        <v>1</v>
      </c>
      <c r="K18" s="76">
        <v>10</v>
      </c>
      <c r="L18" s="76" t="s">
        <v>2896</v>
      </c>
    </row>
    <row r="19" spans="1:12" ht="38" x14ac:dyDescent="0.2">
      <c r="A19" s="75" t="s">
        <v>208</v>
      </c>
      <c r="B19" s="76" t="s">
        <v>209</v>
      </c>
      <c r="C19" s="76" t="s">
        <v>2897</v>
      </c>
      <c r="D19" s="76" t="s">
        <v>211</v>
      </c>
      <c r="E19" s="76">
        <v>2</v>
      </c>
      <c r="F19" s="76">
        <v>2</v>
      </c>
      <c r="G19" s="76">
        <v>2</v>
      </c>
      <c r="H19" s="76">
        <v>2</v>
      </c>
      <c r="I19" s="76">
        <v>2</v>
      </c>
      <c r="J19" s="76">
        <v>2</v>
      </c>
      <c r="K19" s="76">
        <v>12</v>
      </c>
      <c r="L19" s="76" t="s">
        <v>2882</v>
      </c>
    </row>
    <row r="20" spans="1:12" ht="171" x14ac:dyDescent="0.2">
      <c r="A20" s="75" t="s">
        <v>218</v>
      </c>
      <c r="B20" s="76" t="s">
        <v>94</v>
      </c>
      <c r="C20" s="76" t="s">
        <v>219</v>
      </c>
      <c r="D20" s="76" t="s">
        <v>220</v>
      </c>
      <c r="E20" s="76">
        <v>2</v>
      </c>
      <c r="F20" s="76">
        <v>2</v>
      </c>
      <c r="G20" s="76">
        <v>2</v>
      </c>
      <c r="H20" s="76">
        <v>2</v>
      </c>
      <c r="I20" s="76">
        <v>2</v>
      </c>
      <c r="J20" s="76">
        <v>1</v>
      </c>
      <c r="K20" s="76">
        <v>11</v>
      </c>
      <c r="L20" s="76" t="s">
        <v>2898</v>
      </c>
    </row>
    <row r="21" spans="1:12" ht="57" x14ac:dyDescent="0.2">
      <c r="A21" s="75" t="s">
        <v>227</v>
      </c>
      <c r="B21" s="76" t="s">
        <v>228</v>
      </c>
      <c r="C21" s="76" t="s">
        <v>229</v>
      </c>
      <c r="D21" s="76" t="s">
        <v>2899</v>
      </c>
      <c r="E21" s="76">
        <v>2</v>
      </c>
      <c r="F21" s="76">
        <v>2</v>
      </c>
      <c r="G21" s="76">
        <v>2</v>
      </c>
      <c r="H21" s="76">
        <v>2</v>
      </c>
      <c r="I21" s="76">
        <v>2</v>
      </c>
      <c r="J21" s="76">
        <v>2</v>
      </c>
      <c r="K21" s="76">
        <v>12</v>
      </c>
      <c r="L21" s="76" t="s">
        <v>2900</v>
      </c>
    </row>
    <row r="22" spans="1:12" ht="38" x14ac:dyDescent="0.2">
      <c r="A22" s="75" t="s">
        <v>237</v>
      </c>
      <c r="B22" s="76" t="s">
        <v>238</v>
      </c>
      <c r="C22" s="76" t="s">
        <v>239</v>
      </c>
      <c r="D22" s="76" t="s">
        <v>2901</v>
      </c>
      <c r="E22" s="76">
        <v>2</v>
      </c>
      <c r="F22" s="76">
        <v>2</v>
      </c>
      <c r="G22" s="76">
        <v>2</v>
      </c>
      <c r="H22" s="76">
        <v>2</v>
      </c>
      <c r="I22" s="76">
        <v>2</v>
      </c>
      <c r="J22" s="84">
        <v>0</v>
      </c>
      <c r="K22" s="76">
        <v>10</v>
      </c>
      <c r="L22" s="76" t="s">
        <v>2902</v>
      </c>
    </row>
    <row r="23" spans="1:12" ht="409.5" customHeight="1" x14ac:dyDescent="0.2">
      <c r="A23" s="75" t="s">
        <v>247</v>
      </c>
      <c r="B23" s="76" t="s">
        <v>248</v>
      </c>
      <c r="C23" s="76" t="s">
        <v>249</v>
      </c>
      <c r="D23" s="76" t="s">
        <v>2903</v>
      </c>
      <c r="E23" s="76">
        <v>2</v>
      </c>
      <c r="F23" s="76">
        <v>2</v>
      </c>
      <c r="G23" s="76">
        <v>1</v>
      </c>
      <c r="H23" s="76">
        <v>2</v>
      </c>
      <c r="I23" s="76">
        <v>2</v>
      </c>
      <c r="J23" s="76">
        <v>1</v>
      </c>
      <c r="K23" s="76">
        <v>10</v>
      </c>
      <c r="L23" s="76" t="s">
        <v>2904</v>
      </c>
    </row>
    <row r="24" spans="1:12" ht="38" x14ac:dyDescent="0.2">
      <c r="A24" s="75" t="s">
        <v>257</v>
      </c>
      <c r="B24" s="76" t="s">
        <v>258</v>
      </c>
      <c r="C24" s="76" t="s">
        <v>259</v>
      </c>
      <c r="D24" s="76" t="s">
        <v>66</v>
      </c>
      <c r="E24" s="76">
        <v>2</v>
      </c>
      <c r="F24" s="76">
        <v>2</v>
      </c>
      <c r="G24" s="76">
        <v>1</v>
      </c>
      <c r="H24" s="76">
        <v>2</v>
      </c>
      <c r="I24" s="76">
        <v>1</v>
      </c>
      <c r="J24" s="76">
        <v>1</v>
      </c>
      <c r="K24" s="76">
        <v>9</v>
      </c>
      <c r="L24" s="76" t="s">
        <v>2905</v>
      </c>
    </row>
    <row r="25" spans="1:12" x14ac:dyDescent="0.2">
      <c r="A25" s="67"/>
      <c r="B25" s="67"/>
      <c r="C25" s="67"/>
      <c r="D25" s="67"/>
      <c r="E25" s="67"/>
      <c r="F25" s="67"/>
      <c r="G25" s="67"/>
      <c r="H25" s="67"/>
      <c r="I25" s="67"/>
      <c r="J25" s="67"/>
      <c r="K25" s="67"/>
      <c r="L25" s="67"/>
    </row>
    <row r="26" spans="1:12" x14ac:dyDescent="0.2">
      <c r="A26" s="68"/>
      <c r="B26" s="68"/>
      <c r="C26" s="68"/>
      <c r="D26" s="68"/>
      <c r="E26" s="68"/>
      <c r="F26" s="68"/>
      <c r="G26" s="68"/>
      <c r="H26" s="68"/>
      <c r="I26" s="68"/>
      <c r="J26" s="68"/>
      <c r="K26" s="68"/>
      <c r="L26" s="67"/>
    </row>
  </sheetData>
  <conditionalFormatting sqref="E1:K24">
    <cfRule type="cellIs" dxfId="3" priority="2" operator="equal">
      <formula>1</formula>
    </cfRule>
  </conditionalFormatting>
  <conditionalFormatting sqref="E2:K24">
    <cfRule type="cellIs" dxfId="2" priority="1" operator="equal">
      <formula>1</formula>
    </cfRule>
  </conditionalFormatting>
  <conditionalFormatting sqref="Q9">
    <cfRule type="cellIs" dxfId="1" priority="3" operator="equal">
      <formula>1</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36DA6-2F61-4FB7-9CE8-1B68CFB95903}">
  <dimension ref="A1:F139"/>
  <sheetViews>
    <sheetView workbookViewId="0">
      <selection activeCell="F134" sqref="F134"/>
    </sheetView>
  </sheetViews>
  <sheetFormatPr baseColWidth="10" defaultColWidth="8.83203125" defaultRowHeight="15" x14ac:dyDescent="0.2"/>
  <cols>
    <col min="1" max="1" width="7.33203125" bestFit="1" customWidth="1"/>
    <col min="2" max="2" width="56.33203125" customWidth="1"/>
    <col min="3" max="3" width="10.5" customWidth="1"/>
    <col min="4" max="4" width="7.33203125" style="8" bestFit="1" customWidth="1"/>
    <col min="5" max="5" width="43.5" customWidth="1"/>
    <col min="6" max="6" width="83" customWidth="1"/>
  </cols>
  <sheetData>
    <row r="1" spans="1:6" s="8" customFormat="1" ht="19" x14ac:dyDescent="0.2">
      <c r="A1" s="69" t="s">
        <v>429</v>
      </c>
      <c r="B1" s="70" t="s">
        <v>35</v>
      </c>
      <c r="C1" s="70" t="s">
        <v>2839</v>
      </c>
      <c r="D1" s="70" t="s">
        <v>2906</v>
      </c>
      <c r="E1" s="70" t="s">
        <v>2907</v>
      </c>
      <c r="F1" s="70" t="s">
        <v>2908</v>
      </c>
    </row>
    <row r="2" spans="1:6" ht="190" x14ac:dyDescent="0.2">
      <c r="A2" s="77" t="s">
        <v>44</v>
      </c>
      <c r="B2" s="78" t="s">
        <v>46</v>
      </c>
      <c r="C2" s="78" t="s">
        <v>2844</v>
      </c>
      <c r="D2" s="79">
        <v>2</v>
      </c>
      <c r="E2" s="78" t="s">
        <v>2909</v>
      </c>
      <c r="F2" s="78" t="s">
        <v>2910</v>
      </c>
    </row>
    <row r="3" spans="1:6" ht="171" x14ac:dyDescent="0.2">
      <c r="A3" s="77" t="s">
        <v>44</v>
      </c>
      <c r="B3" s="78" t="s">
        <v>46</v>
      </c>
      <c r="C3" s="78" t="s">
        <v>2849</v>
      </c>
      <c r="D3" s="79">
        <v>2</v>
      </c>
      <c r="E3" s="78" t="s">
        <v>2911</v>
      </c>
      <c r="F3" s="78" t="s">
        <v>2912</v>
      </c>
    </row>
    <row r="4" spans="1:6" ht="190" x14ac:dyDescent="0.2">
      <c r="A4" s="77" t="s">
        <v>44</v>
      </c>
      <c r="B4" s="78" t="s">
        <v>46</v>
      </c>
      <c r="C4" s="78" t="s">
        <v>2854</v>
      </c>
      <c r="D4" s="79">
        <v>1</v>
      </c>
      <c r="E4" s="78" t="s">
        <v>2913</v>
      </c>
      <c r="F4" s="78" t="s">
        <v>2914</v>
      </c>
    </row>
    <row r="5" spans="1:6" ht="152" x14ac:dyDescent="0.2">
      <c r="A5" s="77" t="s">
        <v>44</v>
      </c>
      <c r="B5" s="78" t="s">
        <v>46</v>
      </c>
      <c r="C5" s="78" t="s">
        <v>2859</v>
      </c>
      <c r="D5" s="79">
        <v>2</v>
      </c>
      <c r="E5" s="78" t="s">
        <v>2915</v>
      </c>
      <c r="F5" s="78" t="s">
        <v>2916</v>
      </c>
    </row>
    <row r="6" spans="1:6" ht="152" x14ac:dyDescent="0.2">
      <c r="A6" s="77" t="s">
        <v>44</v>
      </c>
      <c r="B6" s="78" t="s">
        <v>46</v>
      </c>
      <c r="C6" s="78" t="s">
        <v>2864</v>
      </c>
      <c r="D6" s="79">
        <v>2</v>
      </c>
      <c r="E6" s="78" t="s">
        <v>2917</v>
      </c>
      <c r="F6" s="78" t="s">
        <v>2918</v>
      </c>
    </row>
    <row r="7" spans="1:6" ht="133" x14ac:dyDescent="0.2">
      <c r="A7" s="77" t="s">
        <v>44</v>
      </c>
      <c r="B7" s="78" t="s">
        <v>46</v>
      </c>
      <c r="C7" s="78" t="s">
        <v>2869</v>
      </c>
      <c r="D7" s="79">
        <v>2</v>
      </c>
      <c r="E7" s="78" t="s">
        <v>2919</v>
      </c>
      <c r="F7" s="78" t="s">
        <v>2920</v>
      </c>
    </row>
    <row r="8" spans="1:6" ht="152" x14ac:dyDescent="0.2">
      <c r="A8" s="77" t="s">
        <v>54</v>
      </c>
      <c r="B8" s="78" t="s">
        <v>56</v>
      </c>
      <c r="C8" s="78" t="s">
        <v>2844</v>
      </c>
      <c r="D8" s="79">
        <v>2</v>
      </c>
      <c r="E8" s="78" t="s">
        <v>2921</v>
      </c>
      <c r="F8" s="78" t="s">
        <v>2922</v>
      </c>
    </row>
    <row r="9" spans="1:6" ht="171" x14ac:dyDescent="0.2">
      <c r="A9" s="77" t="s">
        <v>54</v>
      </c>
      <c r="B9" s="78" t="s">
        <v>56</v>
      </c>
      <c r="C9" s="78" t="s">
        <v>2849</v>
      </c>
      <c r="D9" s="79">
        <v>2</v>
      </c>
      <c r="E9" s="78" t="s">
        <v>2923</v>
      </c>
      <c r="F9" s="78" t="s">
        <v>2924</v>
      </c>
    </row>
    <row r="10" spans="1:6" ht="228" x14ac:dyDescent="0.2">
      <c r="A10" s="77" t="s">
        <v>54</v>
      </c>
      <c r="B10" s="78" t="s">
        <v>56</v>
      </c>
      <c r="C10" s="78" t="s">
        <v>2854</v>
      </c>
      <c r="D10" s="79">
        <v>2</v>
      </c>
      <c r="E10" s="78" t="s">
        <v>2925</v>
      </c>
      <c r="F10" s="78" t="s">
        <v>2926</v>
      </c>
    </row>
    <row r="11" spans="1:6" ht="114" x14ac:dyDescent="0.2">
      <c r="A11" s="77" t="s">
        <v>54</v>
      </c>
      <c r="B11" s="78" t="s">
        <v>56</v>
      </c>
      <c r="C11" s="78" t="s">
        <v>2859</v>
      </c>
      <c r="D11" s="79">
        <v>2</v>
      </c>
      <c r="E11" s="78" t="s">
        <v>2927</v>
      </c>
      <c r="F11" s="78" t="s">
        <v>2928</v>
      </c>
    </row>
    <row r="12" spans="1:6" ht="190" x14ac:dyDescent="0.2">
      <c r="A12" s="77" t="s">
        <v>54</v>
      </c>
      <c r="B12" s="78" t="s">
        <v>56</v>
      </c>
      <c r="C12" s="78" t="s">
        <v>2864</v>
      </c>
      <c r="D12" s="79">
        <v>2</v>
      </c>
      <c r="E12" s="78" t="s">
        <v>2929</v>
      </c>
      <c r="F12" s="78" t="s">
        <v>2930</v>
      </c>
    </row>
    <row r="13" spans="1:6" ht="209" x14ac:dyDescent="0.2">
      <c r="A13" s="77" t="s">
        <v>54</v>
      </c>
      <c r="B13" s="78" t="s">
        <v>56</v>
      </c>
      <c r="C13" s="78" t="s">
        <v>2869</v>
      </c>
      <c r="D13" s="79">
        <v>2</v>
      </c>
      <c r="E13" s="78" t="s">
        <v>2931</v>
      </c>
      <c r="F13" s="78" t="s">
        <v>2932</v>
      </c>
    </row>
    <row r="14" spans="1:6" ht="171" x14ac:dyDescent="0.2">
      <c r="A14" s="77" t="s">
        <v>63</v>
      </c>
      <c r="B14" s="78" t="s">
        <v>65</v>
      </c>
      <c r="C14" s="78" t="s">
        <v>2844</v>
      </c>
      <c r="D14" s="79">
        <v>2</v>
      </c>
      <c r="E14" s="78" t="s">
        <v>2933</v>
      </c>
      <c r="F14" s="78" t="s">
        <v>2934</v>
      </c>
    </row>
    <row r="15" spans="1:6" ht="171" x14ac:dyDescent="0.2">
      <c r="A15" s="77" t="s">
        <v>63</v>
      </c>
      <c r="B15" s="78" t="s">
        <v>65</v>
      </c>
      <c r="C15" s="78" t="s">
        <v>2849</v>
      </c>
      <c r="D15" s="79">
        <v>2</v>
      </c>
      <c r="E15" s="78" t="s">
        <v>2935</v>
      </c>
      <c r="F15" s="78" t="s">
        <v>2936</v>
      </c>
    </row>
    <row r="16" spans="1:6" ht="304" x14ac:dyDescent="0.2">
      <c r="A16" s="77" t="s">
        <v>63</v>
      </c>
      <c r="B16" s="78" t="s">
        <v>65</v>
      </c>
      <c r="C16" s="78" t="s">
        <v>2854</v>
      </c>
      <c r="D16" s="79">
        <v>1</v>
      </c>
      <c r="E16" s="78" t="s">
        <v>2937</v>
      </c>
      <c r="F16" s="78" t="s">
        <v>2938</v>
      </c>
    </row>
    <row r="17" spans="1:6" ht="114" x14ac:dyDescent="0.2">
      <c r="A17" s="77" t="s">
        <v>63</v>
      </c>
      <c r="B17" s="78" t="s">
        <v>65</v>
      </c>
      <c r="C17" s="78" t="s">
        <v>2859</v>
      </c>
      <c r="D17" s="79">
        <v>2</v>
      </c>
      <c r="E17" s="78" t="s">
        <v>2939</v>
      </c>
      <c r="F17" s="78" t="s">
        <v>2940</v>
      </c>
    </row>
    <row r="18" spans="1:6" ht="190" x14ac:dyDescent="0.2">
      <c r="A18" s="77" t="s">
        <v>63</v>
      </c>
      <c r="B18" s="78" t="s">
        <v>65</v>
      </c>
      <c r="C18" s="78" t="s">
        <v>2864</v>
      </c>
      <c r="D18" s="79">
        <v>2</v>
      </c>
      <c r="E18" s="78" t="s">
        <v>2941</v>
      </c>
      <c r="F18" s="78" t="s">
        <v>2942</v>
      </c>
    </row>
    <row r="19" spans="1:6" ht="209" x14ac:dyDescent="0.2">
      <c r="A19" s="77" t="s">
        <v>63</v>
      </c>
      <c r="B19" s="78" t="s">
        <v>65</v>
      </c>
      <c r="C19" s="78" t="s">
        <v>2869</v>
      </c>
      <c r="D19" s="79">
        <v>1</v>
      </c>
      <c r="E19" s="78" t="s">
        <v>2943</v>
      </c>
      <c r="F19" s="78" t="s">
        <v>2944</v>
      </c>
    </row>
    <row r="20" spans="1:6" ht="133" x14ac:dyDescent="0.2">
      <c r="A20" s="77" t="s">
        <v>73</v>
      </c>
      <c r="B20" s="78" t="s">
        <v>75</v>
      </c>
      <c r="C20" s="78" t="s">
        <v>2844</v>
      </c>
      <c r="D20" s="79">
        <v>2</v>
      </c>
      <c r="E20" s="78" t="s">
        <v>2933</v>
      </c>
      <c r="F20" s="78" t="s">
        <v>2945</v>
      </c>
    </row>
    <row r="21" spans="1:6" ht="171" x14ac:dyDescent="0.2">
      <c r="A21" s="77" t="s">
        <v>73</v>
      </c>
      <c r="B21" s="78" t="s">
        <v>75</v>
      </c>
      <c r="C21" s="78" t="s">
        <v>2849</v>
      </c>
      <c r="D21" s="79">
        <v>2</v>
      </c>
      <c r="E21" s="78" t="s">
        <v>2946</v>
      </c>
      <c r="F21" s="78" t="s">
        <v>2947</v>
      </c>
    </row>
    <row r="22" spans="1:6" ht="190" x14ac:dyDescent="0.2">
      <c r="A22" s="77" t="s">
        <v>73</v>
      </c>
      <c r="B22" s="78" t="s">
        <v>75</v>
      </c>
      <c r="C22" s="78" t="s">
        <v>2854</v>
      </c>
      <c r="D22" s="79">
        <v>2</v>
      </c>
      <c r="E22" s="78" t="s">
        <v>2948</v>
      </c>
      <c r="F22" s="78" t="s">
        <v>2949</v>
      </c>
    </row>
    <row r="23" spans="1:6" ht="133" x14ac:dyDescent="0.2">
      <c r="A23" s="77" t="s">
        <v>73</v>
      </c>
      <c r="B23" s="78" t="s">
        <v>75</v>
      </c>
      <c r="C23" s="78" t="s">
        <v>2859</v>
      </c>
      <c r="D23" s="79">
        <v>2</v>
      </c>
      <c r="E23" s="78" t="s">
        <v>2950</v>
      </c>
      <c r="F23" s="78" t="s">
        <v>2951</v>
      </c>
    </row>
    <row r="24" spans="1:6" ht="209" x14ac:dyDescent="0.2">
      <c r="A24" s="77" t="s">
        <v>73</v>
      </c>
      <c r="B24" s="78" t="s">
        <v>75</v>
      </c>
      <c r="C24" s="78" t="s">
        <v>2864</v>
      </c>
      <c r="D24" s="79">
        <v>2</v>
      </c>
      <c r="E24" s="78" t="s">
        <v>2952</v>
      </c>
      <c r="F24" s="78" t="s">
        <v>2953</v>
      </c>
    </row>
    <row r="25" spans="1:6" ht="228" x14ac:dyDescent="0.2">
      <c r="A25" s="77" t="s">
        <v>73</v>
      </c>
      <c r="B25" s="78" t="s">
        <v>75</v>
      </c>
      <c r="C25" s="78" t="s">
        <v>2869</v>
      </c>
      <c r="D25" s="79">
        <v>2</v>
      </c>
      <c r="E25" s="78" t="s">
        <v>2954</v>
      </c>
      <c r="F25" s="78" t="s">
        <v>2955</v>
      </c>
    </row>
    <row r="26" spans="1:6" ht="171" x14ac:dyDescent="0.2">
      <c r="A26" s="77" t="s">
        <v>83</v>
      </c>
      <c r="B26" s="78" t="s">
        <v>85</v>
      </c>
      <c r="C26" s="78" t="s">
        <v>2844</v>
      </c>
      <c r="D26" s="79">
        <v>2</v>
      </c>
      <c r="E26" s="78" t="s">
        <v>2956</v>
      </c>
      <c r="F26" s="78" t="s">
        <v>2957</v>
      </c>
    </row>
    <row r="27" spans="1:6" ht="190" x14ac:dyDescent="0.2">
      <c r="A27" s="77" t="s">
        <v>83</v>
      </c>
      <c r="B27" s="78" t="s">
        <v>85</v>
      </c>
      <c r="C27" s="78" t="s">
        <v>2849</v>
      </c>
      <c r="D27" s="79">
        <v>2</v>
      </c>
      <c r="E27" s="78" t="s">
        <v>2958</v>
      </c>
      <c r="F27" s="78" t="s">
        <v>2959</v>
      </c>
    </row>
    <row r="28" spans="1:6" ht="342" x14ac:dyDescent="0.2">
      <c r="A28" s="77" t="s">
        <v>83</v>
      </c>
      <c r="B28" s="78" t="s">
        <v>85</v>
      </c>
      <c r="C28" s="78" t="s">
        <v>2854</v>
      </c>
      <c r="D28" s="79">
        <v>2</v>
      </c>
      <c r="E28" s="78" t="s">
        <v>2960</v>
      </c>
      <c r="F28" s="78" t="s">
        <v>2961</v>
      </c>
    </row>
    <row r="29" spans="1:6" ht="95" x14ac:dyDescent="0.2">
      <c r="A29" s="77" t="s">
        <v>83</v>
      </c>
      <c r="B29" s="78" t="s">
        <v>85</v>
      </c>
      <c r="C29" s="78" t="s">
        <v>2859</v>
      </c>
      <c r="D29" s="79">
        <v>2</v>
      </c>
      <c r="E29" s="78" t="s">
        <v>2962</v>
      </c>
      <c r="F29" s="78" t="s">
        <v>2963</v>
      </c>
    </row>
    <row r="30" spans="1:6" ht="171" x14ac:dyDescent="0.2">
      <c r="A30" s="77" t="s">
        <v>83</v>
      </c>
      <c r="B30" s="78" t="s">
        <v>85</v>
      </c>
      <c r="C30" s="78" t="s">
        <v>2864</v>
      </c>
      <c r="D30" s="79">
        <v>2</v>
      </c>
      <c r="E30" s="78" t="s">
        <v>2964</v>
      </c>
      <c r="F30" s="78" t="s">
        <v>2965</v>
      </c>
    </row>
    <row r="31" spans="1:6" ht="323" x14ac:dyDescent="0.2">
      <c r="A31" s="77" t="s">
        <v>83</v>
      </c>
      <c r="B31" s="78" t="s">
        <v>85</v>
      </c>
      <c r="C31" s="78" t="s">
        <v>2869</v>
      </c>
      <c r="D31" s="79">
        <v>2</v>
      </c>
      <c r="E31" s="78" t="s">
        <v>2966</v>
      </c>
      <c r="F31" s="78" t="s">
        <v>2967</v>
      </c>
    </row>
    <row r="32" spans="1:6" ht="152" x14ac:dyDescent="0.2">
      <c r="A32" s="77" t="s">
        <v>93</v>
      </c>
      <c r="B32" s="78" t="s">
        <v>95</v>
      </c>
      <c r="C32" s="78" t="s">
        <v>2844</v>
      </c>
      <c r="D32" s="79">
        <v>2</v>
      </c>
      <c r="E32" s="78" t="s">
        <v>2968</v>
      </c>
      <c r="F32" s="78" t="s">
        <v>2969</v>
      </c>
    </row>
    <row r="33" spans="1:6" ht="171" x14ac:dyDescent="0.2">
      <c r="A33" s="77" t="s">
        <v>93</v>
      </c>
      <c r="B33" s="78" t="s">
        <v>95</v>
      </c>
      <c r="C33" s="78" t="s">
        <v>2849</v>
      </c>
      <c r="D33" s="79">
        <v>2</v>
      </c>
      <c r="E33" s="78" t="s">
        <v>2970</v>
      </c>
      <c r="F33" s="78" t="s">
        <v>2971</v>
      </c>
    </row>
    <row r="34" spans="1:6" ht="266" x14ac:dyDescent="0.2">
      <c r="A34" s="77" t="s">
        <v>93</v>
      </c>
      <c r="B34" s="78" t="s">
        <v>95</v>
      </c>
      <c r="C34" s="78" t="s">
        <v>2854</v>
      </c>
      <c r="D34" s="79">
        <v>1</v>
      </c>
      <c r="E34" s="78" t="s">
        <v>2972</v>
      </c>
      <c r="F34" s="78" t="s">
        <v>2973</v>
      </c>
    </row>
    <row r="35" spans="1:6" ht="76" x14ac:dyDescent="0.2">
      <c r="A35" s="77" t="s">
        <v>93</v>
      </c>
      <c r="B35" s="78" t="s">
        <v>95</v>
      </c>
      <c r="C35" s="78" t="s">
        <v>2859</v>
      </c>
      <c r="D35" s="79">
        <v>2</v>
      </c>
      <c r="E35" s="78" t="s">
        <v>2974</v>
      </c>
      <c r="F35" s="78" t="s">
        <v>2975</v>
      </c>
    </row>
    <row r="36" spans="1:6" ht="266" x14ac:dyDescent="0.2">
      <c r="A36" s="77" t="s">
        <v>93</v>
      </c>
      <c r="B36" s="78" t="s">
        <v>95</v>
      </c>
      <c r="C36" s="78" t="s">
        <v>2864</v>
      </c>
      <c r="D36" s="79">
        <v>2</v>
      </c>
      <c r="E36" s="78" t="s">
        <v>2976</v>
      </c>
      <c r="F36" s="78" t="s">
        <v>2977</v>
      </c>
    </row>
    <row r="37" spans="1:6" ht="209" x14ac:dyDescent="0.2">
      <c r="A37" s="77" t="s">
        <v>93</v>
      </c>
      <c r="B37" s="78" t="s">
        <v>95</v>
      </c>
      <c r="C37" s="78" t="s">
        <v>2869</v>
      </c>
      <c r="D37" s="79">
        <v>1</v>
      </c>
      <c r="E37" s="78" t="s">
        <v>2978</v>
      </c>
      <c r="F37" s="78" t="s">
        <v>2979</v>
      </c>
    </row>
    <row r="38" spans="1:6" ht="228" x14ac:dyDescent="0.2">
      <c r="A38" s="77" t="s">
        <v>103</v>
      </c>
      <c r="B38" s="78" t="s">
        <v>105</v>
      </c>
      <c r="C38" s="78" t="s">
        <v>2844</v>
      </c>
      <c r="D38" s="79">
        <v>2</v>
      </c>
      <c r="E38" s="78" t="s">
        <v>2980</v>
      </c>
      <c r="F38" s="78" t="s">
        <v>2981</v>
      </c>
    </row>
    <row r="39" spans="1:6" ht="95" x14ac:dyDescent="0.2">
      <c r="A39" s="77" t="s">
        <v>103</v>
      </c>
      <c r="B39" s="78" t="s">
        <v>105</v>
      </c>
      <c r="C39" s="78" t="s">
        <v>2849</v>
      </c>
      <c r="D39" s="79">
        <v>2</v>
      </c>
      <c r="E39" s="78" t="s">
        <v>2982</v>
      </c>
      <c r="F39" s="78" t="s">
        <v>2983</v>
      </c>
    </row>
    <row r="40" spans="1:6" ht="266" x14ac:dyDescent="0.2">
      <c r="A40" s="77" t="s">
        <v>103</v>
      </c>
      <c r="B40" s="78" t="s">
        <v>105</v>
      </c>
      <c r="C40" s="78" t="s">
        <v>2854</v>
      </c>
      <c r="D40" s="79">
        <v>1</v>
      </c>
      <c r="E40" s="78" t="s">
        <v>2984</v>
      </c>
      <c r="F40" s="78" t="s">
        <v>2985</v>
      </c>
    </row>
    <row r="41" spans="1:6" ht="95" x14ac:dyDescent="0.2">
      <c r="A41" s="77" t="s">
        <v>103</v>
      </c>
      <c r="B41" s="78" t="s">
        <v>105</v>
      </c>
      <c r="C41" s="78" t="s">
        <v>2859</v>
      </c>
      <c r="D41" s="79">
        <v>2</v>
      </c>
      <c r="E41" s="78" t="s">
        <v>2986</v>
      </c>
      <c r="F41" s="78" t="s">
        <v>2987</v>
      </c>
    </row>
    <row r="42" spans="1:6" ht="285" x14ac:dyDescent="0.2">
      <c r="A42" s="77" t="s">
        <v>103</v>
      </c>
      <c r="B42" s="78" t="s">
        <v>105</v>
      </c>
      <c r="C42" s="78" t="s">
        <v>2864</v>
      </c>
      <c r="D42" s="79">
        <v>2</v>
      </c>
      <c r="E42" s="78" t="s">
        <v>2988</v>
      </c>
      <c r="F42" s="78" t="s">
        <v>2989</v>
      </c>
    </row>
    <row r="43" spans="1:6" ht="247" x14ac:dyDescent="0.2">
      <c r="A43" s="77" t="s">
        <v>103</v>
      </c>
      <c r="B43" s="78" t="s">
        <v>105</v>
      </c>
      <c r="C43" s="78" t="s">
        <v>2869</v>
      </c>
      <c r="D43" s="79">
        <v>1</v>
      </c>
      <c r="E43" s="78" t="s">
        <v>2990</v>
      </c>
      <c r="F43" s="78" t="s">
        <v>2991</v>
      </c>
    </row>
    <row r="44" spans="1:6" ht="133" x14ac:dyDescent="0.2">
      <c r="A44" s="77" t="s">
        <v>113</v>
      </c>
      <c r="B44" s="78" t="s">
        <v>115</v>
      </c>
      <c r="C44" s="78" t="s">
        <v>2844</v>
      </c>
      <c r="D44" s="79">
        <v>2</v>
      </c>
      <c r="E44" s="78" t="s">
        <v>2992</v>
      </c>
      <c r="F44" s="78" t="s">
        <v>2993</v>
      </c>
    </row>
    <row r="45" spans="1:6" ht="190" x14ac:dyDescent="0.2">
      <c r="A45" s="77" t="s">
        <v>113</v>
      </c>
      <c r="B45" s="78" t="s">
        <v>115</v>
      </c>
      <c r="C45" s="78" t="s">
        <v>2849</v>
      </c>
      <c r="D45" s="79">
        <v>2</v>
      </c>
      <c r="E45" s="78" t="s">
        <v>2994</v>
      </c>
      <c r="F45" s="78" t="s">
        <v>2995</v>
      </c>
    </row>
    <row r="46" spans="1:6" ht="266" x14ac:dyDescent="0.2">
      <c r="A46" s="77" t="s">
        <v>113</v>
      </c>
      <c r="B46" s="78" t="s">
        <v>115</v>
      </c>
      <c r="C46" s="78" t="s">
        <v>2854</v>
      </c>
      <c r="D46" s="79">
        <v>1</v>
      </c>
      <c r="E46" s="78" t="s">
        <v>2996</v>
      </c>
      <c r="F46" s="78" t="s">
        <v>2997</v>
      </c>
    </row>
    <row r="47" spans="1:6" ht="114" x14ac:dyDescent="0.2">
      <c r="A47" s="77" t="s">
        <v>113</v>
      </c>
      <c r="B47" s="78" t="s">
        <v>115</v>
      </c>
      <c r="C47" s="78" t="s">
        <v>2859</v>
      </c>
      <c r="D47" s="79">
        <v>2</v>
      </c>
      <c r="E47" s="78" t="s">
        <v>2998</v>
      </c>
      <c r="F47" s="78" t="s">
        <v>2999</v>
      </c>
    </row>
    <row r="48" spans="1:6" ht="304" x14ac:dyDescent="0.2">
      <c r="A48" s="77" t="s">
        <v>113</v>
      </c>
      <c r="B48" s="78" t="s">
        <v>115</v>
      </c>
      <c r="C48" s="78" t="s">
        <v>2864</v>
      </c>
      <c r="D48" s="79">
        <v>2</v>
      </c>
      <c r="E48" s="78" t="s">
        <v>3000</v>
      </c>
      <c r="F48" s="78" t="s">
        <v>3001</v>
      </c>
    </row>
    <row r="49" spans="1:6" ht="209" x14ac:dyDescent="0.2">
      <c r="A49" s="77" t="s">
        <v>113</v>
      </c>
      <c r="B49" s="78" t="s">
        <v>115</v>
      </c>
      <c r="C49" s="78" t="s">
        <v>2869</v>
      </c>
      <c r="D49" s="79">
        <v>1</v>
      </c>
      <c r="E49" s="78" t="s">
        <v>3002</v>
      </c>
      <c r="F49" s="78" t="s">
        <v>3003</v>
      </c>
    </row>
    <row r="50" spans="1:6" ht="152" x14ac:dyDescent="0.2">
      <c r="A50" s="77" t="s">
        <v>122</v>
      </c>
      <c r="B50" s="78" t="s">
        <v>123</v>
      </c>
      <c r="C50" s="78" t="s">
        <v>2844</v>
      </c>
      <c r="D50" s="79">
        <v>2</v>
      </c>
      <c r="E50" s="78" t="s">
        <v>3004</v>
      </c>
      <c r="F50" s="78" t="s">
        <v>3005</v>
      </c>
    </row>
    <row r="51" spans="1:6" ht="190" x14ac:dyDescent="0.2">
      <c r="A51" s="77" t="s">
        <v>122</v>
      </c>
      <c r="B51" s="78" t="s">
        <v>123</v>
      </c>
      <c r="C51" s="78" t="s">
        <v>2849</v>
      </c>
      <c r="D51" s="79">
        <v>2</v>
      </c>
      <c r="E51" s="78" t="s">
        <v>3006</v>
      </c>
      <c r="F51" s="78" t="s">
        <v>3007</v>
      </c>
    </row>
    <row r="52" spans="1:6" ht="247" x14ac:dyDescent="0.2">
      <c r="A52" s="77" t="s">
        <v>122</v>
      </c>
      <c r="B52" s="78" t="s">
        <v>123</v>
      </c>
      <c r="C52" s="78" t="s">
        <v>2854</v>
      </c>
      <c r="D52" s="79">
        <v>1</v>
      </c>
      <c r="E52" s="78" t="s">
        <v>3008</v>
      </c>
      <c r="F52" s="78" t="s">
        <v>3009</v>
      </c>
    </row>
    <row r="53" spans="1:6" ht="114" x14ac:dyDescent="0.2">
      <c r="A53" s="77" t="s">
        <v>122</v>
      </c>
      <c r="B53" s="78" t="s">
        <v>123</v>
      </c>
      <c r="C53" s="78" t="s">
        <v>2859</v>
      </c>
      <c r="D53" s="79">
        <v>2</v>
      </c>
      <c r="E53" s="78" t="s">
        <v>3010</v>
      </c>
      <c r="F53" s="78" t="s">
        <v>3011</v>
      </c>
    </row>
    <row r="54" spans="1:6" ht="247" x14ac:dyDescent="0.2">
      <c r="A54" s="77" t="s">
        <v>122</v>
      </c>
      <c r="B54" s="78" t="s">
        <v>123</v>
      </c>
      <c r="C54" s="78" t="s">
        <v>2864</v>
      </c>
      <c r="D54" s="79">
        <v>2</v>
      </c>
      <c r="E54" s="78" t="s">
        <v>3012</v>
      </c>
      <c r="F54" s="78" t="s">
        <v>3013</v>
      </c>
    </row>
    <row r="55" spans="1:6" ht="152" x14ac:dyDescent="0.2">
      <c r="A55" s="77" t="s">
        <v>122</v>
      </c>
      <c r="B55" s="78" t="s">
        <v>123</v>
      </c>
      <c r="C55" s="78" t="s">
        <v>2869</v>
      </c>
      <c r="D55" s="79">
        <v>1</v>
      </c>
      <c r="E55" s="78" t="s">
        <v>3014</v>
      </c>
      <c r="F55" s="78" t="s">
        <v>3015</v>
      </c>
    </row>
    <row r="56" spans="1:6" ht="190" x14ac:dyDescent="0.2">
      <c r="A56" s="77" t="s">
        <v>130</v>
      </c>
      <c r="B56" s="78" t="s">
        <v>132</v>
      </c>
      <c r="C56" s="78" t="s">
        <v>2844</v>
      </c>
      <c r="D56" s="79">
        <v>2</v>
      </c>
      <c r="E56" s="78" t="s">
        <v>3016</v>
      </c>
      <c r="F56" s="78" t="s">
        <v>3017</v>
      </c>
    </row>
    <row r="57" spans="1:6" ht="285" x14ac:dyDescent="0.2">
      <c r="A57" s="77" t="s">
        <v>130</v>
      </c>
      <c r="B57" s="78" t="s">
        <v>132</v>
      </c>
      <c r="C57" s="78" t="s">
        <v>2849</v>
      </c>
      <c r="D57" s="79">
        <v>2</v>
      </c>
      <c r="E57" s="78" t="s">
        <v>3018</v>
      </c>
      <c r="F57" s="78" t="s">
        <v>3019</v>
      </c>
    </row>
    <row r="58" spans="1:6" ht="323" x14ac:dyDescent="0.2">
      <c r="A58" s="77" t="s">
        <v>130</v>
      </c>
      <c r="B58" s="78" t="s">
        <v>132</v>
      </c>
      <c r="C58" s="78" t="s">
        <v>2854</v>
      </c>
      <c r="D58" s="79">
        <v>2</v>
      </c>
      <c r="E58" s="78" t="s">
        <v>3020</v>
      </c>
      <c r="F58" s="78" t="s">
        <v>3021</v>
      </c>
    </row>
    <row r="59" spans="1:6" ht="95" x14ac:dyDescent="0.2">
      <c r="A59" s="77" t="s">
        <v>130</v>
      </c>
      <c r="B59" s="78" t="s">
        <v>132</v>
      </c>
      <c r="C59" s="78" t="s">
        <v>2859</v>
      </c>
      <c r="D59" s="79">
        <v>2</v>
      </c>
      <c r="E59" s="78" t="s">
        <v>3022</v>
      </c>
      <c r="F59" s="78" t="s">
        <v>3023</v>
      </c>
    </row>
    <row r="60" spans="1:6" ht="266" x14ac:dyDescent="0.2">
      <c r="A60" s="77" t="s">
        <v>130</v>
      </c>
      <c r="B60" s="78" t="s">
        <v>132</v>
      </c>
      <c r="C60" s="78" t="s">
        <v>2864</v>
      </c>
      <c r="D60" s="79">
        <v>2</v>
      </c>
      <c r="E60" s="78" t="s">
        <v>3024</v>
      </c>
      <c r="F60" s="78" t="s">
        <v>3025</v>
      </c>
    </row>
    <row r="61" spans="1:6" ht="190" x14ac:dyDescent="0.2">
      <c r="A61" s="77" t="s">
        <v>130</v>
      </c>
      <c r="B61" s="78" t="s">
        <v>132</v>
      </c>
      <c r="C61" s="78" t="s">
        <v>2869</v>
      </c>
      <c r="D61" s="79">
        <v>1</v>
      </c>
      <c r="E61" s="78" t="s">
        <v>3026</v>
      </c>
      <c r="F61" s="78" t="s">
        <v>3027</v>
      </c>
    </row>
    <row r="62" spans="1:6" ht="190" x14ac:dyDescent="0.2">
      <c r="A62" s="77" t="s">
        <v>139</v>
      </c>
      <c r="B62" s="78" t="s">
        <v>141</v>
      </c>
      <c r="C62" s="78" t="s">
        <v>2844</v>
      </c>
      <c r="D62" s="79">
        <v>2</v>
      </c>
      <c r="E62" s="78" t="s">
        <v>3028</v>
      </c>
      <c r="F62" s="78" t="s">
        <v>3029</v>
      </c>
    </row>
    <row r="63" spans="1:6" ht="190" x14ac:dyDescent="0.2">
      <c r="A63" s="77" t="s">
        <v>139</v>
      </c>
      <c r="B63" s="78" t="s">
        <v>141</v>
      </c>
      <c r="C63" s="78" t="s">
        <v>2849</v>
      </c>
      <c r="D63" s="79">
        <v>2</v>
      </c>
      <c r="E63" s="78" t="s">
        <v>3030</v>
      </c>
      <c r="F63" s="78" t="s">
        <v>3031</v>
      </c>
    </row>
    <row r="64" spans="1:6" ht="247" x14ac:dyDescent="0.2">
      <c r="A64" s="77" t="s">
        <v>139</v>
      </c>
      <c r="B64" s="78" t="s">
        <v>141</v>
      </c>
      <c r="C64" s="78" t="s">
        <v>2854</v>
      </c>
      <c r="D64" s="79">
        <v>1</v>
      </c>
      <c r="E64" s="78" t="s">
        <v>3032</v>
      </c>
      <c r="F64" s="78" t="s">
        <v>3033</v>
      </c>
    </row>
    <row r="65" spans="1:6" ht="114" x14ac:dyDescent="0.2">
      <c r="A65" s="77" t="s">
        <v>139</v>
      </c>
      <c r="B65" s="78" t="s">
        <v>141</v>
      </c>
      <c r="C65" s="78" t="s">
        <v>2859</v>
      </c>
      <c r="D65" s="79">
        <v>2</v>
      </c>
      <c r="E65" s="78" t="s">
        <v>3034</v>
      </c>
      <c r="F65" s="78" t="s">
        <v>3035</v>
      </c>
    </row>
    <row r="66" spans="1:6" ht="209" x14ac:dyDescent="0.2">
      <c r="A66" s="77" t="s">
        <v>139</v>
      </c>
      <c r="B66" s="78" t="s">
        <v>141</v>
      </c>
      <c r="C66" s="78" t="s">
        <v>2864</v>
      </c>
      <c r="D66" s="79">
        <v>2</v>
      </c>
      <c r="E66" s="78" t="s">
        <v>3036</v>
      </c>
      <c r="F66" s="78" t="s">
        <v>3037</v>
      </c>
    </row>
    <row r="67" spans="1:6" ht="228" x14ac:dyDescent="0.2">
      <c r="A67" s="77" t="s">
        <v>139</v>
      </c>
      <c r="B67" s="78" t="s">
        <v>141</v>
      </c>
      <c r="C67" s="78" t="s">
        <v>2869</v>
      </c>
      <c r="D67" s="79">
        <v>2</v>
      </c>
      <c r="E67" s="78" t="s">
        <v>3038</v>
      </c>
      <c r="F67" s="78" t="s">
        <v>3039</v>
      </c>
    </row>
    <row r="68" spans="1:6" ht="171" x14ac:dyDescent="0.2">
      <c r="A68" s="77" t="s">
        <v>149</v>
      </c>
      <c r="B68" s="78" t="s">
        <v>151</v>
      </c>
      <c r="C68" s="78" t="s">
        <v>2844</v>
      </c>
      <c r="D68" s="79">
        <v>2</v>
      </c>
      <c r="E68" s="78" t="s">
        <v>3040</v>
      </c>
      <c r="F68" s="78" t="s">
        <v>3041</v>
      </c>
    </row>
    <row r="69" spans="1:6" ht="133" x14ac:dyDescent="0.2">
      <c r="A69" s="77" t="s">
        <v>149</v>
      </c>
      <c r="B69" s="78" t="s">
        <v>151</v>
      </c>
      <c r="C69" s="78" t="s">
        <v>2849</v>
      </c>
      <c r="D69" s="79">
        <v>2</v>
      </c>
      <c r="E69" s="78" t="s">
        <v>3042</v>
      </c>
      <c r="F69" s="78" t="s">
        <v>3043</v>
      </c>
    </row>
    <row r="70" spans="1:6" ht="285" x14ac:dyDescent="0.2">
      <c r="A70" s="77" t="s">
        <v>149</v>
      </c>
      <c r="B70" s="78" t="s">
        <v>151</v>
      </c>
      <c r="C70" s="78" t="s">
        <v>2854</v>
      </c>
      <c r="D70" s="79">
        <v>2</v>
      </c>
      <c r="E70" s="78" t="s">
        <v>3044</v>
      </c>
      <c r="F70" s="78" t="s">
        <v>3045</v>
      </c>
    </row>
    <row r="71" spans="1:6" ht="114" x14ac:dyDescent="0.2">
      <c r="A71" s="77" t="s">
        <v>149</v>
      </c>
      <c r="B71" s="78" t="s">
        <v>151</v>
      </c>
      <c r="C71" s="78" t="s">
        <v>2859</v>
      </c>
      <c r="D71" s="79">
        <v>2</v>
      </c>
      <c r="E71" s="78" t="s">
        <v>3046</v>
      </c>
      <c r="F71" s="78" t="s">
        <v>3047</v>
      </c>
    </row>
    <row r="72" spans="1:6" ht="228" x14ac:dyDescent="0.2">
      <c r="A72" s="77" t="s">
        <v>149</v>
      </c>
      <c r="B72" s="78" t="s">
        <v>151</v>
      </c>
      <c r="C72" s="78" t="s">
        <v>2864</v>
      </c>
      <c r="D72" s="79">
        <v>2</v>
      </c>
      <c r="E72" s="78" t="s">
        <v>3048</v>
      </c>
      <c r="F72" s="78" t="s">
        <v>3049</v>
      </c>
    </row>
    <row r="73" spans="1:6" ht="266" x14ac:dyDescent="0.2">
      <c r="A73" s="77" t="s">
        <v>149</v>
      </c>
      <c r="B73" s="78" t="s">
        <v>151</v>
      </c>
      <c r="C73" s="78" t="s">
        <v>2869</v>
      </c>
      <c r="D73" s="79">
        <v>2</v>
      </c>
      <c r="E73" s="78" t="s">
        <v>3050</v>
      </c>
      <c r="F73" s="78" t="s">
        <v>3051</v>
      </c>
    </row>
    <row r="74" spans="1:6" ht="190" x14ac:dyDescent="0.2">
      <c r="A74" s="77" t="s">
        <v>159</v>
      </c>
      <c r="B74" s="78" t="s">
        <v>161</v>
      </c>
      <c r="C74" s="78" t="s">
        <v>2844</v>
      </c>
      <c r="D74" s="79">
        <v>2</v>
      </c>
      <c r="E74" s="78" t="s">
        <v>3052</v>
      </c>
      <c r="F74" s="78" t="s">
        <v>3053</v>
      </c>
    </row>
    <row r="75" spans="1:6" ht="266" x14ac:dyDescent="0.2">
      <c r="A75" s="77" t="s">
        <v>159</v>
      </c>
      <c r="B75" s="78" t="s">
        <v>161</v>
      </c>
      <c r="C75" s="78" t="s">
        <v>2849</v>
      </c>
      <c r="D75" s="79">
        <v>2</v>
      </c>
      <c r="E75" s="78" t="s">
        <v>3054</v>
      </c>
      <c r="F75" s="78" t="s">
        <v>3055</v>
      </c>
    </row>
    <row r="76" spans="1:6" ht="266" x14ac:dyDescent="0.2">
      <c r="A76" s="77" t="s">
        <v>159</v>
      </c>
      <c r="B76" s="78" t="s">
        <v>161</v>
      </c>
      <c r="C76" s="78" t="s">
        <v>2854</v>
      </c>
      <c r="D76" s="79">
        <v>2</v>
      </c>
      <c r="E76" s="78" t="s">
        <v>3056</v>
      </c>
      <c r="F76" s="78" t="s">
        <v>3057</v>
      </c>
    </row>
    <row r="77" spans="1:6" ht="114" x14ac:dyDescent="0.2">
      <c r="A77" s="77" t="s">
        <v>159</v>
      </c>
      <c r="B77" s="78" t="s">
        <v>161</v>
      </c>
      <c r="C77" s="78" t="s">
        <v>2859</v>
      </c>
      <c r="D77" s="79">
        <v>2</v>
      </c>
      <c r="E77" s="78" t="s">
        <v>3058</v>
      </c>
      <c r="F77" s="78" t="s">
        <v>3059</v>
      </c>
    </row>
    <row r="78" spans="1:6" ht="247" x14ac:dyDescent="0.2">
      <c r="A78" s="77" t="s">
        <v>159</v>
      </c>
      <c r="B78" s="78" t="s">
        <v>161</v>
      </c>
      <c r="C78" s="78" t="s">
        <v>2864</v>
      </c>
      <c r="D78" s="79">
        <v>2</v>
      </c>
      <c r="E78" s="78" t="s">
        <v>3060</v>
      </c>
      <c r="F78" s="78" t="s">
        <v>3061</v>
      </c>
    </row>
    <row r="79" spans="1:6" ht="285" x14ac:dyDescent="0.2">
      <c r="A79" s="77" t="s">
        <v>159</v>
      </c>
      <c r="B79" s="78" t="s">
        <v>161</v>
      </c>
      <c r="C79" s="78" t="s">
        <v>2869</v>
      </c>
      <c r="D79" s="79">
        <v>2</v>
      </c>
      <c r="E79" s="78" t="s">
        <v>3062</v>
      </c>
      <c r="F79" s="78" t="s">
        <v>3063</v>
      </c>
    </row>
    <row r="80" spans="1:6" ht="190" x14ac:dyDescent="0.2">
      <c r="A80" s="77" t="s">
        <v>169</v>
      </c>
      <c r="B80" s="78" t="s">
        <v>171</v>
      </c>
      <c r="C80" s="78" t="s">
        <v>2844</v>
      </c>
      <c r="D80" s="79">
        <v>2</v>
      </c>
      <c r="E80" s="78" t="s">
        <v>3064</v>
      </c>
      <c r="F80" s="78" t="s">
        <v>3065</v>
      </c>
    </row>
    <row r="81" spans="1:6" ht="171" x14ac:dyDescent="0.2">
      <c r="A81" s="77" t="s">
        <v>169</v>
      </c>
      <c r="B81" s="78" t="s">
        <v>171</v>
      </c>
      <c r="C81" s="78" t="s">
        <v>2849</v>
      </c>
      <c r="D81" s="79">
        <v>2</v>
      </c>
      <c r="E81" s="78" t="s">
        <v>3066</v>
      </c>
      <c r="F81" s="78" t="s">
        <v>3067</v>
      </c>
    </row>
    <row r="82" spans="1:6" ht="380" x14ac:dyDescent="0.2">
      <c r="A82" s="77" t="s">
        <v>169</v>
      </c>
      <c r="B82" s="78" t="s">
        <v>171</v>
      </c>
      <c r="C82" s="78" t="s">
        <v>2854</v>
      </c>
      <c r="D82" s="79">
        <v>2</v>
      </c>
      <c r="E82" s="78" t="s">
        <v>3068</v>
      </c>
      <c r="F82" s="78" t="s">
        <v>3069</v>
      </c>
    </row>
    <row r="83" spans="1:6" ht="114" x14ac:dyDescent="0.2">
      <c r="A83" s="77" t="s">
        <v>169</v>
      </c>
      <c r="B83" s="78" t="s">
        <v>171</v>
      </c>
      <c r="C83" s="78" t="s">
        <v>2859</v>
      </c>
      <c r="D83" s="79">
        <v>2</v>
      </c>
      <c r="E83" s="78" t="s">
        <v>3070</v>
      </c>
      <c r="F83" s="78" t="s">
        <v>3071</v>
      </c>
    </row>
    <row r="84" spans="1:6" ht="228" x14ac:dyDescent="0.2">
      <c r="A84" s="77" t="s">
        <v>169</v>
      </c>
      <c r="B84" s="78" t="s">
        <v>171</v>
      </c>
      <c r="C84" s="78" t="s">
        <v>2864</v>
      </c>
      <c r="D84" s="79">
        <v>2</v>
      </c>
      <c r="E84" s="78" t="s">
        <v>3072</v>
      </c>
      <c r="F84" s="78" t="s">
        <v>3073</v>
      </c>
    </row>
    <row r="85" spans="1:6" ht="228" x14ac:dyDescent="0.2">
      <c r="A85" s="77" t="s">
        <v>169</v>
      </c>
      <c r="B85" s="78" t="s">
        <v>171</v>
      </c>
      <c r="C85" s="78" t="s">
        <v>2869</v>
      </c>
      <c r="D85" s="79">
        <v>0</v>
      </c>
      <c r="E85" s="78" t="s">
        <v>3074</v>
      </c>
      <c r="F85" s="78" t="s">
        <v>3075</v>
      </c>
    </row>
    <row r="86" spans="1:6" ht="171" x14ac:dyDescent="0.2">
      <c r="A86" s="77" t="s">
        <v>179</v>
      </c>
      <c r="B86" s="78" t="s">
        <v>181</v>
      </c>
      <c r="C86" s="78" t="s">
        <v>2844</v>
      </c>
      <c r="D86" s="79">
        <v>2</v>
      </c>
      <c r="E86" s="78" t="s">
        <v>3076</v>
      </c>
      <c r="F86" s="78" t="s">
        <v>3077</v>
      </c>
    </row>
    <row r="87" spans="1:6" ht="228" x14ac:dyDescent="0.2">
      <c r="A87" s="77" t="s">
        <v>179</v>
      </c>
      <c r="B87" s="78" t="s">
        <v>181</v>
      </c>
      <c r="C87" s="78" t="s">
        <v>2849</v>
      </c>
      <c r="D87" s="79">
        <v>2</v>
      </c>
      <c r="E87" s="78" t="s">
        <v>3078</v>
      </c>
      <c r="F87" s="78" t="s">
        <v>3079</v>
      </c>
    </row>
    <row r="88" spans="1:6" ht="323" x14ac:dyDescent="0.2">
      <c r="A88" s="77" t="s">
        <v>179</v>
      </c>
      <c r="B88" s="78" t="s">
        <v>181</v>
      </c>
      <c r="C88" s="78" t="s">
        <v>2854</v>
      </c>
      <c r="D88" s="79">
        <v>2</v>
      </c>
      <c r="E88" s="78" t="s">
        <v>3080</v>
      </c>
      <c r="F88" s="78" t="s">
        <v>3081</v>
      </c>
    </row>
    <row r="89" spans="1:6" ht="95" x14ac:dyDescent="0.2">
      <c r="A89" s="77" t="s">
        <v>179</v>
      </c>
      <c r="B89" s="78" t="s">
        <v>181</v>
      </c>
      <c r="C89" s="78" t="s">
        <v>2859</v>
      </c>
      <c r="D89" s="79">
        <v>2</v>
      </c>
      <c r="E89" s="78" t="s">
        <v>3082</v>
      </c>
      <c r="F89" s="78" t="s">
        <v>3083</v>
      </c>
    </row>
    <row r="90" spans="1:6" ht="190" x14ac:dyDescent="0.2">
      <c r="A90" s="77" t="s">
        <v>179</v>
      </c>
      <c r="B90" s="78" t="s">
        <v>181</v>
      </c>
      <c r="C90" s="78" t="s">
        <v>2864</v>
      </c>
      <c r="D90" s="79">
        <v>2</v>
      </c>
      <c r="E90" s="78" t="s">
        <v>3084</v>
      </c>
      <c r="F90" s="78" t="s">
        <v>3085</v>
      </c>
    </row>
    <row r="91" spans="1:6" ht="285" x14ac:dyDescent="0.2">
      <c r="A91" s="77" t="s">
        <v>179</v>
      </c>
      <c r="B91" s="78" t="s">
        <v>181</v>
      </c>
      <c r="C91" s="78" t="s">
        <v>2869</v>
      </c>
      <c r="D91" s="79">
        <v>2</v>
      </c>
      <c r="E91" s="78" t="s">
        <v>3086</v>
      </c>
      <c r="F91" s="78" t="s">
        <v>3087</v>
      </c>
    </row>
    <row r="92" spans="1:6" ht="171" x14ac:dyDescent="0.2">
      <c r="A92" s="77" t="s">
        <v>188</v>
      </c>
      <c r="B92" s="78" t="s">
        <v>190</v>
      </c>
      <c r="C92" s="78" t="s">
        <v>2844</v>
      </c>
      <c r="D92" s="79">
        <v>2</v>
      </c>
      <c r="E92" s="78" t="s">
        <v>3088</v>
      </c>
      <c r="F92" s="78" t="s">
        <v>3089</v>
      </c>
    </row>
    <row r="93" spans="1:6" ht="190" x14ac:dyDescent="0.2">
      <c r="A93" s="77" t="s">
        <v>188</v>
      </c>
      <c r="B93" s="78" t="s">
        <v>190</v>
      </c>
      <c r="C93" s="78" t="s">
        <v>2849</v>
      </c>
      <c r="D93" s="79">
        <v>2</v>
      </c>
      <c r="E93" s="78" t="s">
        <v>3090</v>
      </c>
      <c r="F93" s="78" t="s">
        <v>3091</v>
      </c>
    </row>
    <row r="94" spans="1:6" ht="266" x14ac:dyDescent="0.2">
      <c r="A94" s="77" t="s">
        <v>188</v>
      </c>
      <c r="B94" s="78" t="s">
        <v>190</v>
      </c>
      <c r="C94" s="78" t="s">
        <v>2854</v>
      </c>
      <c r="D94" s="79">
        <v>1</v>
      </c>
      <c r="E94" s="78" t="s">
        <v>3092</v>
      </c>
      <c r="F94" s="78" t="s">
        <v>3093</v>
      </c>
    </row>
    <row r="95" spans="1:6" ht="114" x14ac:dyDescent="0.2">
      <c r="A95" s="77" t="s">
        <v>188</v>
      </c>
      <c r="B95" s="78" t="s">
        <v>190</v>
      </c>
      <c r="C95" s="78" t="s">
        <v>2859</v>
      </c>
      <c r="D95" s="79">
        <v>2</v>
      </c>
      <c r="E95" s="78" t="s">
        <v>3094</v>
      </c>
      <c r="F95" s="78" t="s">
        <v>3095</v>
      </c>
    </row>
    <row r="96" spans="1:6" ht="247" x14ac:dyDescent="0.2">
      <c r="A96" s="77" t="s">
        <v>188</v>
      </c>
      <c r="B96" s="78" t="s">
        <v>190</v>
      </c>
      <c r="C96" s="78" t="s">
        <v>2864</v>
      </c>
      <c r="D96" s="79">
        <v>2</v>
      </c>
      <c r="E96" s="78" t="s">
        <v>3096</v>
      </c>
      <c r="F96" s="78" t="s">
        <v>3097</v>
      </c>
    </row>
    <row r="97" spans="1:6" ht="209" x14ac:dyDescent="0.2">
      <c r="A97" s="77" t="s">
        <v>188</v>
      </c>
      <c r="B97" s="78" t="s">
        <v>190</v>
      </c>
      <c r="C97" s="78" t="s">
        <v>2869</v>
      </c>
      <c r="D97" s="79">
        <v>1</v>
      </c>
      <c r="E97" s="78" t="s">
        <v>3098</v>
      </c>
      <c r="F97" s="78" t="s">
        <v>3099</v>
      </c>
    </row>
    <row r="98" spans="1:6" ht="190" x14ac:dyDescent="0.2">
      <c r="A98" s="77" t="s">
        <v>198</v>
      </c>
      <c r="B98" s="78" t="s">
        <v>200</v>
      </c>
      <c r="C98" s="78" t="s">
        <v>2844</v>
      </c>
      <c r="D98" s="79">
        <v>2</v>
      </c>
      <c r="E98" s="78" t="s">
        <v>3100</v>
      </c>
      <c r="F98" s="78" t="s">
        <v>3101</v>
      </c>
    </row>
    <row r="99" spans="1:6" ht="152" x14ac:dyDescent="0.2">
      <c r="A99" s="77" t="s">
        <v>198</v>
      </c>
      <c r="B99" s="78" t="s">
        <v>200</v>
      </c>
      <c r="C99" s="78" t="s">
        <v>2849</v>
      </c>
      <c r="D99" s="79">
        <v>2</v>
      </c>
      <c r="E99" s="78" t="s">
        <v>3102</v>
      </c>
      <c r="F99" s="78" t="s">
        <v>3103</v>
      </c>
    </row>
    <row r="100" spans="1:6" ht="228" x14ac:dyDescent="0.2">
      <c r="A100" s="77" t="s">
        <v>198</v>
      </c>
      <c r="B100" s="78" t="s">
        <v>200</v>
      </c>
      <c r="C100" s="78" t="s">
        <v>2854</v>
      </c>
      <c r="D100" s="79">
        <v>1</v>
      </c>
      <c r="E100" s="78" t="s">
        <v>3104</v>
      </c>
      <c r="F100" s="78" t="s">
        <v>3105</v>
      </c>
    </row>
    <row r="101" spans="1:6" ht="152" x14ac:dyDescent="0.2">
      <c r="A101" s="77" t="s">
        <v>198</v>
      </c>
      <c r="B101" s="78" t="s">
        <v>200</v>
      </c>
      <c r="C101" s="78" t="s">
        <v>2859</v>
      </c>
      <c r="D101" s="79">
        <v>2</v>
      </c>
      <c r="E101" s="78" t="s">
        <v>3106</v>
      </c>
      <c r="F101" s="78" t="s">
        <v>3107</v>
      </c>
    </row>
    <row r="102" spans="1:6" ht="190" x14ac:dyDescent="0.2">
      <c r="A102" s="77" t="s">
        <v>198</v>
      </c>
      <c r="B102" s="78" t="s">
        <v>200</v>
      </c>
      <c r="C102" s="78" t="s">
        <v>2864</v>
      </c>
      <c r="D102" s="79">
        <v>2</v>
      </c>
      <c r="E102" s="78" t="s">
        <v>3108</v>
      </c>
      <c r="F102" s="78" t="s">
        <v>3109</v>
      </c>
    </row>
    <row r="103" spans="1:6" ht="209" x14ac:dyDescent="0.2">
      <c r="A103" s="77" t="s">
        <v>198</v>
      </c>
      <c r="B103" s="78" t="s">
        <v>200</v>
      </c>
      <c r="C103" s="78" t="s">
        <v>2869</v>
      </c>
      <c r="D103" s="79">
        <v>1</v>
      </c>
      <c r="E103" s="78" t="s">
        <v>3110</v>
      </c>
      <c r="F103" s="78" t="s">
        <v>3111</v>
      </c>
    </row>
    <row r="104" spans="1:6" ht="190" x14ac:dyDescent="0.2">
      <c r="A104" s="77" t="s">
        <v>208</v>
      </c>
      <c r="B104" s="78" t="s">
        <v>2897</v>
      </c>
      <c r="C104" s="78" t="s">
        <v>2844</v>
      </c>
      <c r="D104" s="79">
        <v>2</v>
      </c>
      <c r="E104" s="78" t="s">
        <v>3112</v>
      </c>
      <c r="F104" s="78" t="s">
        <v>3113</v>
      </c>
    </row>
    <row r="105" spans="1:6" ht="190" x14ac:dyDescent="0.2">
      <c r="A105" s="77" t="s">
        <v>208</v>
      </c>
      <c r="B105" s="78" t="s">
        <v>2897</v>
      </c>
      <c r="C105" s="78" t="s">
        <v>2849</v>
      </c>
      <c r="D105" s="79">
        <v>2</v>
      </c>
      <c r="E105" s="78" t="s">
        <v>3114</v>
      </c>
      <c r="F105" s="78" t="s">
        <v>3115</v>
      </c>
    </row>
    <row r="106" spans="1:6" ht="247" x14ac:dyDescent="0.2">
      <c r="A106" s="77" t="s">
        <v>208</v>
      </c>
      <c r="B106" s="78" t="s">
        <v>2897</v>
      </c>
      <c r="C106" s="78" t="s">
        <v>2854</v>
      </c>
      <c r="D106" s="79">
        <v>2</v>
      </c>
      <c r="E106" s="78" t="s">
        <v>3116</v>
      </c>
      <c r="F106" s="78" t="s">
        <v>3117</v>
      </c>
    </row>
    <row r="107" spans="1:6" ht="133" x14ac:dyDescent="0.2">
      <c r="A107" s="77" t="s">
        <v>208</v>
      </c>
      <c r="B107" s="78" t="s">
        <v>2897</v>
      </c>
      <c r="C107" s="78" t="s">
        <v>2859</v>
      </c>
      <c r="D107" s="79">
        <v>2</v>
      </c>
      <c r="E107" s="78" t="s">
        <v>3118</v>
      </c>
      <c r="F107" s="78" t="s">
        <v>3119</v>
      </c>
    </row>
    <row r="108" spans="1:6" ht="209" x14ac:dyDescent="0.2">
      <c r="A108" s="77" t="s">
        <v>208</v>
      </c>
      <c r="B108" s="78" t="s">
        <v>2897</v>
      </c>
      <c r="C108" s="78" t="s">
        <v>2864</v>
      </c>
      <c r="D108" s="79">
        <v>2</v>
      </c>
      <c r="E108" s="78" t="s">
        <v>3120</v>
      </c>
      <c r="F108" s="78" t="s">
        <v>3121</v>
      </c>
    </row>
    <row r="109" spans="1:6" ht="323" x14ac:dyDescent="0.2">
      <c r="A109" s="77" t="s">
        <v>208</v>
      </c>
      <c r="B109" s="78" t="s">
        <v>2897</v>
      </c>
      <c r="C109" s="78" t="s">
        <v>2869</v>
      </c>
      <c r="D109" s="79">
        <v>2</v>
      </c>
      <c r="E109" s="78" t="s">
        <v>3122</v>
      </c>
      <c r="F109" s="78" t="s">
        <v>3123</v>
      </c>
    </row>
    <row r="110" spans="1:6" ht="152" x14ac:dyDescent="0.2">
      <c r="A110" s="77" t="s">
        <v>218</v>
      </c>
      <c r="B110" s="78" t="s">
        <v>219</v>
      </c>
      <c r="C110" s="78" t="s">
        <v>2844</v>
      </c>
      <c r="D110" s="79">
        <v>2</v>
      </c>
      <c r="E110" s="78" t="s">
        <v>3124</v>
      </c>
      <c r="F110" s="78" t="s">
        <v>3125</v>
      </c>
    </row>
    <row r="111" spans="1:6" ht="171" x14ac:dyDescent="0.2">
      <c r="A111" s="77" t="s">
        <v>218</v>
      </c>
      <c r="B111" s="78" t="s">
        <v>219</v>
      </c>
      <c r="C111" s="78" t="s">
        <v>2849</v>
      </c>
      <c r="D111" s="79">
        <v>2</v>
      </c>
      <c r="E111" s="78" t="s">
        <v>3126</v>
      </c>
      <c r="F111" s="78" t="s">
        <v>3127</v>
      </c>
    </row>
    <row r="112" spans="1:6" ht="247" x14ac:dyDescent="0.2">
      <c r="A112" s="77" t="s">
        <v>218</v>
      </c>
      <c r="B112" s="78" t="s">
        <v>219</v>
      </c>
      <c r="C112" s="78" t="s">
        <v>2854</v>
      </c>
      <c r="D112" s="79">
        <v>2</v>
      </c>
      <c r="E112" s="78" t="s">
        <v>3128</v>
      </c>
      <c r="F112" s="78" t="s">
        <v>3129</v>
      </c>
    </row>
    <row r="113" spans="1:6" ht="95" x14ac:dyDescent="0.2">
      <c r="A113" s="77" t="s">
        <v>218</v>
      </c>
      <c r="B113" s="78" t="s">
        <v>219</v>
      </c>
      <c r="C113" s="78" t="s">
        <v>2859</v>
      </c>
      <c r="D113" s="79">
        <v>2</v>
      </c>
      <c r="E113" s="78" t="s">
        <v>3130</v>
      </c>
      <c r="F113" s="78" t="s">
        <v>3131</v>
      </c>
    </row>
    <row r="114" spans="1:6" ht="209" x14ac:dyDescent="0.2">
      <c r="A114" s="77" t="s">
        <v>218</v>
      </c>
      <c r="B114" s="78" t="s">
        <v>219</v>
      </c>
      <c r="C114" s="78" t="s">
        <v>2864</v>
      </c>
      <c r="D114" s="79">
        <v>2</v>
      </c>
      <c r="E114" s="78" t="s">
        <v>3132</v>
      </c>
      <c r="F114" s="78" t="s">
        <v>3133</v>
      </c>
    </row>
    <row r="115" spans="1:6" ht="285" x14ac:dyDescent="0.2">
      <c r="A115" s="77" t="s">
        <v>218</v>
      </c>
      <c r="B115" s="78" t="s">
        <v>219</v>
      </c>
      <c r="C115" s="78" t="s">
        <v>2869</v>
      </c>
      <c r="D115" s="79">
        <v>1</v>
      </c>
      <c r="E115" s="78" t="s">
        <v>3134</v>
      </c>
      <c r="F115" s="78" t="s">
        <v>3135</v>
      </c>
    </row>
    <row r="116" spans="1:6" ht="152" x14ac:dyDescent="0.2">
      <c r="A116" s="77" t="s">
        <v>227</v>
      </c>
      <c r="B116" s="78" t="s">
        <v>229</v>
      </c>
      <c r="C116" s="78" t="s">
        <v>2844</v>
      </c>
      <c r="D116" s="79">
        <v>2</v>
      </c>
      <c r="E116" s="78" t="s">
        <v>3136</v>
      </c>
      <c r="F116" s="78" t="s">
        <v>3137</v>
      </c>
    </row>
    <row r="117" spans="1:6" ht="95" x14ac:dyDescent="0.2">
      <c r="A117" s="77" t="s">
        <v>227</v>
      </c>
      <c r="B117" s="78" t="s">
        <v>229</v>
      </c>
      <c r="C117" s="78" t="s">
        <v>2849</v>
      </c>
      <c r="D117" s="79">
        <v>2</v>
      </c>
      <c r="E117" s="78" t="s">
        <v>3138</v>
      </c>
      <c r="F117" s="78" t="s">
        <v>3139</v>
      </c>
    </row>
    <row r="118" spans="1:6" ht="304" x14ac:dyDescent="0.2">
      <c r="A118" s="77" t="s">
        <v>227</v>
      </c>
      <c r="B118" s="78" t="s">
        <v>229</v>
      </c>
      <c r="C118" s="78" t="s">
        <v>2854</v>
      </c>
      <c r="D118" s="79">
        <v>2</v>
      </c>
      <c r="E118" s="78" t="s">
        <v>3140</v>
      </c>
      <c r="F118" s="78" t="s">
        <v>3141</v>
      </c>
    </row>
    <row r="119" spans="1:6" ht="95" x14ac:dyDescent="0.2">
      <c r="A119" s="77" t="s">
        <v>227</v>
      </c>
      <c r="B119" s="78" t="s">
        <v>229</v>
      </c>
      <c r="C119" s="78" t="s">
        <v>2859</v>
      </c>
      <c r="D119" s="79">
        <v>2</v>
      </c>
      <c r="E119" s="78" t="s">
        <v>3142</v>
      </c>
      <c r="F119" s="78" t="s">
        <v>3143</v>
      </c>
    </row>
    <row r="120" spans="1:6" ht="190" x14ac:dyDescent="0.2">
      <c r="A120" s="77" t="s">
        <v>227</v>
      </c>
      <c r="B120" s="78" t="s">
        <v>229</v>
      </c>
      <c r="C120" s="78" t="s">
        <v>2864</v>
      </c>
      <c r="D120" s="79">
        <v>2</v>
      </c>
      <c r="E120" s="78" t="s">
        <v>3144</v>
      </c>
      <c r="F120" s="78" t="s">
        <v>3145</v>
      </c>
    </row>
    <row r="121" spans="1:6" ht="323" x14ac:dyDescent="0.2">
      <c r="A121" s="77" t="s">
        <v>227</v>
      </c>
      <c r="B121" s="78" t="s">
        <v>229</v>
      </c>
      <c r="C121" s="78" t="s">
        <v>2869</v>
      </c>
      <c r="D121" s="79">
        <v>2</v>
      </c>
      <c r="E121" s="78" t="s">
        <v>3146</v>
      </c>
      <c r="F121" s="78" t="s">
        <v>3147</v>
      </c>
    </row>
    <row r="122" spans="1:6" ht="171" x14ac:dyDescent="0.2">
      <c r="A122" s="77" t="s">
        <v>237</v>
      </c>
      <c r="B122" s="78" t="s">
        <v>239</v>
      </c>
      <c r="C122" s="78" t="s">
        <v>2844</v>
      </c>
      <c r="D122" s="79">
        <v>2</v>
      </c>
      <c r="E122" s="78" t="s">
        <v>3040</v>
      </c>
      <c r="F122" s="78" t="s">
        <v>3148</v>
      </c>
    </row>
    <row r="123" spans="1:6" ht="209" x14ac:dyDescent="0.2">
      <c r="A123" s="77" t="s">
        <v>237</v>
      </c>
      <c r="B123" s="78" t="s">
        <v>239</v>
      </c>
      <c r="C123" s="78" t="s">
        <v>2849</v>
      </c>
      <c r="D123" s="79">
        <v>2</v>
      </c>
      <c r="E123" s="78" t="s">
        <v>3149</v>
      </c>
      <c r="F123" s="78" t="s">
        <v>3150</v>
      </c>
    </row>
    <row r="124" spans="1:6" ht="285" x14ac:dyDescent="0.2">
      <c r="A124" s="77" t="s">
        <v>237</v>
      </c>
      <c r="B124" s="78" t="s">
        <v>239</v>
      </c>
      <c r="C124" s="78" t="s">
        <v>2854</v>
      </c>
      <c r="D124" s="79">
        <v>2</v>
      </c>
      <c r="E124" s="78" t="s">
        <v>3151</v>
      </c>
      <c r="F124" s="78" t="s">
        <v>3152</v>
      </c>
    </row>
    <row r="125" spans="1:6" ht="114" x14ac:dyDescent="0.2">
      <c r="A125" s="77" t="s">
        <v>237</v>
      </c>
      <c r="B125" s="78" t="s">
        <v>239</v>
      </c>
      <c r="C125" s="78" t="s">
        <v>2859</v>
      </c>
      <c r="D125" s="79">
        <v>2</v>
      </c>
      <c r="E125" s="78" t="s">
        <v>3153</v>
      </c>
      <c r="F125" s="78" t="s">
        <v>3154</v>
      </c>
    </row>
    <row r="126" spans="1:6" ht="228" x14ac:dyDescent="0.2">
      <c r="A126" s="77" t="s">
        <v>237</v>
      </c>
      <c r="B126" s="78" t="s">
        <v>239</v>
      </c>
      <c r="C126" s="78" t="s">
        <v>2864</v>
      </c>
      <c r="D126" s="79">
        <v>2</v>
      </c>
      <c r="E126" s="78" t="s">
        <v>3155</v>
      </c>
      <c r="F126" s="78" t="s">
        <v>3156</v>
      </c>
    </row>
    <row r="127" spans="1:6" ht="247" x14ac:dyDescent="0.2">
      <c r="A127" s="77" t="s">
        <v>237</v>
      </c>
      <c r="B127" s="78" t="s">
        <v>239</v>
      </c>
      <c r="C127" s="78" t="s">
        <v>2869</v>
      </c>
      <c r="D127" s="79">
        <v>0</v>
      </c>
      <c r="E127" s="78" t="s">
        <v>3157</v>
      </c>
      <c r="F127" s="78" t="s">
        <v>3158</v>
      </c>
    </row>
    <row r="128" spans="1:6" ht="228" x14ac:dyDescent="0.2">
      <c r="A128" s="77" t="s">
        <v>247</v>
      </c>
      <c r="B128" s="78" t="s">
        <v>249</v>
      </c>
      <c r="C128" s="78" t="s">
        <v>2844</v>
      </c>
      <c r="D128" s="79">
        <v>2</v>
      </c>
      <c r="E128" s="78" t="s">
        <v>3159</v>
      </c>
      <c r="F128" s="78" t="s">
        <v>3160</v>
      </c>
    </row>
    <row r="129" spans="1:6" ht="266" x14ac:dyDescent="0.2">
      <c r="A129" s="77" t="s">
        <v>247</v>
      </c>
      <c r="B129" s="78" t="s">
        <v>249</v>
      </c>
      <c r="C129" s="78" t="s">
        <v>2849</v>
      </c>
      <c r="D129" s="79">
        <v>2</v>
      </c>
      <c r="E129" s="78" t="s">
        <v>3161</v>
      </c>
      <c r="F129" s="78" t="s">
        <v>3162</v>
      </c>
    </row>
    <row r="130" spans="1:6" ht="323" x14ac:dyDescent="0.2">
      <c r="A130" s="77" t="s">
        <v>247</v>
      </c>
      <c r="B130" s="78" t="s">
        <v>249</v>
      </c>
      <c r="C130" s="78" t="s">
        <v>2854</v>
      </c>
      <c r="D130" s="79">
        <v>1</v>
      </c>
      <c r="E130" s="78" t="s">
        <v>3163</v>
      </c>
      <c r="F130" s="78" t="s">
        <v>3164</v>
      </c>
    </row>
    <row r="131" spans="1:6" ht="171" x14ac:dyDescent="0.2">
      <c r="A131" s="77" t="s">
        <v>247</v>
      </c>
      <c r="B131" s="78" t="s">
        <v>249</v>
      </c>
      <c r="C131" s="78" t="s">
        <v>2859</v>
      </c>
      <c r="D131" s="79">
        <v>2</v>
      </c>
      <c r="E131" s="78" t="s">
        <v>3165</v>
      </c>
      <c r="F131" s="78" t="s">
        <v>3166</v>
      </c>
    </row>
    <row r="132" spans="1:6" ht="323" x14ac:dyDescent="0.2">
      <c r="A132" s="77" t="s">
        <v>247</v>
      </c>
      <c r="B132" s="78" t="s">
        <v>249</v>
      </c>
      <c r="C132" s="78" t="s">
        <v>2864</v>
      </c>
      <c r="D132" s="79">
        <v>2</v>
      </c>
      <c r="E132" s="78" t="s">
        <v>3167</v>
      </c>
      <c r="F132" s="78" t="s">
        <v>3168</v>
      </c>
    </row>
    <row r="133" spans="1:6" ht="133" x14ac:dyDescent="0.2">
      <c r="A133" s="77" t="s">
        <v>247</v>
      </c>
      <c r="B133" s="78" t="s">
        <v>249</v>
      </c>
      <c r="C133" s="78" t="s">
        <v>2869</v>
      </c>
      <c r="D133" s="79">
        <v>1</v>
      </c>
      <c r="E133" s="78" t="s">
        <v>3169</v>
      </c>
      <c r="F133" s="78" t="s">
        <v>3170</v>
      </c>
    </row>
    <row r="134" spans="1:6" ht="209" x14ac:dyDescent="0.2">
      <c r="A134" s="77" t="s">
        <v>257</v>
      </c>
      <c r="B134" s="78" t="s">
        <v>259</v>
      </c>
      <c r="C134" s="78" t="s">
        <v>2844</v>
      </c>
      <c r="D134" s="79">
        <v>2</v>
      </c>
      <c r="E134" s="78" t="s">
        <v>3171</v>
      </c>
      <c r="F134" s="78" t="s">
        <v>3172</v>
      </c>
    </row>
    <row r="135" spans="1:6" ht="171" x14ac:dyDescent="0.2">
      <c r="A135" s="77" t="s">
        <v>257</v>
      </c>
      <c r="B135" s="78" t="s">
        <v>259</v>
      </c>
      <c r="C135" s="78" t="s">
        <v>2849</v>
      </c>
      <c r="D135" s="79">
        <v>2</v>
      </c>
      <c r="E135" s="78" t="s">
        <v>3173</v>
      </c>
      <c r="F135" s="78" t="s">
        <v>3174</v>
      </c>
    </row>
    <row r="136" spans="1:6" ht="247" x14ac:dyDescent="0.2">
      <c r="A136" s="77" t="s">
        <v>257</v>
      </c>
      <c r="B136" s="78" t="s">
        <v>259</v>
      </c>
      <c r="C136" s="78" t="s">
        <v>2854</v>
      </c>
      <c r="D136" s="79">
        <v>1</v>
      </c>
      <c r="E136" s="78" t="s">
        <v>3175</v>
      </c>
      <c r="F136" s="78" t="s">
        <v>3176</v>
      </c>
    </row>
    <row r="137" spans="1:6" ht="133" x14ac:dyDescent="0.2">
      <c r="A137" s="77" t="s">
        <v>257</v>
      </c>
      <c r="B137" s="78" t="s">
        <v>259</v>
      </c>
      <c r="C137" s="78" t="s">
        <v>2859</v>
      </c>
      <c r="D137" s="79">
        <v>2</v>
      </c>
      <c r="E137" s="78" t="s">
        <v>3177</v>
      </c>
      <c r="F137" s="78" t="s">
        <v>3178</v>
      </c>
    </row>
    <row r="138" spans="1:6" ht="190" x14ac:dyDescent="0.2">
      <c r="A138" s="77" t="s">
        <v>257</v>
      </c>
      <c r="B138" s="78" t="s">
        <v>259</v>
      </c>
      <c r="C138" s="78" t="s">
        <v>2864</v>
      </c>
      <c r="D138" s="79">
        <v>1</v>
      </c>
      <c r="E138" s="78" t="s">
        <v>3179</v>
      </c>
      <c r="F138" s="78" t="s">
        <v>3180</v>
      </c>
    </row>
    <row r="139" spans="1:6" ht="190" x14ac:dyDescent="0.2">
      <c r="A139" s="77" t="s">
        <v>257</v>
      </c>
      <c r="B139" s="78" t="s">
        <v>259</v>
      </c>
      <c r="C139" s="78" t="s">
        <v>2869</v>
      </c>
      <c r="D139" s="79">
        <v>1</v>
      </c>
      <c r="E139" s="78" t="s">
        <v>3181</v>
      </c>
      <c r="F139" s="78" t="s">
        <v>3182</v>
      </c>
    </row>
  </sheetData>
  <conditionalFormatting sqref="D1:D1048576">
    <cfRule type="cellIs" dxfId="0" priority="1" operator="equal">
      <formul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Method_Used</vt:lpstr>
      <vt:lpstr>Included_Studies</vt:lpstr>
      <vt:lpstr>Withdrawn_Studies</vt:lpstr>
      <vt:lpstr>Thematic_Map</vt:lpstr>
      <vt:lpstr>Themes_Overview</vt:lpstr>
      <vt:lpstr>StudyWise_SAS_Extension</vt:lpstr>
      <vt:lpstr>SAS_Extension</vt:lpstr>
      <vt:lpstr>Quality_Criterias</vt:lpstr>
      <vt:lpstr>Quality_Scores</vt:lpstr>
      <vt:lpstr>Quality_Evidence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Nazia Shahzadi</cp:lastModifiedBy>
  <cp:revision>0</cp:revision>
  <dcterms:created xsi:type="dcterms:W3CDTF">2026-08-04T08:55:42Z</dcterms:created>
  <dcterms:modified xsi:type="dcterms:W3CDTF">2026-10-24T07:47:22Z</dcterms:modified>
  <cp:category/>
  <cp:contentStatus/>
</cp:coreProperties>
</file>